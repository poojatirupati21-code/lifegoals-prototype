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4.xml" ContentType="application/vnd.openxmlformats-officedocument.spreadsheetml.comments+xml"/>
  <Override PartName="/xl/comments4.xml" ContentType="application/vnd.openxmlformats-officedocument.spreadsheetml.comments+xml"/>
  <Override PartName="/xl/comments26.xml" ContentType="application/vnd.openxmlformats-officedocument.spreadsheetml.comments+xml"/>
  <Override PartName="/xl/comments15.xml" ContentType="application/vnd.openxmlformats-officedocument.spreadsheetml.comments+xml"/>
  <Override PartName="/xl/comments5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7.vml" ContentType="application/vnd.openxmlformats-officedocument.vmlDrawing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15.vml" ContentType="application/vnd.openxmlformats-officedocument.vmlDrawing"/>
  <Override PartName="/xl/drawings/vmlDrawing28.vml" ContentType="application/vnd.openxmlformats-officedocument.vmlDrawing"/>
  <Override PartName="/xl/drawings/vmlDrawing16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28.xml.rels" ContentType="application/vnd.openxmlformats-package.relationship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23.xml.rels" ContentType="application/vnd.openxmlformats-package.relationships+xml"/>
  <Override PartName="/xl/worksheets/_rels/sheet22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sheet29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01 Borrowing" sheetId="2" state="visible" r:id="rId4"/>
    <sheet name="C02 Mortgage repayment" sheetId="3" state="visible" r:id="rId5"/>
    <sheet name="C03 Deposit" sheetId="4" state="visible" r:id="rId6"/>
    <sheet name="C04 Mortgage overpayment" sheetId="5" state="visible" r:id="rId7"/>
    <sheet name="C05 Interest rate impact" sheetId="6" state="visible" r:id="rId8"/>
    <sheet name="C06 Term comparison" sheetId="7" state="visible" r:id="rId9"/>
    <sheet name="C07 Rent vs buy" sheetId="8" state="visible" r:id="rId10"/>
    <sheet name="C08 Goal planner" sheetId="9" state="visible" r:id="rId11"/>
    <sheet name="C09 Compound growth" sheetId="10" state="visible" r:id="rId12"/>
    <sheet name="C10 Lump sum growth" sheetId="11" state="visible" r:id="rId13"/>
    <sheet name="C11 Emergency fund" sheetId="12" state="visible" r:id="rId14"/>
    <sheet name="C12 Retirement projection" sheetId="13" state="visible" r:id="rId15"/>
    <sheet name="C13 Contribution impact" sheetId="14" state="visible" r:id="rId16"/>
    <sheet name="C14 AVC impact" sheetId="15" state="visible" r:id="rId17"/>
    <sheet name="C15 Will my money last" sheetId="16" state="visible" r:id="rId18"/>
    <sheet name="C16 Drawdown scenarios" sheetId="17" state="visible" r:id="rId19"/>
    <sheet name="C17 Inflation adjusted return" sheetId="18" state="visible" r:id="rId20"/>
    <sheet name="C18 Regular investing" sheetId="19" state="visible" r:id="rId21"/>
    <sheet name="C19 Fees impact" sheetId="20" state="visible" r:id="rId22"/>
    <sheet name="C20 Risk and return" sheetId="21" state="visible" r:id="rId23"/>
    <sheet name="C21 Life cover" sheetId="22" state="visible" r:id="rId24"/>
    <sheet name="C22 Income protection gap" sheetId="23" state="visible" r:id="rId25"/>
    <sheet name="C23 Mortgage protection" sheetId="24" state="visible" r:id="rId26"/>
    <sheet name="C24 Net worth" sheetId="25" state="visible" r:id="rId27"/>
    <sheet name="C25 Monthly surplus" sheetId="26" state="visible" r:id="rId28"/>
    <sheet name="C26 Budget 50 30 20" sheetId="27" state="visible" r:id="rId29"/>
    <sheet name="C27 Debt repayment" sheetId="28" state="visible" r:id="rId30"/>
    <sheet name="C28 Loan repayment" sheetId="29" state="visible" r:id="rId31"/>
    <sheet name="Assumptions" sheetId="30" state="visible" r:id="rId32"/>
  </sheets>
  <definedNames>
    <definedName function="false" hidden="false" name="Budget_Needs" vbProcedure="false">Assumptions!$C$53</definedName>
    <definedName function="false" hidden="false" name="Budget_Save" vbProcedure="false">Assumptions!$C$55</definedName>
    <definedName function="false" hidden="false" name="Budget_Wants" vbProcedure="false">Assumptions!$C$54</definedName>
    <definedName function="false" hidden="false" name="Cap_Months" vbProcedure="false">Assumptions!$C$33</definedName>
    <definedName function="false" hidden="false" name="Cap_Years" vbProcedure="false">Assumptions!$C$34</definedName>
    <definedName function="false" hidden="false" name="DD_Balanced" vbProcedure="false">Assumptions!$C$41</definedName>
    <definedName function="false" hidden="false" name="DD_Cautious" vbProcedure="false">Assumptions!$C$40</definedName>
    <definedName function="false" hidden="false" name="DD_Growth" vbProcedure="false">Assumptions!$C$42</definedName>
    <definedName function="false" hidden="false" name="DIRT" vbProcedure="false">Assumptions!$C$28</definedName>
    <definedName function="false" hidden="false" name="Exit_Tax" vbProcedure="false">Assumptions!$C$29</definedName>
    <definedName function="false" hidden="false" name="Growth_Set" vbProcedure="false">Assumptions!$C$7</definedName>
    <definedName function="false" hidden="false" name="Home_Goal_Years" vbProcedure="false">Assumptions!$C$59</definedName>
    <definedName function="false" hidden="false" name="Illness_Benefit_Week" vbProcedure="false">Assumptions!$C$22</definedName>
    <definedName function="false" hidden="false" name="Inflation" vbProcedure="false">Assumptions!$C$6</definedName>
    <definedName function="false" hidden="false" name="IP_Max_Pct" vbProcedure="false">Assumptions!$C$23</definedName>
    <definedName function="false" hidden="false" name="Life_Replace" vbProcedure="false">Assumptions!$C$39</definedName>
    <definedName function="false" hidden="false" name="LTI_FTB" vbProcedure="false">Assumptions!$C$15</definedName>
    <definedName function="false" hidden="false" name="LTI_SSB" vbProcedure="false">Assumptions!$C$16</definedName>
    <definedName function="false" hidden="false" name="LTV_Max" vbProcedure="false">Assumptions!$C$17</definedName>
    <definedName function="false" hidden="false" name="Min_Deposit_Pct" vbProcedure="false">Assumptions!$C$18</definedName>
    <definedName function="false" hidden="false" name="MP_Year_1" vbProcedure="false">Assumptions!$C$56</definedName>
    <definedName function="false" hidden="false" name="MP_Year_2" vbProcedure="false">Assumptions!$C$57</definedName>
    <definedName function="false" hidden="false" name="MP_Year_3" vbProcedure="false">Assumptions!$C$58</definedName>
    <definedName function="false" hidden="false" name="Pension_Growth" vbProcedure="false">Assumptions!$E$11</definedName>
    <definedName function="false" hidden="false" name="Pension_Growth_Retired" vbProcedure="false">Assumptions!$E$12</definedName>
    <definedName function="false" hidden="false" name="Pension_Tax_Band" vbProcedure="false">Assumptions!$C$30</definedName>
    <definedName function="false" hidden="false" name="RentBuy_Term" vbProcedure="false">Assumptions!$C$35</definedName>
    <definedName function="false" hidden="false" name="Retire_Multiple" vbProcedure="false">Assumptions!$C$38</definedName>
    <definedName function="false" hidden="false" name="Risk_Fall" vbProcedure="false">Assumptions!$C$52</definedName>
    <definedName function="false" hidden="false" name="Risk_Mu" vbProcedure="false">Assumptions!$C$46:$C$48</definedName>
    <definedName function="false" hidden="false" name="Risk_Names" vbProcedure="false">Assumptions!$C$43:$C$45</definedName>
    <definedName function="false" hidden="false" name="Risk_Vol" vbProcedure="false">Assumptions!$C$49:$C$51</definedName>
    <definedName function="false" hidden="false" name="Safety_Goal_Years" vbProcedure="false">Assumptions!$C$60</definedName>
    <definedName function="false" hidden="false" name="State_Pension_Year" vbProcedure="false">Assumptions!$C$24</definedName>
    <definedName function="false" hidden="false" name="Survivor_Pension_Week" vbProcedure="false">Assumptions!$C$21</definedName>
    <definedName function="false" hidden="false" name="Upkeep_Rate" vbProcedure="false">Assumptions!$C$36</definedName>
    <definedName function="false" hidden="false" name="Wage" vbProcedure="false">Assumptions!$E$10</definedName>
    <definedName function="false" hidden="false" name="Wait_Years" vbProcedure="false">Assumptions!$C$37</definedName>
    <definedName function="false" hidden="false" name="Weeks_Per_Year" vbProcedure="false">Assumptions!$C$25</definedName>
    <definedName function="false" hidden="false" localSheetId="1" name="Borrow_By_Deposit" vbProcedure="false">'C01 Borrowing'!$C$19</definedName>
    <definedName function="false" hidden="false" localSheetId="1" name="Borrow_By_Income" vbProcedure="false">'C01 Borrowing'!$C$18</definedName>
    <definedName function="false" hidden="false" localSheetId="1" name="Deposit" vbProcedure="false">'C01 Borrowing'!$C$8</definedName>
    <definedName function="false" hidden="false" localSheetId="1" name="Extra_Deposit" vbProcedure="false">'C01 Borrowing'!$C$12</definedName>
    <definedName function="false" hidden="false" localSheetId="1" name="First_Time_Buyer" vbProcedure="false">'C01 Borrowing'!$C$9</definedName>
    <definedName function="false" hidden="false" localSheetId="1" name="Home_Price" vbProcedure="false">'C01 Borrowing'!$C$15</definedName>
    <definedName function="false" hidden="false" localSheetId="1" name="Income" vbProcedure="false">'C01 Borrowing'!$C$6</definedName>
    <definedName function="false" hidden="false" localSheetId="1" name="Income_Multiple" vbProcedure="false">'C01 Borrowing'!$C$20</definedName>
    <definedName function="false" hidden="false" localSheetId="1" name="Interest_Rate" vbProcedure="false">'C01 Borrowing'!$C$10</definedName>
    <definedName function="false" hidden="false" localSheetId="1" name="Limit_Set_By" vbProcedure="false">'C01 Borrowing'!$C$22</definedName>
    <definedName function="false" hidden="false" localSheetId="1" name="Max_Loan" vbProcedure="false">'C01 Borrowing'!$C$16</definedName>
    <definedName function="false" hidden="false" localSheetId="1" name="Monthly_Repayment" vbProcedure="false">'C01 Borrowing'!$C$17</definedName>
    <definedName function="false" hidden="false" localSheetId="1" name="Partner_Income" vbProcedure="false">'C01 Borrowing'!$C$7</definedName>
    <definedName function="false" hidden="false" localSheetId="1" name="Plan_Goal_Amount" vbProcedure="false">'C01 Borrowing'!$C$35</definedName>
    <definedName function="false" hidden="false" localSheetId="1" name="Plan_Goal_Kind" vbProcedure="false">'C01 Borrowing'!$C$34</definedName>
    <definedName function="false" hidden="false" localSheetId="1" name="Plan_Goal_Saved" vbProcedure="false">'C01 Borrowing'!$C$36</definedName>
    <definedName function="false" hidden="false" localSheetId="1" name="Plan_Goal_Years" vbProcedure="false">'C01 Borrowing'!$C$37</definedName>
    <definedName function="false" hidden="false" localSheetId="1" name="Term_Years" vbProcedure="false">'C01 Borrowing'!$C$11</definedName>
    <definedName function="false" hidden="false" localSheetId="1" name="Total_Deposit" vbProcedure="false">'C01 Borrowing'!$C$21</definedName>
    <definedName function="false" hidden="false" localSheetId="2" name="Actual_Repayment" vbProcedure="false">'C02 Mortgage repayment'!$C$9</definedName>
    <definedName function="false" hidden="false" localSheetId="2" name="Change_Per_Year" vbProcedure="false">'C02 Mortgage repayment'!$C$22</definedName>
    <definedName function="false" hidden="false" localSheetId="2" name="Final_Payment" vbProcedure="false">'C02 Mortgage repayment'!$C$19</definedName>
    <definedName function="false" hidden="false" localSheetId="2" name="Formula_Repayment" vbProcedure="false">'C02 Mortgage repayment'!$C$18</definedName>
    <definedName function="false" hidden="false" localSheetId="2" name="Interest_Rate" vbProcedure="false">'C02 Mortgage repayment'!$C$7</definedName>
    <definedName function="false" hidden="false" localSheetId="2" name="Loan_Amount" vbProcedure="false">'C02 Mortgage repayment'!$C$6</definedName>
    <definedName function="false" hidden="false" localSheetId="2" name="Monthly_Rate" vbProcedure="false">'C02 Mortgage repayment'!$C$17</definedName>
    <definedName function="false" hidden="false" localSheetId="2" name="Monthly_Repayment" vbProcedure="false">'C02 Mortgage repayment'!$C$13</definedName>
    <definedName function="false" hidden="false" localSheetId="2" name="Months_To_Pay" vbProcedure="false">'C02 Mortgage repayment'!$C$14</definedName>
    <definedName function="false" hidden="false" localSheetId="2" name="New_Rate" vbProcedure="false">'C02 Mortgage repayment'!$C$20</definedName>
    <definedName function="false" hidden="false" localSheetId="2" name="Plan_Goal_Amount" vbProcedure="false">'C02 Mortgage repayment'!$C$36</definedName>
    <definedName function="false" hidden="false" localSheetId="2" name="Plan_Goal_Kind" vbProcedure="false">'C02 Mortgage repayment'!$C$35</definedName>
    <definedName function="false" hidden="false" localSheetId="2" name="Plan_Goal_Years" vbProcedure="false">'C02 Mortgage repayment'!$C$37</definedName>
    <definedName function="false" hidden="false" localSheetId="2" name="Rate_Change" vbProcedure="false">'C02 Mortgage repayment'!$C$10</definedName>
    <definedName function="false" hidden="false" localSheetId="2" name="Repayment_If_Changed" vbProcedure="false">'C02 Mortgage repayment'!$C$21</definedName>
    <definedName function="false" hidden="false" localSheetId="2" name="Term_Years" vbProcedure="false">'C02 Mortgage repayment'!$C$8</definedName>
    <definedName function="false" hidden="false" localSheetId="2" name="Total_Interest" vbProcedure="false">'C02 Mortgage repayment'!$C$15</definedName>
    <definedName function="false" hidden="false" localSheetId="2" name="Total_Repaid" vbProcedure="false">'C02 Mortgage repayment'!$C$16</definedName>
    <definedName function="false" hidden="false" localSheetId="3" name="Deposit_Needed" vbProcedure="false">'C03 Deposit'!$C$14</definedName>
    <definedName function="false" hidden="false" localSheetId="3" name="Deposit_Pct" vbProcedure="false">'C03 Deposit'!$C$7</definedName>
    <definedName function="false" hidden="false" localSheetId="3" name="Extra_Saving" vbProcedure="false">'C03 Deposit'!$C$10</definedName>
    <definedName function="false" hidden="false" localSheetId="3" name="Home_Price" vbProcedure="false">'C03 Deposit'!$C$6</definedName>
    <definedName function="false" hidden="false" localSheetId="3" name="Monthly_Saving" vbProcedure="false">'C03 Deposit'!$C$9</definedName>
    <definedName function="false" hidden="false" localSheetId="3" name="Months_To_Deposit" vbProcedure="false">'C03 Deposit'!$C$13</definedName>
    <definedName function="false" hidden="false" localSheetId="3" name="Plan_Goal_Amount" vbProcedure="false">'C03 Deposit'!$C$26</definedName>
    <definedName function="false" hidden="false" localSheetId="3" name="Plan_Goal_Kind" vbProcedure="false">'C03 Deposit'!$C$25</definedName>
    <definedName function="false" hidden="false" localSheetId="3" name="Plan_Goal_Saved" vbProcedure="false">'C03 Deposit'!$C$27</definedName>
    <definedName function="false" hidden="false" localSheetId="3" name="Plan_Goal_Years" vbProcedure="false">'C03 Deposit'!$C$28</definedName>
    <definedName function="false" hidden="false" localSheetId="3" name="Saved" vbProcedure="false">'C03 Deposit'!$C$8</definedName>
    <definedName function="false" hidden="false" localSheetId="3" name="Still_To_Save" vbProcedure="false">'C03 Deposit'!$C$15</definedName>
    <definedName function="false" hidden="false" localSheetId="4" name="Actual_Repayment" vbProcedure="false">'C04 Mortgage overpayment'!$C$10</definedName>
    <definedName function="false" hidden="false" localSheetId="4" name="Extra_Payment" vbProcedure="false">'C04 Mortgage overpayment'!$C$9</definedName>
    <definedName function="false" hidden="false" localSheetId="4" name="Interest_Now" vbProcedure="false">'C04 Mortgage overpayment'!$C$22</definedName>
    <definedName function="false" hidden="false" localSheetId="4" name="Interest_Rate" vbProcedure="false">'C04 Mortgage overpayment'!$C$7</definedName>
    <definedName function="false" hidden="false" localSheetId="4" name="Interest_Saved" vbProcedure="false">'C04 Mortgage overpayment'!$C$14</definedName>
    <definedName function="false" hidden="false" localSheetId="4" name="Interest_With_Extra" vbProcedure="false">'C04 Mortgage overpayment'!$C$23</definedName>
    <definedName function="false" hidden="false" localSheetId="4" name="Last_Payment_Now" vbProcedure="false">'C04 Mortgage overpayment'!$C$20</definedName>
    <definedName function="false" hidden="false" localSheetId="4" name="Last_Payment_With_Extra" vbProcedure="false">'C04 Mortgage overpayment'!$C$21</definedName>
    <definedName function="false" hidden="false" localSheetId="4" name="Monthly_Rate" vbProcedure="false">'C04 Mortgage overpayment'!$C$17</definedName>
    <definedName function="false" hidden="false" localSheetId="4" name="Months_Now" vbProcedure="false">'C04 Mortgage overpayment'!$C$15</definedName>
    <definedName function="false" hidden="false" localSheetId="4" name="Months_Sooner" vbProcedure="false">'C04 Mortgage overpayment'!$C$13</definedName>
    <definedName function="false" hidden="false" localSheetId="4" name="Months_With_Extra" vbProcedure="false">'C04 Mortgage overpayment'!$C$16</definedName>
    <definedName function="false" hidden="false" localSheetId="4" name="Mortgage_Balance" vbProcedure="false">'C04 Mortgage overpayment'!$C$6</definedName>
    <definedName function="false" hidden="false" localSheetId="4" name="Plan_Goal_Kind" vbProcedure="false">'C04 Mortgage overpayment'!$C$36</definedName>
    <definedName function="false" hidden="false" localSheetId="4" name="Plan_Goal_Years" vbProcedure="false">'C04 Mortgage overpayment'!$C$37</definedName>
    <definedName function="false" hidden="false" localSheetId="4" name="Repayment_Now" vbProcedure="false">'C04 Mortgage overpayment'!$C$18</definedName>
    <definedName function="false" hidden="false" localSheetId="4" name="Repayment_With_Extra" vbProcedure="false">'C04 Mortgage overpayment'!$C$19</definedName>
    <definedName function="false" hidden="false" localSheetId="4" name="Years_Left" vbProcedure="false">'C04 Mortgage overpayment'!$C$8</definedName>
    <definedName function="false" hidden="false" localSheetId="5" name="Actual_Repayment" vbProcedure="false">'C05 Interest rate impact'!$C$10</definedName>
    <definedName function="false" hidden="false" localSheetId="5" name="Current_Rate" vbProcedure="false">'C05 Interest rate impact'!$C$7</definedName>
    <definedName function="false" hidden="false" localSheetId="5" name="Formula_Now" vbProcedure="false">'C05 Interest rate impact'!$C$17</definedName>
    <definedName function="false" hidden="false" localSheetId="5" name="Monthly_Change" vbProcedure="false">'C05 Interest rate impact'!$C$13</definedName>
    <definedName function="false" hidden="false" localSheetId="5" name="Mortgage_Balance" vbProcedure="false">'C05 Interest rate impact'!$C$6</definedName>
    <definedName function="false" hidden="false" localSheetId="5" name="New_Rate" vbProcedure="false">'C05 Interest rate impact'!$C$18</definedName>
    <definedName function="false" hidden="false" localSheetId="5" name="Plan_Goal_Kind" vbProcedure="false">'C05 Interest rate impact'!$C$28</definedName>
    <definedName function="false" hidden="false" localSheetId="5" name="Rate_Change" vbProcedure="false">'C05 Interest rate impact'!$C$9</definedName>
    <definedName function="false" hidden="false" localSheetId="5" name="Repayment_After" vbProcedure="false">'C05 Interest rate impact'!$C$15</definedName>
    <definedName function="false" hidden="false" localSheetId="5" name="Repayment_Now" vbProcedure="false">'C05 Interest rate impact'!$C$14</definedName>
    <definedName function="false" hidden="false" localSheetId="5" name="Yearly_Change" vbProcedure="false">'C05 Interest rate impact'!$C$16</definedName>
    <definedName function="false" hidden="false" localSheetId="5" name="Years_Left" vbProcedure="false">'C05 Interest rate impact'!$C$8</definedName>
    <definedName function="false" hidden="false" localSheetId="6" name="Interest_A" vbProcedure="false">'C06 Term comparison'!$C$15</definedName>
    <definedName function="false" hidden="false" localSheetId="6" name="Interest_B" vbProcedure="false">'C06 Term comparison'!$C$16</definedName>
    <definedName function="false" hidden="false" localSheetId="6" name="Interest_Difference" vbProcedure="false">'C06 Term comparison'!$C$12</definedName>
    <definedName function="false" hidden="false" localSheetId="6" name="Interest_Rate" vbProcedure="false">'C06 Term comparison'!$C$7</definedName>
    <definedName function="false" hidden="false" localSheetId="6" name="Loan_Amount" vbProcedure="false">'C06 Term comparison'!$C$6</definedName>
    <definedName function="false" hidden="false" localSheetId="6" name="Monthly_A" vbProcedure="false">'C06 Term comparison'!$C$13</definedName>
    <definedName function="false" hidden="false" localSheetId="6" name="Monthly_B" vbProcedure="false">'C06 Term comparison'!$C$14</definedName>
    <definedName function="false" hidden="false" localSheetId="6" name="Plan_Goal_Kind" vbProcedure="false">'C06 Term comparison'!$C$26</definedName>
    <definedName function="false" hidden="false" localSheetId="6" name="Term_A" vbProcedure="false">'C06 Term comparison'!$C$8</definedName>
    <definedName function="false" hidden="false" localSheetId="6" name="Term_B" vbProcedure="false">'C06 Term comparison'!$C$9</definedName>
    <definedName function="false" hidden="false" localSheetId="7" name="Balance_After" vbProcedure="false">'C07 Rent vs buy'!$C$20</definedName>
    <definedName function="false" hidden="false" localSheetId="7" name="Buying_Costs" vbProcedure="false">'C07 Rent vs buy'!$C$16</definedName>
    <definedName function="false" hidden="false" localSheetId="7" name="Deposit" vbProcedure="false">'C07 Rent vs buy'!$C$8</definedName>
    <definedName function="false" hidden="false" localSheetId="7" name="Home_Equity" vbProcedure="false">'C07 Rent vs buy'!$C$14</definedName>
    <definedName function="false" hidden="false" localSheetId="7" name="Home_Price" vbProcedure="false">'C07 Rent vs buy'!$C$7</definedName>
    <definedName function="false" hidden="false" localSheetId="7" name="Home_Value" vbProcedure="false">'C07 Rent vs buy'!$C$17</definedName>
    <definedName function="false" hidden="false" localSheetId="7" name="House_Growth" vbProcedure="false">'C07 Rent vs buy'!$C$11</definedName>
    <definedName function="false" hidden="false" localSheetId="7" name="Interest_Paid" vbProcedure="false">'C07 Rent vs buy'!$C$21</definedName>
    <definedName function="false" hidden="false" localSheetId="7" name="Loan" vbProcedure="false">'C07 Rent vs buy'!$C$18</definedName>
    <definedName function="false" hidden="false" localSheetId="7" name="Monthly_Rent" vbProcedure="false">'C07 Rent vs buy'!$C$6</definedName>
    <definedName function="false" hidden="false" localSheetId="7" name="Monthly_Repayment" vbProcedure="false">'C07 Rent vs buy'!$C$19</definedName>
    <definedName function="false" hidden="false" localSheetId="7" name="Mortgage_Rate" vbProcedure="false">'C07 Rent vs buy'!$C$9</definedName>
    <definedName function="false" hidden="false" localSheetId="7" name="Plan_Goal_Amount" vbProcedure="false">'C07 Rent vs buy'!$C$34</definedName>
    <definedName function="false" hidden="false" localSheetId="7" name="Plan_Goal_Kind" vbProcedure="false">'C07 Rent vs buy'!$C$33</definedName>
    <definedName function="false" hidden="false" localSheetId="7" name="Plan_Goal_Years" vbProcedure="false">'C07 Rent vs buy'!$C$35</definedName>
    <definedName function="false" hidden="false" localSheetId="7" name="Rent_Paid" vbProcedure="false">'C07 Rent vs buy'!$C$15</definedName>
    <definedName function="false" hidden="false" localSheetId="7" name="Upkeep" vbProcedure="false">'C07 Rent vs buy'!$C$22</definedName>
    <definedName function="false" hidden="false" localSheetId="7" name="Years" vbProcedure="false">'C07 Rent vs buy'!$C$10</definedName>
    <definedName function="false" hidden="false" localSheetId="8" name="Future_Cost" vbProcedure="false">'C08 Goal planner'!$C$13</definedName>
    <definedName function="false" hidden="false" localSheetId="8" name="Goal_Amount" vbProcedure="false">'C08 Goal planner'!$C$6</definedName>
    <definedName function="false" hidden="false" localSheetId="8" name="Growth_Rate" vbProcedure="false">'C08 Goal planner'!$C$9</definedName>
    <definedName function="false" hidden="false" localSheetId="8" name="Monthly_Growth" vbProcedure="false">'C08 Goal planner'!$C$16</definedName>
    <definedName function="false" hidden="false" localSheetId="8" name="Monthly_Saving" vbProcedure="false">'C08 Goal planner'!$C$12</definedName>
    <definedName function="false" hidden="false" localSheetId="8" name="Plan_Goal_Amount" vbProcedure="false">'C08 Goal planner'!$C$29</definedName>
    <definedName function="false" hidden="false" localSheetId="8" name="Plan_Goal_Kind" vbProcedure="false">'C08 Goal planner'!$C$28</definedName>
    <definedName function="false" hidden="false" localSheetId="8" name="Plan_Goal_Saved" vbProcedure="false">'C08 Goal planner'!$C$30</definedName>
    <definedName function="false" hidden="false" localSheetId="8" name="Plan_Goal_Years" vbProcedure="false">'C08 Goal planner'!$C$31</definedName>
    <definedName function="false" hidden="false" localSheetId="8" name="Saved" vbProcedure="false">'C08 Goal planner'!$C$8</definedName>
    <definedName function="false" hidden="false" localSheetId="8" name="Saved_Grows_To" vbProcedure="false">'C08 Goal planner'!$C$14</definedName>
    <definedName function="false" hidden="false" localSheetId="8" name="Still_Needed" vbProcedure="false">'C08 Goal planner'!$C$15</definedName>
    <definedName function="false" hidden="false" localSheetId="8" name="Years" vbProcedure="false">'C08 Goal planner'!$C$7</definedName>
    <definedName function="false" hidden="false" localSheetId="9" name="Grows_To" vbProcedure="false">'C09 Compound growth'!$C$12</definedName>
    <definedName function="false" hidden="false" localSheetId="9" name="Growth_Earned" vbProcedure="false">'C09 Compound growth'!$C$15</definedName>
    <definedName function="false" hidden="false" localSheetId="9" name="Growth_Rate" vbProcedure="false">'C09 Compound growth'!$C$8</definedName>
    <definedName function="false" hidden="false" localSheetId="9" name="Monthly_Addition" vbProcedure="false">'C09 Compound growth'!$C$7</definedName>
    <definedName function="false" hidden="false" localSheetId="9" name="Monthly_Growth" vbProcedure="false">'C09 Compound growth'!$C$16</definedName>
    <definedName function="false" hidden="false" localSheetId="9" name="Paid_In" vbProcedure="false">'C09 Compound growth'!$C$14</definedName>
    <definedName function="false" hidden="false" localSheetId="9" name="Plan_Goal_Amount" vbProcedure="false">'C09 Compound growth'!$C$28</definedName>
    <definedName function="false" hidden="false" localSheetId="9" name="Plan_Goal_Kind" vbProcedure="false">'C09 Compound growth'!$C$27</definedName>
    <definedName function="false" hidden="false" localSheetId="9" name="Plan_Goal_Years" vbProcedure="false">'C09 Compound growth'!$C$29</definedName>
    <definedName function="false" hidden="false" localSheetId="9" name="Starting_Amount" vbProcedure="false">'C09 Compound growth'!$C$6</definedName>
    <definedName function="false" hidden="false" localSheetId="9" name="Value_Today" vbProcedure="false">'C09 Compound growth'!$C$13</definedName>
    <definedName function="false" hidden="false" localSheetId="9" name="Years" vbProcedure="false">'C09 Compound growth'!$C$9</definedName>
    <definedName function="false" hidden="false" localSheetId="10" name="Adjust_For_Inflation" vbProcedure="false">'C10 Lump sum growth'!$C$10</definedName>
    <definedName function="false" hidden="false" localSheetId="10" name="Amount" vbProcedure="false">'C10 Lump sum growth'!$C$6</definedName>
    <definedName function="false" hidden="false" localSheetId="10" name="Cost_Of_Waiting" vbProcedure="false">'C10 Lump sum growth'!$C$17</definedName>
    <definedName function="false" hidden="false" localSheetId="10" name="Fees_Cost" vbProcedure="false">'C10 Lump sum growth'!$C$18</definedName>
    <definedName function="false" hidden="false" localSheetId="10" name="Grows_To" vbProcedure="false">'C10 Lump sum growth'!$C$14</definedName>
    <definedName function="false" hidden="false" localSheetId="10" name="Growth_After_Fees" vbProcedure="false">'C10 Lump sum growth'!$C$19</definedName>
    <definedName function="false" hidden="false" localSheetId="10" name="Growth_Rate" vbProcedure="false">'C10 Lump sum growth'!$C$7</definedName>
    <definedName function="false" hidden="false" localSheetId="10" name="Headline" vbProcedure="false">'C10 Lump sum growth'!$C$13</definedName>
    <definedName function="false" hidden="false" localSheetId="10" name="Plan_Goal_Amount" vbProcedure="false">'C10 Lump sum growth'!$C$33</definedName>
    <definedName function="false" hidden="false" localSheetId="10" name="Plan_Goal_Kind" vbProcedure="false">'C10 Lump sum growth'!$C$32</definedName>
    <definedName function="false" hidden="false" localSheetId="10" name="Plan_Goal_Years" vbProcedure="false">'C10 Lump sum growth'!$C$34</definedName>
    <definedName function="false" hidden="false" localSheetId="10" name="Real_Return" vbProcedure="false">'C10 Lump sum growth'!$C$20</definedName>
    <definedName function="false" hidden="false" localSheetId="10" name="Value_Start_Later" vbProcedure="false">'C10 Lump sum growth'!$C$16</definedName>
    <definedName function="false" hidden="false" localSheetId="10" name="Value_Today" vbProcedure="false">'C10 Lump sum growth'!$C$15</definedName>
    <definedName function="false" hidden="false" localSheetId="10" name="Yearly_Fees" vbProcedure="false">'C10 Lump sum growth'!$C$9</definedName>
    <definedName function="false" hidden="false" localSheetId="10" name="Years" vbProcedure="false">'C10 Lump sum growth'!$C$8</definedName>
    <definedName function="false" hidden="false" localSheetId="11" name="Essential_Spending" vbProcedure="false">'C11 Emergency fund'!$C$6</definedName>
    <definedName function="false" hidden="false" localSheetId="11" name="Months_Covered" vbProcedure="false">'C11 Emergency fund'!$C$11</definedName>
    <definedName function="false" hidden="false" localSheetId="11" name="Months_Wanted" vbProcedure="false">'C11 Emergency fund'!$C$7</definedName>
    <definedName function="false" hidden="false" localSheetId="11" name="Plan_Goal_Amount" vbProcedure="false">'C11 Emergency fund'!$C$22</definedName>
    <definedName function="false" hidden="false" localSheetId="11" name="Plan_Goal_Kind" vbProcedure="false">'C11 Emergency fund'!$C$21</definedName>
    <definedName function="false" hidden="false" localSheetId="11" name="Plan_Goal_Saved" vbProcedure="false">'C11 Emergency fund'!$C$23</definedName>
    <definedName function="false" hidden="false" localSheetId="11" name="Plan_Goal_Years" vbProcedure="false">'C11 Emergency fund'!$C$24</definedName>
    <definedName function="false" hidden="false" localSheetId="11" name="Savings" vbProcedure="false">'C11 Emergency fund'!$C$8</definedName>
    <definedName function="false" hidden="false" localSheetId="11" name="Still_To_Build" vbProcedure="false">'C11 Emergency fund'!$C$13</definedName>
    <definedName function="false" hidden="false" localSheetId="11" name="Target" vbProcedure="false">'C11 Emergency fund'!$C$12</definedName>
    <definedName function="false" hidden="false" localSheetId="12" name="Age" vbProcedure="false">'C12 Retirement projection'!$C$6</definedName>
    <definedName function="false" hidden="false" localSheetId="12" name="Contribution" vbProcedure="false">'C12 Retirement projection'!$C$23</definedName>
    <definedName function="false" hidden="false" localSheetId="12" name="Contributions_Grow_To" vbProcedure="false">'C12 Retirement projection'!$C$24</definedName>
    <definedName function="false" hidden="false" localSheetId="12" name="Desired_Income" vbProcedure="false">'C12 Retirement projection'!$C$10</definedName>
    <definedName function="false" hidden="false" localSheetId="12" name="Fund_Today" vbProcedure="false">'C12 Retirement projection'!$C$20</definedName>
    <definedName function="false" hidden="false" localSheetId="12" name="Gap_Today" vbProcedure="false">'C12 Retirement projection'!$C$18</definedName>
    <definedName function="false" hidden="false" localSheetId="12" name="Growth_Rate" vbProcedure="false">'C12 Retirement projection'!$C$12</definedName>
    <definedName function="false" hidden="false" localSheetId="12" name="Monthly_Contribution" vbProcedure="false">'C12 Retirement projection'!$C$9</definedName>
    <definedName function="false" hidden="false" localSheetId="12" name="Other_Income" vbProcedure="false">'C12 Retirement projection'!$C$11</definedName>
    <definedName function="false" hidden="false" localSheetId="12" name="Pay_Rise" vbProcedure="false">'C12 Retirement projection'!$C$25</definedName>
    <definedName function="false" hidden="false" localSheetId="12" name="Pension_Today" vbProcedure="false">'C12 Retirement projection'!$C$8</definedName>
    <definedName function="false" hidden="false" localSheetId="12" name="Plan_Goal_Age" vbProcedure="false">'C12 Retirement projection'!$C$39</definedName>
    <definedName function="false" hidden="false" localSheetId="12" name="Plan_Goal_Income" vbProcedure="false">'C12 Retirement projection'!$C$38</definedName>
    <definedName function="false" hidden="false" localSheetId="12" name="Plan_Goal_Kind" vbProcedure="false">'C12 Retirement projection'!$C$37</definedName>
    <definedName function="false" hidden="false" localSheetId="12" name="Projected_Fund" vbProcedure="false">'C12 Retirement projection'!$C$19</definedName>
    <definedName function="false" hidden="false" localSheetId="12" name="Retirement_Age" vbProcedure="false">'C12 Retirement projection'!$C$7</definedName>
    <definedName function="false" hidden="false" localSheetId="12" name="Retire_Later" vbProcedure="false">'C12 Retirement projection'!$C$13</definedName>
    <definedName function="false" hidden="false" localSheetId="12" name="Save_More" vbProcedure="false">'C12 Retirement projection'!$C$14</definedName>
    <definedName function="false" hidden="false" localSheetId="12" name="Spend_Less" vbProcedure="false">'C12 Retirement projection'!$C$15</definedName>
    <definedName function="false" hidden="false" localSheetId="12" name="Target_Today" vbProcedure="false">'C12 Retirement projection'!$C$21</definedName>
    <definedName function="false" hidden="false" localSheetId="12" name="Years_To_Retirement" vbProcedure="false">'C12 Retirement projection'!$C$22</definedName>
    <definedName function="false" hidden="false" localSheetId="13" name="Extra_Per_Month" vbProcedure="false">'C13 Contribution impact'!$C$15</definedName>
    <definedName function="false" hidden="false" localSheetId="13" name="Grows_To" vbProcedure="false">'C13 Contribution impact'!$C$13</definedName>
    <definedName function="false" hidden="false" localSheetId="13" name="Growth_Rate" vbProcedure="false">'C13 Contribution impact'!$C$9</definedName>
    <definedName function="false" hidden="false" localSheetId="13" name="Increase_Pct" vbProcedure="false">'C13 Contribution impact'!$C$7</definedName>
    <definedName function="false" hidden="false" localSheetId="13" name="Net_Cost_Per_Month" vbProcedure="false">'C13 Contribution impact'!$C$16</definedName>
    <definedName function="false" hidden="false" localSheetId="13" name="Plan_Goal_Contribution" vbProcedure="false">'C13 Contribution impact'!$C$27</definedName>
    <definedName function="false" hidden="false" localSheetId="13" name="Plan_Goal_Kind" vbProcedure="false">'C13 Contribution impact'!$C$26</definedName>
    <definedName function="false" hidden="false" localSheetId="13" name="Salary" vbProcedure="false">'C13 Contribution impact'!$C$6</definedName>
    <definedName function="false" hidden="false" localSheetId="13" name="Tax_Rate" vbProcedure="false">'C13 Contribution impact'!$C$10</definedName>
    <definedName function="false" hidden="false" localSheetId="13" name="Value_Today" vbProcedure="false">'C13 Contribution impact'!$C$14</definedName>
    <definedName function="false" hidden="false" localSheetId="13" name="Years" vbProcedure="false">'C13 Contribution impact'!$C$8</definedName>
    <definedName function="false" hidden="false" localSheetId="14" name="AVC_Per_Month" vbProcedure="false">'C14 AVC impact'!$C$6</definedName>
    <definedName function="false" hidden="false" localSheetId="14" name="Grows_To" vbProcedure="false">'C14 AVC impact'!$C$12</definedName>
    <definedName function="false" hidden="false" localSheetId="14" name="Growth_Rate" vbProcedure="false">'C14 AVC impact'!$C$8</definedName>
    <definedName function="false" hidden="false" localSheetId="14" name="Net_Cost" vbProcedure="false">'C14 AVC impact'!$C$15</definedName>
    <definedName function="false" hidden="false" localSheetId="14" name="Net_Cost_Per_Month" vbProcedure="false">'C14 AVC impact'!$C$16</definedName>
    <definedName function="false" hidden="false" localSheetId="14" name="Paid_In" vbProcedure="false">'C14 AVC impact'!$C$14</definedName>
    <definedName function="false" hidden="false" localSheetId="14" name="Plan_Goal_Contribution" vbProcedure="false">'C14 AVC impact'!$C$26</definedName>
    <definedName function="false" hidden="false" localSheetId="14" name="Plan_Goal_Kind" vbProcedure="false">'C14 AVC impact'!$C$25</definedName>
    <definedName function="false" hidden="false" localSheetId="14" name="Tax_Rate" vbProcedure="false">'C14 AVC impact'!$C$9</definedName>
    <definedName function="false" hidden="false" localSheetId="14" name="Value_Today" vbProcedure="false">'C14 AVC impact'!$C$13</definedName>
    <definedName function="false" hidden="false" localSheetId="14" name="Years" vbProcedure="false">'C14 AVC impact'!$C$7</definedName>
    <definedName function="false" hidden="false" localSheetId="15" name="Growth_Rate" vbProcedure="false">'C15 Will my money last'!$C$8</definedName>
    <definedName function="false" hidden="false" localSheetId="15" name="Plan_Goal_Kind" vbProcedure="false">'C15 Will my money last'!$C$86</definedName>
    <definedName function="false" hidden="false" localSheetId="15" name="Retirement_Savings" vbProcedure="false">'C15 Will my money last'!$C$6</definedName>
    <definedName function="false" hidden="false" localSheetId="15" name="Withdrawal_Rate" vbProcedure="false">'C15 Will my money last'!$C$12</definedName>
    <definedName function="false" hidden="false" localSheetId="15" name="W_end" vbProcedure="false">'C15 Will my money last'!$F$15:$F$74</definedName>
    <definedName function="false" hidden="false" localSheetId="15" name="W_paid" vbProcedure="false">'C15 Will my money last'!$E$15:$E$74</definedName>
    <definedName function="false" hidden="false" localSheetId="15" name="W_start" vbProcedure="false">'C15 Will my money last'!$D$15:$D$74</definedName>
    <definedName function="false" hidden="false" localSheetId="15" name="W_w" vbProcedure="false">'C15 Will my money last'!$C$15:$C$74</definedName>
    <definedName function="false" hidden="false" localSheetId="15" name="W_year" vbProcedure="false">'C15 Will my money last'!$B$15:$B$74</definedName>
    <definedName function="false" hidden="false" localSheetId="15" name="Yearly_Withdrawal" vbProcedure="false">'C15 Will my money last'!$C$7</definedName>
    <definedName function="false" hidden="false" localSheetId="15" name="Years_Lasting" vbProcedure="false">'C15 Will my money last'!$C$11</definedName>
    <definedName function="false" hidden="false" localSheetId="16" name="Plan_Goal_Kind" vbProcedure="false">'C16 Drawdown scenarios'!$C$85</definedName>
    <definedName function="false" hidden="false" localSheetId="16" name="Retirement_Savings" vbProcedure="false">'C16 Drawdown scenarios'!$C$6</definedName>
    <definedName function="false" hidden="false" localSheetId="16" name="W_b_paid" vbProcedure="false">'C16 Drawdown scenarios'!$G$15:$G$74</definedName>
    <definedName function="false" hidden="false" localSheetId="16" name="W_b_start" vbProcedure="false">'C16 Drawdown scenarios'!$F$15:$F$74</definedName>
    <definedName function="false" hidden="false" localSheetId="16" name="W_c_paid" vbProcedure="false">'C16 Drawdown scenarios'!$E$15:$E$74</definedName>
    <definedName function="false" hidden="false" localSheetId="16" name="W_c_start" vbProcedure="false">'C16 Drawdown scenarios'!$D$15:$D$74</definedName>
    <definedName function="false" hidden="false" localSheetId="16" name="W_g_paid" vbProcedure="false">'C16 Drawdown scenarios'!$I$15:$I$74</definedName>
    <definedName function="false" hidden="false" localSheetId="16" name="W_g_start" vbProcedure="false">'C16 Drawdown scenarios'!$H$15:$H$74</definedName>
    <definedName function="false" hidden="false" localSheetId="16" name="W_w" vbProcedure="false">'C16 Drawdown scenarios'!$C$15:$C$74</definedName>
    <definedName function="false" hidden="false" localSheetId="16" name="W_year" vbProcedure="false">'C16 Drawdown scenarios'!$B$15:$B$74</definedName>
    <definedName function="false" hidden="false" localSheetId="16" name="Yearly_Withdrawal" vbProcedure="false">'C16 Drawdown scenarios'!$C$7</definedName>
    <definedName function="false" hidden="false" localSheetId="16" name="Years_Balanced" vbProcedure="false">'C16 Drawdown scenarios'!$C$10</definedName>
    <definedName function="false" hidden="false" localSheetId="16" name="Years_Cautious" vbProcedure="false">'C16 Drawdown scenarios'!$C$11</definedName>
    <definedName function="false" hidden="false" localSheetId="16" name="Years_Growth" vbProcedure="false">'C16 Drawdown scenarios'!$C$12</definedName>
    <definedName function="false" hidden="false" localSheetId="17" name="Amount" vbProcedure="false">'C17 Inflation adjusted return'!$C$6</definedName>
    <definedName function="false" hidden="false" localSheetId="17" name="Future_Value" vbProcedure="false">'C17 Inflation adjusted return'!$C$12</definedName>
    <definedName function="false" hidden="false" localSheetId="17" name="Nominal_Return" vbProcedure="false">'C17 Inflation adjusted return'!$C$7</definedName>
    <definedName function="false" hidden="false" localSheetId="17" name="Plan_Goal_Kind" vbProcedure="false">'C17 Inflation adjusted return'!$C$23</definedName>
    <definedName function="false" hidden="false" localSheetId="17" name="Real_Return" vbProcedure="false">'C17 Inflation adjusted return'!$C$13</definedName>
    <definedName function="false" hidden="false" localSheetId="17" name="Value_Today" vbProcedure="false">'C17 Inflation adjusted return'!$C$11</definedName>
    <definedName function="false" hidden="false" localSheetId="17" name="Years" vbProcedure="false">'C17 Inflation adjusted return'!$C$8</definedName>
    <definedName function="false" hidden="false" localSheetId="18" name="Adjust_For_Inflation" vbProcedure="false">'C18 Regular investing'!$C$10</definedName>
    <definedName function="false" hidden="false" localSheetId="18" name="Fees_Cost" vbProcedure="false">'C18 Regular investing'!$C$16</definedName>
    <definedName function="false" hidden="false" localSheetId="18" name="Growth_After_Fees" vbProcedure="false">'C18 Regular investing'!$C$19</definedName>
    <definedName function="false" hidden="false" localSheetId="18" name="Growth_Rate" vbProcedure="false">'C18 Regular investing'!$C$8</definedName>
    <definedName function="false" hidden="false" localSheetId="18" name="Headline" vbProcedure="false">'C18 Regular investing'!$C$13</definedName>
    <definedName function="false" hidden="false" localSheetId="18" name="Monthly_Amount" vbProcedure="false">'C18 Regular investing'!$C$6</definedName>
    <definedName function="false" hidden="false" localSheetId="18" name="Paid_In" vbProcedure="false">'C18 Regular investing'!$C$17</definedName>
    <definedName function="false" hidden="false" localSheetId="18" name="Plan_Goal_Amount" vbProcedure="false">'C18 Regular investing'!$C$31</definedName>
    <definedName function="false" hidden="false" localSheetId="18" name="Plan_Goal_Kind" vbProcedure="false">'C18 Regular investing'!$C$30</definedName>
    <definedName function="false" hidden="false" localSheetId="18" name="Plan_Goal_Years" vbProcedure="false">'C18 Regular investing'!$C$32</definedName>
    <definedName function="false" hidden="false" localSheetId="18" name="Real_Return" vbProcedure="false">'C18 Regular investing'!$C$20</definedName>
    <definedName function="false" hidden="false" localSheetId="18" name="Value_After_Fees" vbProcedure="false">'C18 Regular investing'!$C$14</definedName>
    <definedName function="false" hidden="false" localSheetId="18" name="Value_Before_Fees" vbProcedure="false">'C18 Regular investing'!$C$15</definedName>
    <definedName function="false" hidden="false" localSheetId="18" name="Value_Today" vbProcedure="false">'C18 Regular investing'!$C$18</definedName>
    <definedName function="false" hidden="false" localSheetId="18" name="Yearly_Fees" vbProcedure="false">'C18 Regular investing'!$C$9</definedName>
    <definedName function="false" hidden="false" localSheetId="18" name="Years" vbProcedure="false">'C18 Regular investing'!$C$7</definedName>
    <definedName function="false" hidden="false" localSheetId="19" name="Amount_Invested" vbProcedure="false">'C19 Fees impact'!$C$6</definedName>
    <definedName function="false" hidden="false" localSheetId="19" name="Difference" vbProcedure="false">'C19 Fees impact'!$C$13</definedName>
    <definedName function="false" hidden="false" localSheetId="19" name="Fee_A" vbProcedure="false">'C19 Fees impact'!$C$9</definedName>
    <definedName function="false" hidden="false" localSheetId="19" name="Fee_B" vbProcedure="false">'C19 Fees impact'!$C$10</definedName>
    <definedName function="false" hidden="false" localSheetId="19" name="Fee_Gap" vbProcedure="false">'C19 Fees impact'!$C$16</definedName>
    <definedName function="false" hidden="false" localSheetId="19" name="Growth_Rate" vbProcedure="false">'C19 Fees impact'!$C$8</definedName>
    <definedName function="false" hidden="false" localSheetId="19" name="Plan_Goal_Kind" vbProcedure="false">'C19 Fees impact'!$C$24</definedName>
    <definedName function="false" hidden="false" localSheetId="19" name="Value_With_Fee_A" vbProcedure="false">'C19 Fees impact'!$C$14</definedName>
    <definedName function="false" hidden="false" localSheetId="19" name="Value_With_Fee_B" vbProcedure="false">'C19 Fees impact'!$C$15</definedName>
    <definedName function="false" hidden="false" localSheetId="19" name="Years" vbProcedure="false">'C19 Fees impact'!$C$7</definedName>
    <definedName function="false" hidden="false" localSheetId="20" name="Amount" vbProcedure="false">'C20 Risk and return'!$C$6</definedName>
    <definedName function="false" hidden="false" localSheetId="20" name="Difficult_Year_Fall" vbProcedure="false">'C20 Risk and return'!$C$14</definedName>
    <definedName function="false" hidden="false" localSheetId="20" name="Middle" vbProcedure="false">'C20 Risk and return'!$C$11</definedName>
    <definedName function="false" hidden="false" localSheetId="20" name="Middle_Growth" vbProcedure="false">'C20 Risk and return'!$C$16</definedName>
    <definedName function="false" hidden="false" localSheetId="20" name="Plan_Goal_Kind" vbProcedure="false">'C20 Risk and return'!$C$28</definedName>
    <definedName function="false" hidden="false" localSheetId="20" name="Spread" vbProcedure="false">'C20 Risk and return'!$C$18</definedName>
    <definedName function="false" hidden="false" localSheetId="20" name="Stronger" vbProcedure="false">'C20 Risk and return'!$C$13</definedName>
    <definedName function="false" hidden="false" localSheetId="20" name="Style" vbProcedure="false">'C20 Risk and return'!$C$8</definedName>
    <definedName function="false" hidden="false" localSheetId="20" name="Style_Name" vbProcedure="false">'C20 Risk and return'!$C$15</definedName>
    <definedName function="false" hidden="false" localSheetId="20" name="Volatility" vbProcedure="false">'C20 Risk and return'!$C$17</definedName>
    <definedName function="false" hidden="false" localSheetId="20" name="Weaker" vbProcedure="false">'C20 Risk and return'!$C$12</definedName>
    <definedName function="false" hidden="false" localSheetId="20" name="Years" vbProcedure="false">'C20 Risk and return'!$C$7</definedName>
    <definedName function="false" hidden="false" localSheetId="21" name="Already_Have" vbProcedure="false">'C21 Life cover'!$C$19</definedName>
    <definedName function="false" hidden="false" localSheetId="21" name="Cover_Gap" vbProcedure="false">'C21 Life cover'!$C$16</definedName>
    <definedName function="false" hidden="false" localSheetId="21" name="Debts_To_Clear" vbProcedure="false">'C21 Life cover'!$C$18</definedName>
    <definedName function="false" hidden="false" localSheetId="21" name="Existing_Cover" vbProcedure="false">'C21 Life cover'!$C$12</definedName>
    <definedName function="false" hidden="false" localSheetId="21" name="Income_Need" vbProcedure="false">'C21 Life cover'!$C$17</definedName>
    <definedName function="false" hidden="false" localSheetId="21" name="Income_Replacement" vbProcedure="false">'C21 Life cover'!$C$20</definedName>
    <definedName function="false" hidden="false" localSheetId="21" name="Mortgage_Balance" vbProcedure="false">'C21 Life cover'!$C$8</definedName>
    <definedName function="false" hidden="false" localSheetId="21" name="Mortgage_Protected" vbProcedure="false">'C21 Life cover'!$C$9</definedName>
    <definedName function="false" hidden="false" localSheetId="21" name="Other_Debts" vbProcedure="false">'C21 Life cover'!$C$10</definedName>
    <definedName function="false" hidden="false" localSheetId="21" name="Plan_Goal_Kind" vbProcedure="false">'C21 Life cover'!$C$31</definedName>
    <definedName function="false" hidden="false" localSheetId="21" name="Plan_Goal_Need" vbProcedure="false">'C21 Life cover'!$C$32</definedName>
    <definedName function="false" hidden="false" localSheetId="21" name="Savings" vbProcedure="false">'C21 Life cover'!$C$11</definedName>
    <definedName function="false" hidden="false" localSheetId="21" name="Survivor_Pension" vbProcedure="false">'C21 Life cover'!$C$13</definedName>
    <definedName function="false" hidden="false" localSheetId="21" name="Yearly_Income" vbProcedure="false">'C21 Life cover'!$C$6</definedName>
    <definedName function="false" hidden="false" localSheetId="21" name="Years_Support" vbProcedure="false">'C21 Life cover'!$C$7</definedName>
    <definedName function="false" hidden="false" localSheetId="22" name="Essential_Spending" vbProcedure="false">'C22 Income protection gap'!$C$6</definedName>
    <definedName function="false" hidden="false" localSheetId="22" name="Gross_Income" vbProcedure="false">'C22 Income protection gap'!$C$9</definedName>
    <definedName function="false" hidden="false" localSheetId="22" name="Illness_Benefit_Month" vbProcedure="false">'C22 Income protection gap'!$C$15</definedName>
    <definedName function="false" hidden="false" localSheetId="22" name="IP_Max" vbProcedure="false">'C22 Income protection gap'!$C$17</definedName>
    <definedName function="false" hidden="false" localSheetId="22" name="IP_Needed" vbProcedure="false">'C22 Income protection gap'!$C$14</definedName>
    <definedName function="false" hidden="false" localSheetId="22" name="Monthly_Gap" vbProcedure="false">'C22 Income protection gap'!$C$13</definedName>
    <definedName function="false" hidden="false" localSheetId="22" name="Months_Coping" vbProcedure="false">'C22 Income protection gap'!$C$12</definedName>
    <definedName function="false" hidden="false" localSheetId="22" name="Plan_Goal_Kind" vbProcedure="false">'C22 Income protection gap'!$C$28</definedName>
    <definedName function="false" hidden="false" localSheetId="22" name="Plan_Goal_Need" vbProcedure="false">'C22 Income protection gap'!$C$29</definedName>
    <definedName function="false" hidden="false" localSheetId="22" name="Savings" vbProcedure="false">'C22 Income protection gap'!$C$8</definedName>
    <definedName function="false" hidden="false" localSheetId="22" name="Savings_Months" vbProcedure="false">'C22 Income protection gap'!$C$16</definedName>
    <definedName function="false" hidden="false" localSheetId="22" name="Sick_Pay_Months" vbProcedure="false">'C22 Income protection gap'!$C$7</definedName>
    <definedName function="false" hidden="false" localSheetId="23" name="Actual_Repayment" vbProcedure="false">'C23 Mortgage protection'!$C$9</definedName>
    <definedName function="false" hidden="false" localSheetId="23" name="Balance_Year_1" vbProcedure="false">'C23 Mortgage protection'!$C$14</definedName>
    <definedName function="false" hidden="false" localSheetId="23" name="Balance_Year_2" vbProcedure="false">'C23 Mortgage protection'!$C$15</definedName>
    <definedName function="false" hidden="false" localSheetId="23" name="Balance_Year_3" vbProcedure="false">'C23 Mortgage protection'!$C$16</definedName>
    <definedName function="false" hidden="false" localSheetId="23" name="Cover_Today" vbProcedure="false">'C23 Mortgage protection'!$C$12</definedName>
    <definedName function="false" hidden="false" localSheetId="23" name="Interest_Rate" vbProcedure="false">'C23 Mortgage protection'!$C$7</definedName>
    <definedName function="false" hidden="false" localSheetId="23" name="Monthly_Rate" vbProcedure="false">'C23 Mortgage protection'!$C$17</definedName>
    <definedName function="false" hidden="false" localSheetId="23" name="Mortgage_Balance" vbProcedure="false">'C23 Mortgage protection'!$C$6</definedName>
    <definedName function="false" hidden="false" localSheetId="23" name="Plan_Goal_Kind" vbProcedure="false">'C23 Mortgage protection'!$C$26</definedName>
    <definedName function="false" hidden="false" localSheetId="23" name="Repayment" vbProcedure="false">'C23 Mortgage protection'!$C$18</definedName>
    <definedName function="false" hidden="false" localSheetId="23" name="Warning" vbProcedure="false">'C23 Mortgage protection'!$C$13</definedName>
    <definedName function="false" hidden="false" localSheetId="23" name="Years_Left" vbProcedure="false">'C23 Mortgage protection'!$C$8</definedName>
    <definedName function="false" hidden="false" localSheetId="24" name="Investments" vbProcedure="false">'C24 Net worth'!$C$7</definedName>
    <definedName function="false" hidden="false" localSheetId="24" name="Mortgage" vbProcedure="false">'C24 Net worth'!$C$10</definedName>
    <definedName function="false" hidden="false" localSheetId="24" name="Net_Worth" vbProcedure="false">'C24 Net worth'!$C$14</definedName>
    <definedName function="false" hidden="false" localSheetId="24" name="Other_Loans" vbProcedure="false">'C24 Net worth'!$C$11</definedName>
    <definedName function="false" hidden="false" localSheetId="24" name="Pensions" vbProcedure="false">'C24 Net worth'!$C$8</definedName>
    <definedName function="false" hidden="false" localSheetId="24" name="Plan_Goal_Kind" vbProcedure="false">'C24 Net worth'!$C$24</definedName>
    <definedName function="false" hidden="false" localSheetId="24" name="Property" vbProcedure="false">'C24 Net worth'!$C$9</definedName>
    <definedName function="false" hidden="false" localSheetId="24" name="Savings" vbProcedure="false">'C24 Net worth'!$C$6</definedName>
    <definedName function="false" hidden="false" localSheetId="24" name="You_Owe" vbProcedure="false">'C24 Net worth'!$C$16</definedName>
    <definedName function="false" hidden="false" localSheetId="24" name="You_Own" vbProcedure="false">'C24 Net worth'!$C$15</definedName>
    <definedName function="false" hidden="false" localSheetId="25" name="Debt_Repayments" vbProcedure="false">'C25 Monthly surplus'!$C$9</definedName>
    <definedName function="false" hidden="false" localSheetId="25" name="Essentials" vbProcedure="false">'C25 Monthly surplus'!$C$7</definedName>
    <definedName function="false" hidden="false" localSheetId="25" name="Going_Out" vbProcedure="false">'C25 Monthly surplus'!$C$13</definedName>
    <definedName function="false" hidden="false" localSheetId="25" name="Lifestyle" vbProcedure="false">'C25 Monthly surplus'!$C$8</definedName>
    <definedName function="false" hidden="false" localSheetId="25" name="Plan_Goal_Amount" vbProcedure="false">'C25 Monthly surplus'!$C$22</definedName>
    <definedName function="false" hidden="false" localSheetId="25" name="Plan_Goal_Kind" vbProcedure="false">'C25 Monthly surplus'!$C$21</definedName>
    <definedName function="false" hidden="false" localSheetId="25" name="Plan_Goal_Years" vbProcedure="false">'C25 Monthly surplus'!$C$23</definedName>
    <definedName function="false" hidden="false" localSheetId="25" name="Surplus" vbProcedure="false">'C25 Monthly surplus'!$C$12</definedName>
    <definedName function="false" hidden="false" localSheetId="25" name="Take_Home" vbProcedure="false">'C25 Monthly surplus'!$C$6</definedName>
    <definedName function="false" hidden="false" localSheetId="26" name="Needs" vbProcedure="false">'C26 Budget 50 30 20'!$C$10</definedName>
    <definedName function="false" hidden="false" localSheetId="26" name="Plan_Goal_Kind" vbProcedure="false">'C26 Budget 50 30 20'!$C$19</definedName>
    <definedName function="false" hidden="false" localSheetId="26" name="Save" vbProcedure="false">'C26 Budget 50 30 20'!$C$9</definedName>
    <definedName function="false" hidden="false" localSheetId="26" name="Take_Home" vbProcedure="false">'C26 Budget 50 30 20'!$C$6</definedName>
    <definedName function="false" hidden="false" localSheetId="26" name="Wants" vbProcedure="false">'C26 Budget 50 30 20'!$C$11</definedName>
    <definedName function="false" hidden="false" localSheetId="27" name="APR" vbProcedure="false">'C27 Debt repayment'!$C$7</definedName>
    <definedName function="false" hidden="false" localSheetId="27" name="Balance" vbProcedure="false">'C27 Debt repayment'!$C$6</definedName>
    <definedName function="false" hidden="false" localSheetId="27" name="Extra_Payment" vbProcedure="false">'C27 Debt repayment'!$C$9</definedName>
    <definedName function="false" hidden="false" localSheetId="27" name="Final_Payment" vbProcedure="false">'C27 Debt repayment'!$C$16</definedName>
    <definedName function="false" hidden="false" localSheetId="27" name="Monthly_Payment" vbProcedure="false">'C27 Debt repayment'!$C$8</definedName>
    <definedName function="false" hidden="false" localSheetId="27" name="Monthly_Rate" vbProcedure="false">'C27 Debt repayment'!$C$14</definedName>
    <definedName function="false" hidden="false" localSheetId="27" name="Months_To_Clear" vbProcedure="false">'C27 Debt repayment'!$C$12</definedName>
    <definedName function="false" hidden="false" localSheetId="27" name="Payment" vbProcedure="false">'C27 Debt repayment'!$C$15</definedName>
    <definedName function="false" hidden="false" localSheetId="27" name="Plan_Goal_Kind" vbProcedure="false">'C27 Debt repayment'!$C$28</definedName>
    <definedName function="false" hidden="false" localSheetId="27" name="Total_Interest" vbProcedure="false">'C27 Debt repayment'!$C$13</definedName>
    <definedName function="false" hidden="false" localSheetId="28" name="APR" vbProcedure="false">'C28 Loan repayment'!$C$7</definedName>
    <definedName function="false" hidden="false" localSheetId="28" name="Loan_Amount" vbProcedure="false">'C28 Loan repayment'!$C$6</definedName>
    <definedName function="false" hidden="false" localSheetId="28" name="Monthly_Rate" vbProcedure="false">'C28 Loan repayment'!$C$14</definedName>
    <definedName function="false" hidden="false" localSheetId="28" name="Monthly_Repayment" vbProcedure="false">'C28 Loan repayment'!$C$11</definedName>
    <definedName function="false" hidden="false" localSheetId="28" name="Plan_Goal_Kind" vbProcedure="false">'C28 Loan repayment'!$C$23</definedName>
    <definedName function="false" hidden="false" localSheetId="28" name="Total_Interest" vbProcedure="false">'C28 Loan repayment'!$C$12</definedName>
    <definedName function="false" hidden="false" localSheetId="28" name="Total_Repaid" vbProcedure="false">'C28 Loan repayment'!$C$13</definedName>
    <definedName function="false" hidden="false" localSheetId="28" name="Years" vbProcedure="false">'C28 Loan repayment'!$C$8</definedName>
  </definedNames>
  <calcPr calcId="191029" calcMode="auto" fullCalcOnLoad="1" iterate="false" refMode="A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€60,000 · pre-filled from Your finances: income</t>
        </r>
      </text>
    </comment>
    <comment ref="C7" authorId="0">
      <text>
        <r>
          <rPr>
            <sz val="10"/>
            <rFont val="Arial"/>
            <family val="2"/>
          </rPr>
          <t xml:space="preserve">Default: €0 · pre-filled from Your finances: partner's income</t>
        </r>
      </text>
    </comment>
    <comment ref="C8" authorId="0">
      <text>
        <r>
          <rPr>
            <sz val="10"/>
            <rFont val="Arial"/>
            <family val="2"/>
          </rPr>
          <t xml:space="preserve">Default: €25,000 · pre-filled from Plan: home goal's amount saved</t>
        </r>
      </text>
    </comment>
    <comment ref="C9" authorId="0">
      <text>
        <r>
          <rPr>
            <sz val="10"/>
            <rFont val="Arial"/>
            <family val="2"/>
          </rPr>
          <t xml:space="preserve">Default: Yes · pre-filled from Your finances: home status (owner = No)</t>
        </r>
      </text>
    </comment>
    <comment ref="C10" authorId="0">
      <text>
        <r>
          <rPr>
            <sz val="10"/>
            <rFont val="Arial"/>
            <family val="2"/>
          </rPr>
          <t xml:space="preserve">Default: 4%</t>
        </r>
      </text>
    </comment>
    <comment ref="C11" authorId="0">
      <text>
        <r>
          <rPr>
            <sz val="10"/>
            <rFont val="Arial"/>
            <family val="2"/>
          </rPr>
          <t xml:space="preserve">Default: 30</t>
        </r>
      </text>
    </comment>
    <comment ref="C12" authorId="0">
      <text>
        <r>
          <rPr>
            <sz val="10"/>
            <rFont val="Arial"/>
            <family val="2"/>
          </rPr>
          <t xml:space="preserve">Default: €0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€300,000 · pre-filled from Your finances / mortgage statement: balance</t>
        </r>
      </text>
    </comment>
    <comment ref="C7" authorId="0">
      <text>
        <r>
          <rPr>
            <sz val="10"/>
            <rFont val="Arial"/>
            <family val="2"/>
          </rPr>
          <t xml:space="preserve">Default: 4% · pre-filled from Your finances / mortgage statement: rate</t>
        </r>
      </text>
    </comment>
    <comment ref="C8" authorId="0">
      <text>
        <r>
          <rPr>
            <sz val="10"/>
            <rFont val="Arial"/>
            <family val="2"/>
          </rPr>
          <t xml:space="preserve">Default: 30 · pre-filled from Years left (25 if not given)</t>
        </r>
      </text>
    </comment>
    <comment ref="C9" authorId="0">
      <text>
        <r>
          <rPr>
            <sz val="10"/>
            <rFont val="Arial"/>
            <family val="2"/>
          </rPr>
          <t xml:space="preserve">Default: €0 · pre-filled from Your finances / statement: stated repayment</t>
        </r>
      </text>
    </comment>
    <comment ref="C10" authorId="0">
      <text>
        <r>
          <rPr>
            <sz val="10"/>
            <rFont val="Arial"/>
            <family val="2"/>
          </rPr>
          <t xml:space="preserve">Default: 0%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€350,000</t>
        </r>
      </text>
    </comment>
    <comment ref="C7" authorId="0">
      <text>
        <r>
          <rPr>
            <sz val="10"/>
            <rFont val="Arial"/>
            <family val="2"/>
          </rPr>
          <t xml:space="preserve">Default: 10%</t>
        </r>
      </text>
    </comment>
    <comment ref="C8" authorId="0">
      <text>
        <r>
          <rPr>
            <sz val="10"/>
            <rFont val="Arial"/>
            <family val="2"/>
          </rPr>
          <t xml:space="preserve">Default: €12,000 · pre-filled from Plan: home goal's amount saved</t>
        </r>
      </text>
    </comment>
    <comment ref="C9" authorId="0">
      <text>
        <r>
          <rPr>
            <sz val="10"/>
            <rFont val="Arial"/>
            <family val="2"/>
          </rPr>
          <t xml:space="preserve">Default: €800</t>
        </r>
      </text>
    </comment>
    <comment ref="C10" authorId="0">
      <text>
        <r>
          <rPr>
            <sz val="10"/>
            <rFont val="Arial"/>
            <family val="2"/>
          </rPr>
          <t xml:space="preserve">Default: €0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€250,000 · pre-filled from Your finances / statement: balance</t>
        </r>
      </text>
    </comment>
    <comment ref="C7" authorId="0">
      <text>
        <r>
          <rPr>
            <sz val="10"/>
            <rFont val="Arial"/>
            <family val="2"/>
          </rPr>
          <t xml:space="preserve">Default: 4% · pre-filled from Your finances / statement: rate</t>
        </r>
      </text>
    </comment>
    <comment ref="C8" authorId="0">
      <text>
        <r>
          <rPr>
            <sz val="10"/>
            <rFont val="Arial"/>
            <family val="2"/>
          </rPr>
          <t xml:space="preserve">Default: 25 · pre-filled from Years left (25 if not given)</t>
        </r>
      </text>
    </comment>
    <comment ref="C9" authorId="0">
      <text>
        <r>
          <rPr>
            <sz val="10"/>
            <rFont val="Arial"/>
            <family val="2"/>
          </rPr>
          <t xml:space="preserve">Default: €200</t>
        </r>
      </text>
    </comment>
    <comment ref="C10" authorId="0">
      <text>
        <r>
          <rPr>
            <sz val="10"/>
            <rFont val="Arial"/>
            <family val="2"/>
          </rPr>
          <t xml:space="preserve">Default: €0 · pre-filled from Your finances / statement: stated repayment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€300,000 · pre-filled from Your finances / statement: balance</t>
        </r>
      </text>
    </comment>
    <comment ref="C7" authorId="0">
      <text>
        <r>
          <rPr>
            <sz val="10"/>
            <rFont val="Arial"/>
            <family val="2"/>
          </rPr>
          <t xml:space="preserve">Default: 4% · pre-filled from Your finances / statement: rate</t>
        </r>
      </text>
    </comment>
    <comment ref="C8" authorId="0">
      <text>
        <r>
          <rPr>
            <sz val="10"/>
            <rFont val="Arial"/>
            <family val="2"/>
          </rPr>
          <t xml:space="preserve">Default: 25 · pre-filled from Years left (25 if not given)</t>
        </r>
      </text>
    </comment>
    <comment ref="C9" authorId="0">
      <text>
        <r>
          <rPr>
            <sz val="10"/>
            <rFont val="Arial"/>
            <family val="2"/>
          </rPr>
          <t xml:space="preserve">Default: 1%</t>
        </r>
      </text>
    </comment>
    <comment ref="C10" authorId="0">
      <text>
        <r>
          <rPr>
            <sz val="10"/>
            <rFont val="Arial"/>
            <family val="2"/>
          </rPr>
          <t xml:space="preserve">Default: €0 · pre-filled from Your finances / statement: stated repayment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€300,000 · pre-filled from Your finances / statement: balance</t>
        </r>
      </text>
    </comment>
    <comment ref="C7" authorId="0">
      <text>
        <r>
          <rPr>
            <sz val="10"/>
            <rFont val="Arial"/>
            <family val="2"/>
          </rPr>
          <t xml:space="preserve">Default: 4% · pre-filled from Your finances / statement: rate</t>
        </r>
      </text>
    </comment>
    <comment ref="C8" authorId="0">
      <text>
        <r>
          <rPr>
            <sz val="10"/>
            <rFont val="Arial"/>
            <family val="2"/>
          </rPr>
          <t xml:space="preserve">Default: 25 · pre-filled from Years left (25 if not given)</t>
        </r>
      </text>
    </comment>
    <comment ref="C9" authorId="0">
      <text>
        <r>
          <rPr>
            <sz val="10"/>
            <rFont val="Arial"/>
            <family val="2"/>
          </rPr>
          <t xml:space="preserve">Default: 35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€1,800</t>
        </r>
      </text>
    </comment>
    <comment ref="C7" authorId="0">
      <text>
        <r>
          <rPr>
            <sz val="10"/>
            <rFont val="Arial"/>
            <family val="2"/>
          </rPr>
          <t xml:space="preserve">Default: €350,000</t>
        </r>
      </text>
    </comment>
    <comment ref="C8" authorId="0">
      <text>
        <r>
          <rPr>
            <sz val="10"/>
            <rFont val="Arial"/>
            <family val="2"/>
          </rPr>
          <t xml:space="preserve">Default: €35,000</t>
        </r>
      </text>
    </comment>
    <comment ref="C9" authorId="0">
      <text>
        <r>
          <rPr>
            <sz val="10"/>
            <rFont val="Arial"/>
            <family val="2"/>
          </rPr>
          <t xml:space="preserve">Default: 4%</t>
        </r>
      </text>
    </comment>
    <comment ref="C10" authorId="0">
      <text>
        <r>
          <rPr>
            <sz val="10"/>
            <rFont val="Arial"/>
            <family val="2"/>
          </rPr>
          <t xml:space="preserve">Default: 10</t>
        </r>
      </text>
    </comment>
    <comment ref="C11" authorId="0">
      <text>
        <r>
          <rPr>
            <sz val="10"/>
            <rFont val="Arial"/>
            <family val="2"/>
          </rPr>
          <t xml:space="preserve">Default: 2%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€15,000</t>
        </r>
      </text>
    </comment>
    <comment ref="C7" authorId="0">
      <text>
        <r>
          <rPr>
            <sz val="10"/>
            <rFont val="Arial"/>
            <family val="2"/>
          </rPr>
          <t xml:space="preserve">Default: 3</t>
        </r>
      </text>
    </comment>
    <comment ref="C8" authorId="0">
      <text>
        <r>
          <rPr>
            <sz val="10"/>
            <rFont val="Arial"/>
            <family val="2"/>
          </rPr>
          <t xml:space="preserve">Default: €2,000</t>
        </r>
      </text>
    </comment>
    <comment ref="C9" authorId="0">
      <text>
        <r>
          <rPr>
            <sz val="10"/>
            <rFont val="Arial"/>
            <family val="2"/>
          </rPr>
          <t xml:space="preserve">Default: 2%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€5,000</t>
        </r>
      </text>
    </comment>
    <comment ref="C7" authorId="0">
      <text>
        <r>
          <rPr>
            <sz val="10"/>
            <rFont val="Arial"/>
            <family val="2"/>
          </rPr>
          <t xml:space="preserve">Default: €200</t>
        </r>
      </text>
    </comment>
    <comment ref="C8" authorId="0">
      <text>
        <r>
          <rPr>
            <sz val="10"/>
            <rFont val="Arial"/>
            <family val="2"/>
          </rPr>
          <t xml:space="preserve">Default: 4%</t>
        </r>
      </text>
    </comment>
    <comment ref="C9" authorId="0">
      <text>
        <r>
          <rPr>
            <sz val="10"/>
            <rFont val="Arial"/>
            <family val="2"/>
          </rPr>
          <t xml:space="preserve">Default: 20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€10,000 · pre-filled from Your finances / statement: investments</t>
        </r>
      </text>
    </comment>
    <comment ref="C7" authorId="0">
      <text>
        <r>
          <rPr>
            <sz val="10"/>
            <rFont val="Arial"/>
            <family val="2"/>
          </rPr>
          <t xml:space="preserve">Default: 4%</t>
        </r>
      </text>
    </comment>
    <comment ref="C8" authorId="0">
      <text>
        <r>
          <rPr>
            <sz val="10"/>
            <rFont val="Arial"/>
            <family val="2"/>
          </rPr>
          <t xml:space="preserve">Default: 15</t>
        </r>
      </text>
    </comment>
    <comment ref="C9" authorId="0">
      <text>
        <r>
          <rPr>
            <sz val="10"/>
            <rFont val="Arial"/>
            <family val="2"/>
          </rPr>
          <t xml:space="preserve">Default: 0%</t>
        </r>
      </text>
    </comment>
    <comment ref="C10" authorId="0">
      <text>
        <r>
          <rPr>
            <sz val="10"/>
            <rFont val="Arial"/>
            <family val="2"/>
          </rPr>
          <t xml:space="preserve">Default: No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€2,500 · pre-filled from Your finances: costs + mortgage + debt repayments</t>
        </r>
      </text>
    </comment>
    <comment ref="C7" authorId="0">
      <text>
        <r>
          <rPr>
            <sz val="10"/>
            <rFont val="Arial"/>
            <family val="2"/>
          </rPr>
          <t xml:space="preserve">Default: 6</t>
        </r>
      </text>
    </comment>
    <comment ref="C8" authorId="0">
      <text>
        <r>
          <rPr>
            <sz val="10"/>
            <rFont val="Arial"/>
            <family val="2"/>
          </rPr>
          <t xml:space="preserve">Default: €6,250 · pre-filled from Your finances: cash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40 · pre-filled from About you: age</t>
        </r>
      </text>
    </comment>
    <comment ref="C7" authorId="0">
      <text>
        <r>
          <rPr>
            <sz val="10"/>
            <rFont val="Arial"/>
            <family val="2"/>
          </rPr>
          <t xml:space="preserve">Default: 65 · pre-filled from Plan: retirement age</t>
        </r>
      </text>
    </comment>
    <comment ref="C8" authorId="0">
      <text>
        <r>
          <rPr>
            <sz val="10"/>
            <rFont val="Arial"/>
            <family val="2"/>
          </rPr>
          <t xml:space="preserve">Default: €60,000 · pre-filled from Your finances / pension statement</t>
        </r>
      </text>
    </comment>
    <comment ref="C9" authorId="0">
      <text>
        <r>
          <rPr>
            <sz val="10"/>
            <rFont val="Arial"/>
            <family val="2"/>
          </rPr>
          <t xml:space="preserve">Default: €500 · pre-filled from Your finances / pension statement</t>
        </r>
      </text>
    </comment>
    <comment ref="C10" authorId="0">
      <text>
        <r>
          <rPr>
            <sz val="10"/>
            <rFont val="Arial"/>
            <family val="2"/>
          </rPr>
          <t xml:space="preserve">Default: €40,000 · pre-filled from Plan: retirement goal income</t>
        </r>
      </text>
    </comment>
    <comment ref="C11" authorId="0">
      <text>
        <r>
          <rPr>
            <sz val="10"/>
            <rFont val="Arial"/>
            <family val="2"/>
          </rPr>
          <t xml:space="preserve">Default: €15,000 · pre-filled from State Pension €15,564 × entitlement (full 1, partly 0.6, not sure 0.8)</t>
        </r>
      </text>
    </comment>
    <comment ref="C12" authorId="0">
      <text>
        <r>
          <rPr>
            <sz val="10"/>
            <rFont val="Arial"/>
            <family val="2"/>
          </rPr>
          <t xml:space="preserve">Default: 4.5% · pre-filled from Plan: pension growth (Assumptions)</t>
        </r>
      </text>
    </comment>
    <comment ref="C13" authorId="0">
      <text>
        <r>
          <rPr>
            <sz val="10"/>
            <rFont val="Arial"/>
            <family val="2"/>
          </rPr>
          <t xml:space="preserve">Default: 0</t>
        </r>
      </text>
    </comment>
    <comment ref="C14" authorId="0">
      <text>
        <r>
          <rPr>
            <sz val="10"/>
            <rFont val="Arial"/>
            <family val="2"/>
          </rPr>
          <t xml:space="preserve">Default: €0</t>
        </r>
      </text>
    </comment>
    <comment ref="C15" authorId="0">
      <text>
        <r>
          <rPr>
            <sz val="10"/>
            <rFont val="Arial"/>
            <family val="2"/>
          </rPr>
          <t xml:space="preserve">Default: €0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€60,000 · pre-filled from Your finances: income</t>
        </r>
      </text>
    </comment>
    <comment ref="C7" authorId="0">
      <text>
        <r>
          <rPr>
            <sz val="10"/>
            <rFont val="Arial"/>
            <family val="2"/>
          </rPr>
          <t xml:space="preserve">Default: 2%</t>
        </r>
      </text>
    </comment>
    <comment ref="C8" authorId="0">
      <text>
        <r>
          <rPr>
            <sz val="10"/>
            <rFont val="Arial"/>
            <family val="2"/>
          </rPr>
          <t xml:space="preserve">Default: 25 · pre-filled from Plan: retirement age − age</t>
        </r>
      </text>
    </comment>
    <comment ref="C9" authorId="0">
      <text>
        <r>
          <rPr>
            <sz val="10"/>
            <rFont val="Arial"/>
            <family val="2"/>
          </rPr>
          <t xml:space="preserve">Default: 4.5% · pre-filled from Plan: pension growth</t>
        </r>
      </text>
    </comment>
    <comment ref="C10" authorId="0">
      <text>
        <r>
          <rPr>
            <sz val="10"/>
            <rFont val="Arial"/>
            <family val="2"/>
          </rPr>
          <t xml:space="preserve">Default: 40% · pre-filled from 40% if income &gt; €44,000, else 20%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€200</t>
        </r>
      </text>
    </comment>
    <comment ref="C7" authorId="0">
      <text>
        <r>
          <rPr>
            <sz val="10"/>
            <rFont val="Arial"/>
            <family val="2"/>
          </rPr>
          <t xml:space="preserve">Default: 15 · pre-filled from Plan: retirement age − age</t>
        </r>
      </text>
    </comment>
    <comment ref="C8" authorId="0">
      <text>
        <r>
          <rPr>
            <sz val="10"/>
            <rFont val="Arial"/>
            <family val="2"/>
          </rPr>
          <t xml:space="preserve">Default: 4.5% · pre-filled from Plan: pension growth</t>
        </r>
      </text>
    </comment>
    <comment ref="C9" authorId="0">
      <text>
        <r>
          <rPr>
            <sz val="10"/>
            <rFont val="Arial"/>
            <family val="2"/>
          </rPr>
          <t xml:space="preserve">Default: 40% · pre-filled from 40% if income &gt; €44,000, else 20%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€400,000 · pre-filled from Plan: pension projected to retirement</t>
        </r>
      </text>
    </comment>
    <comment ref="C7" authorId="0">
      <text>
        <r>
          <rPr>
            <sz val="10"/>
            <rFont val="Arial"/>
            <family val="2"/>
          </rPr>
          <t xml:space="preserve">Default: €24,000</t>
        </r>
      </text>
    </comment>
    <comment ref="C8" authorId="0">
      <text>
        <r>
          <rPr>
            <sz val="10"/>
            <rFont val="Arial"/>
            <family val="2"/>
          </rPr>
          <t xml:space="preserve">Default: 3% · pre-filled from Assumptions: pension growth once retired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€400,000 · pre-filled from Plan: pension projected to retirement</t>
        </r>
      </text>
    </comment>
    <comment ref="C7" authorId="0">
      <text>
        <r>
          <rPr>
            <sz val="10"/>
            <rFont val="Arial"/>
            <family val="2"/>
          </rPr>
          <t xml:space="preserve">Default: €20,000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€20,000 · pre-filled from Your finances / statement: investments</t>
        </r>
      </text>
    </comment>
    <comment ref="C7" authorId="0">
      <text>
        <r>
          <rPr>
            <sz val="10"/>
            <rFont val="Arial"/>
            <family val="2"/>
          </rPr>
          <t xml:space="preserve">Default: 5%</t>
        </r>
      </text>
    </comment>
    <comment ref="C8" authorId="0">
      <text>
        <r>
          <rPr>
            <sz val="10"/>
            <rFont val="Arial"/>
            <family val="2"/>
          </rPr>
          <t xml:space="preserve">Default: 15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€300</t>
        </r>
      </text>
    </comment>
    <comment ref="C7" authorId="0">
      <text>
        <r>
          <rPr>
            <sz val="10"/>
            <rFont val="Arial"/>
            <family val="2"/>
          </rPr>
          <t xml:space="preserve">Default: 15</t>
        </r>
      </text>
    </comment>
    <comment ref="C8" authorId="0">
      <text>
        <r>
          <rPr>
            <sz val="10"/>
            <rFont val="Arial"/>
            <family val="2"/>
          </rPr>
          <t xml:space="preserve">Default: 5%</t>
        </r>
      </text>
    </comment>
    <comment ref="C9" authorId="0">
      <text>
        <r>
          <rPr>
            <sz val="10"/>
            <rFont val="Arial"/>
            <family val="2"/>
          </rPr>
          <t xml:space="preserve">Default: 1%</t>
        </r>
      </text>
    </comment>
    <comment ref="C10" authorId="0">
      <text>
        <r>
          <rPr>
            <sz val="10"/>
            <rFont val="Arial"/>
            <family val="2"/>
          </rPr>
          <t xml:space="preserve">Default: No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€50,000 · pre-filled from Your finances / statement: investments</t>
        </r>
      </text>
    </comment>
    <comment ref="C7" authorId="0">
      <text>
        <r>
          <rPr>
            <sz val="10"/>
            <rFont val="Arial"/>
            <family val="2"/>
          </rPr>
          <t xml:space="preserve">Default: 20</t>
        </r>
      </text>
    </comment>
    <comment ref="C8" authorId="0">
      <text>
        <r>
          <rPr>
            <sz val="10"/>
            <rFont val="Arial"/>
            <family val="2"/>
          </rPr>
          <t xml:space="preserve">Default: 5%</t>
        </r>
      </text>
    </comment>
    <comment ref="C9" authorId="0">
      <text>
        <r>
          <rPr>
            <sz val="10"/>
            <rFont val="Arial"/>
            <family val="2"/>
          </rPr>
          <t xml:space="preserve">Default: 0.5%</t>
        </r>
      </text>
    </comment>
    <comment ref="C10" authorId="0">
      <text>
        <r>
          <rPr>
            <sz val="10"/>
            <rFont val="Arial"/>
            <family val="2"/>
          </rPr>
          <t xml:space="preserve">Default: 1.5%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€20,000 · pre-filled from Your finances / statement: investments</t>
        </r>
      </text>
    </comment>
    <comment ref="C7" authorId="0">
      <text>
        <r>
          <rPr>
            <sz val="10"/>
            <rFont val="Arial"/>
            <family val="2"/>
          </rPr>
          <t xml:space="preserve">Default: 10</t>
        </r>
      </text>
    </comment>
    <comment ref="C8" authorId="0">
      <text>
        <r>
          <rPr>
            <sz val="10"/>
            <rFont val="Arial"/>
            <family val="2"/>
          </rPr>
          <t xml:space="preserve">Default: 2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€60,000 · pre-filled from Your finances: income</t>
        </r>
      </text>
    </comment>
    <comment ref="C7" authorId="0">
      <text>
        <r>
          <rPr>
            <sz val="10"/>
            <rFont val="Arial"/>
            <family val="2"/>
          </rPr>
          <t xml:space="preserve">Default: 15</t>
        </r>
      </text>
    </comment>
    <comment ref="C8" authorId="0">
      <text>
        <r>
          <rPr>
            <sz val="10"/>
            <rFont val="Arial"/>
            <family val="2"/>
          </rPr>
          <t xml:space="preserve">Default: €250,000 · pre-filled from Your finances: mortgage balance</t>
        </r>
      </text>
    </comment>
    <comment ref="C9" authorId="0">
      <text>
        <r>
          <rPr>
            <sz val="10"/>
            <rFont val="Arial"/>
            <family val="2"/>
          </rPr>
          <t xml:space="preserve">Default: Yes</t>
        </r>
      </text>
    </comment>
    <comment ref="C10" authorId="0">
      <text>
        <r>
          <rPr>
            <sz val="10"/>
            <rFont val="Arial"/>
            <family val="2"/>
          </rPr>
          <t xml:space="preserve">Default: €10,000 · pre-filled from Your finances: debts</t>
        </r>
      </text>
    </comment>
    <comment ref="C11" authorId="0">
      <text>
        <r>
          <rPr>
            <sz val="10"/>
            <rFont val="Arial"/>
            <family val="2"/>
          </rPr>
          <t xml:space="preserve">Default: €20,000 · pre-filled from Your finances: cash + investments</t>
        </r>
      </text>
    </comment>
    <comment ref="C12" authorId="0">
      <text>
        <r>
          <rPr>
            <sz val="10"/>
            <rFont val="Arial"/>
            <family val="2"/>
          </rPr>
          <t xml:space="preserve">Default: €100,000</t>
        </r>
      </text>
    </comment>
    <comment ref="C13" authorId="0">
      <text>
        <r>
          <rPr>
            <sz val="10"/>
            <rFont val="Arial"/>
            <family val="2"/>
          </rPr>
          <t xml:space="preserve">Default: €259.50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€2,500 · pre-filled from Your finances: costs + mortgage + debt repayments</t>
        </r>
      </text>
    </comment>
    <comment ref="C7" authorId="0">
      <text>
        <r>
          <rPr>
            <sz val="10"/>
            <rFont val="Arial"/>
            <family val="2"/>
          </rPr>
          <t xml:space="preserve">Default: 3</t>
        </r>
      </text>
    </comment>
    <comment ref="C8" authorId="0">
      <text>
        <r>
          <rPr>
            <sz val="10"/>
            <rFont val="Arial"/>
            <family val="2"/>
          </rPr>
          <t xml:space="preserve">Default: €8,000 · pre-filled from Your finances: cash</t>
        </r>
      </text>
    </comment>
    <comment ref="C9" authorId="0">
      <text>
        <r>
          <rPr>
            <sz val="10"/>
            <rFont val="Arial"/>
            <family val="2"/>
          </rPr>
          <t xml:space="preserve">Default: €60,000 · pre-filled from Your finances: income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€250,000 · pre-filled from Your finances / statement: balance</t>
        </r>
      </text>
    </comment>
    <comment ref="C7" authorId="0">
      <text>
        <r>
          <rPr>
            <sz val="10"/>
            <rFont val="Arial"/>
            <family val="2"/>
          </rPr>
          <t xml:space="preserve">Default: 4% · pre-filled from Your finances / statement: rate</t>
        </r>
      </text>
    </comment>
    <comment ref="C8" authorId="0">
      <text>
        <r>
          <rPr>
            <sz val="10"/>
            <rFont val="Arial"/>
            <family val="2"/>
          </rPr>
          <t xml:space="preserve">Default: 25 · pre-filled from Years left (25 if not given)</t>
        </r>
      </text>
    </comment>
    <comment ref="C9" authorId="0">
      <text>
        <r>
          <rPr>
            <sz val="10"/>
            <rFont val="Arial"/>
            <family val="2"/>
          </rPr>
          <t xml:space="preserve">Default: €0 · pre-filled from Your finances / statement: stated repayment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€15,000 · pre-filled from Your finances: cash</t>
        </r>
      </text>
    </comment>
    <comment ref="C7" authorId="0">
      <text>
        <r>
          <rPr>
            <sz val="10"/>
            <rFont val="Arial"/>
            <family val="2"/>
          </rPr>
          <t xml:space="preserve">Default: €10,000 · pre-filled from Your finances: investments</t>
        </r>
      </text>
    </comment>
    <comment ref="C8" authorId="0">
      <text>
        <r>
          <rPr>
            <sz val="10"/>
            <rFont val="Arial"/>
            <family val="2"/>
          </rPr>
          <t xml:space="preserve">Default: €60,000 · pre-filled from Your finances: pension</t>
        </r>
      </text>
    </comment>
    <comment ref="C9" authorId="0">
      <text>
        <r>
          <rPr>
            <sz val="10"/>
            <rFont val="Arial"/>
            <family val="2"/>
          </rPr>
          <t xml:space="preserve">Default: €350,000 · pre-filled from Your finances: home + other property</t>
        </r>
      </text>
    </comment>
    <comment ref="C10" authorId="0">
      <text>
        <r>
          <rPr>
            <sz val="10"/>
            <rFont val="Arial"/>
            <family val="2"/>
          </rPr>
          <t xml:space="preserve">Default: €250,000 · pre-filled from Your finances: mortgage balance</t>
        </r>
      </text>
    </comment>
    <comment ref="C11" authorId="0">
      <text>
        <r>
          <rPr>
            <sz val="10"/>
            <rFont val="Arial"/>
            <family val="2"/>
          </rPr>
          <t xml:space="preserve">Default: €8,000 · pre-filled from Your finances: debts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€3,500 · pre-filled from Plan: this year's take-home ÷ 12</t>
        </r>
      </text>
    </comment>
    <comment ref="C7" authorId="0">
      <text>
        <r>
          <rPr>
            <sz val="10"/>
            <rFont val="Arial"/>
            <family val="2"/>
          </rPr>
          <t xml:space="preserve">Default: €2,000 · pre-filled from Your finances: costs + one-offs ÷ 12 + mortgage</t>
        </r>
      </text>
    </comment>
    <comment ref="C8" authorId="0">
      <text>
        <r>
          <rPr>
            <sz val="10"/>
            <rFont val="Arial"/>
            <family val="2"/>
          </rPr>
          <t xml:space="preserve">Default: €800</t>
        </r>
      </text>
    </comment>
    <comment ref="C9" authorId="0">
      <text>
        <r>
          <rPr>
            <sz val="10"/>
            <rFont val="Arial"/>
            <family val="2"/>
          </rPr>
          <t xml:space="preserve">Default: €200 · pre-filled from Your finances: debt repayments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€3,500 · pre-filled from Plan: this year's take-home ÷ 12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€5,000 · pre-filled from Your finances: the debt that takes longest to clear</t>
        </r>
      </text>
    </comment>
    <comment ref="C7" authorId="0">
      <text>
        <r>
          <rPr>
            <sz val="10"/>
            <rFont val="Arial"/>
            <family val="2"/>
          </rPr>
          <t xml:space="preserve">Default: 18% · pre-filled from Your finances: that debt's rate (else 20% card / 8% loan)</t>
        </r>
      </text>
    </comment>
    <comment ref="C8" authorId="0">
      <text>
        <r>
          <rPr>
            <sz val="10"/>
            <rFont val="Arial"/>
            <family val="2"/>
          </rPr>
          <t xml:space="preserve">Default: €250 · pre-filled from Your finances: that debt's repayment</t>
        </r>
      </text>
    </comment>
    <comment ref="C9" authorId="0">
      <text>
        <r>
          <rPr>
            <sz val="10"/>
            <rFont val="Arial"/>
            <family val="2"/>
          </rPr>
          <t xml:space="preserve">Default: €0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Default: €15,000</t>
        </r>
      </text>
    </comment>
    <comment ref="C7" authorId="0">
      <text>
        <r>
          <rPr>
            <sz val="10"/>
            <rFont val="Arial"/>
            <family val="2"/>
          </rPr>
          <t xml:space="preserve">Default: 8%</t>
        </r>
      </text>
    </comment>
    <comment ref="C8" authorId="0">
      <text>
        <r>
          <rPr>
            <sz val="10"/>
            <rFont val="Arial"/>
            <family val="2"/>
          </rPr>
          <t xml:space="preserve">Default: 5</t>
        </r>
      </text>
    </comment>
  </commentList>
</comments>
</file>

<file path=xl/sharedStrings.xml><?xml version="1.0" encoding="utf-8"?>
<sst xmlns="http://schemas.openxmlformats.org/spreadsheetml/2006/main" count="2143" uniqueCount="1103">
  <si>
    <t xml:space="preserve">LifeGoals calculators</t>
  </si>
  <si>
    <t xml:space="preserve">Version 2.0 · 2 Oct 2026 · built from LifeGoals-Customer-Journey-Prototype.html (CALCS), corrected per the independent accuracy audit</t>
  </si>
  <si>
    <t xml:space="preserve">How to use</t>
  </si>
  <si>
    <t xml:space="preserve">• Open a calculator from the list below. Change the yellow cells only (blue text): everything else updates on its own.</t>
  </si>
  <si>
    <t xml:space="preserve">• Each input cell shows its unit and allowed range when you click it, and refuses values outside it. The default is in the cell note and at the far right.</t>
  </si>
  <si>
    <t xml:space="preserve">• Results are in the green box, each with its formula written out beside it. Formulas use names (e.g. =Amount*(1+Inflation)^Years) so they read like the maths.</t>
  </si>
  <si>
    <t xml:space="preserve">• Shared assumptions (inflation, growth set, Central Bank rules, State rates, tax notes) are on the Assumptions sheet; change them there and every calculator follows.</t>
  </si>
  <si>
    <t xml:space="preserve">• The workbook recalculates automatically, including when it is opened.</t>
  </si>
  <si>
    <t xml:space="preserve">Colour legend</t>
  </si>
  <si>
    <t xml:space="preserve">• Yellow fill, blue text = an input you can change (the only editable cells).</t>
  </si>
  <si>
    <t xml:space="preserve">• Green box, bold = a result.</t>
  </si>
  <si>
    <t xml:space="preserve">• Grey box = a working figure behind a result.</t>
  </si>
  <si>
    <t xml:space="preserve">• Grey text = defaults, ranges and notes.</t>
  </si>
  <si>
    <t xml:space="preserve">• Orange = a warning message shown to the customer.</t>
  </si>
  <si>
    <t xml:space="preserve">Numbering</t>
  </si>
  <si>
    <t xml:space="preserve">• C01–C28 in the order of the prototype's CALCS array; the same numbers are used in the UI/UX spec.</t>
  </si>
  <si>
    <t xml:space="preserve">Out of scope</t>
  </si>
  <si>
    <t xml:space="preserve">• The main plan cashflow / goal-funding engine (project()) is documented separately.</t>
  </si>
  <si>
    <t xml:space="preserve">Calculators</t>
  </si>
  <si>
    <t xml:space="preserve">No.</t>
  </si>
  <si>
    <t xml:space="preserve">Calculator (click to open)</t>
  </si>
  <si>
    <t xml:space="preserve">Question it answers</t>
  </si>
  <si>
    <t xml:space="preserve">Category</t>
  </si>
  <si>
    <t xml:space="preserve">C01</t>
  </si>
  <si>
    <t xml:space="preserve">What home price could be within reach?</t>
  </si>
  <si>
    <t xml:space="preserve">Home &amp; Mortgage</t>
  </si>
  <si>
    <t xml:space="preserve">C02</t>
  </si>
  <si>
    <t xml:space="preserve">What would my monthly repayment be?</t>
  </si>
  <si>
    <t xml:space="preserve">C03</t>
  </si>
  <si>
    <t xml:space="preserve">How long until I have my deposit?</t>
  </si>
  <si>
    <t xml:space="preserve">C04</t>
  </si>
  <si>
    <t xml:space="preserve">What if I paid a little extra each month?</t>
  </si>
  <si>
    <t xml:space="preserve">C05</t>
  </si>
  <si>
    <t xml:space="preserve">What if my mortgage rate changed?</t>
  </si>
  <si>
    <t xml:space="preserve">C06</t>
  </si>
  <si>
    <t xml:space="preserve">Shorter or longer term: what is the trade-off?</t>
  </si>
  <si>
    <t xml:space="preserve">C07</t>
  </si>
  <si>
    <t xml:space="preserve">How do renting and buying compare over time?</t>
  </si>
  <si>
    <t xml:space="preserve">C08</t>
  </si>
  <si>
    <t xml:space="preserve">How much a month to reach my goal?</t>
  </si>
  <si>
    <t xml:space="preserve">Savings &amp; Goals</t>
  </si>
  <si>
    <t xml:space="preserve">C09</t>
  </si>
  <si>
    <t xml:space="preserve">What could regular saving grow into?</t>
  </si>
  <si>
    <t xml:space="preserve">C10</t>
  </si>
  <si>
    <t xml:space="preserve">What could a one-off amount become?</t>
  </si>
  <si>
    <t xml:space="preserve">Investments</t>
  </si>
  <si>
    <t xml:space="preserve">C11</t>
  </si>
  <si>
    <t xml:space="preserve">How strong is my financial cushion?</t>
  </si>
  <si>
    <t xml:space="preserve">C12</t>
  </si>
  <si>
    <t xml:space="preserve">Could your current path fund the retirement you want?</t>
  </si>
  <si>
    <t xml:space="preserve">Pensions &amp; Retirement</t>
  </si>
  <si>
    <t xml:space="preserve">C13</t>
  </si>
  <si>
    <t xml:space="preserve">What difference would a small increase make?</t>
  </si>
  <si>
    <t xml:space="preserve">C14</t>
  </si>
  <si>
    <t xml:space="preserve">What could extra voluntary contributions add?</t>
  </si>
  <si>
    <t xml:space="preserve">C15</t>
  </si>
  <si>
    <t xml:space="preserve">How long could my retirement savings last?</t>
  </si>
  <si>
    <t xml:space="preserve">C16</t>
  </si>
  <si>
    <t xml:space="preserve">How do different growth rates change things?</t>
  </si>
  <si>
    <t xml:space="preserve">C17</t>
  </si>
  <si>
    <t xml:space="preserve">What is my money really worth in future?</t>
  </si>
  <si>
    <t xml:space="preserve">C18</t>
  </si>
  <si>
    <t xml:space="preserve">What could investing monthly build?</t>
  </si>
  <si>
    <t xml:space="preserve">C19</t>
  </si>
  <si>
    <t xml:space="preserve">How much do fees really cost over time?</t>
  </si>
  <si>
    <t xml:space="preserve">C20</t>
  </si>
  <si>
    <t xml:space="preserve">What range of outcomes might each style have?</t>
  </si>
  <si>
    <t xml:space="preserve">C21</t>
  </si>
  <si>
    <t xml:space="preserve">How much cover might my family need?</t>
  </si>
  <si>
    <t xml:space="preserve">Protection</t>
  </si>
  <si>
    <t xml:space="preserve">C22</t>
  </si>
  <si>
    <t xml:space="preserve">How long could I cope if I couldn't work?</t>
  </si>
  <si>
    <t xml:space="preserve">C23</t>
  </si>
  <si>
    <t xml:space="preserve">What cover would clear my mortgage?</t>
  </si>
  <si>
    <t xml:space="preserve">C24</t>
  </si>
  <si>
    <t xml:space="preserve">What am I worth, all in?</t>
  </si>
  <si>
    <t xml:space="preserve">Everyday Money</t>
  </si>
  <si>
    <t xml:space="preserve">C25</t>
  </si>
  <si>
    <t xml:space="preserve">What is left at the end of the month?</t>
  </si>
  <si>
    <t xml:space="preserve">C26</t>
  </si>
  <si>
    <t xml:space="preserve">A simple way to split your pay</t>
  </si>
  <si>
    <t xml:space="preserve">C27</t>
  </si>
  <si>
    <t xml:space="preserve">How fast can I clear my debt?</t>
  </si>
  <si>
    <t xml:space="preserve">C28</t>
  </si>
  <si>
    <t xml:space="preserve">What would a loan cost me?</t>
  </si>
  <si>
    <t xml:space="preserve">Audit fixes applied</t>
  </si>
  <si>
    <t xml:space="preserve">Where</t>
  </si>
  <si>
    <t xml:space="preserve">Audit class</t>
  </si>
  <si>
    <t xml:space="preserve">Item</t>
  </si>
  <si>
    <t xml:space="preserve">Must</t>
  </si>
  <si>
    <t xml:space="preserve">Gap is like-for-like: target (today's money) − fund ÷ (1 + inflation)^years.</t>
  </si>
  <si>
    <t xml:space="preserve">Hand-off updates the existing retirement goal (income, age) instead of a 25× lump-sum spend.</t>
  </si>
  <si>
    <t xml:space="preserve">Hand-off is the deposit (loan × 10% ÷ 90%), not the mortgage amount.</t>
  </si>
  <si>
    <t xml:space="preserve">Hand-off is a mortgage-free (mfree) goal, not today's balance as a spend; none if it never clears.</t>
  </si>
  <si>
    <t xml:space="preserve">No "Infinity yrs" and no negative interest saved: "Not at this repayment" / "—".</t>
  </si>
  <si>
    <t xml:space="preserve">C04, C27</t>
  </si>
  <si>
    <t xml:space="preserve">Exact months by NPER (no 1,200-month loop cap); over 1,200 months shows "Over 100 years" / "Payment too low…".</t>
  </si>
  <si>
    <t xml:space="preserve">C09, C10</t>
  </si>
  <si>
    <t xml:space="preserve">Hand-off always in today's money (value ÷ (1 + inflation)^years), kind pot.</t>
  </si>
  <si>
    <t xml:space="preserve">C13, C14</t>
  </si>
  <si>
    <t xml:space="preserve">No spend goal: raise the plan's pension contribution instead.</t>
  </si>
  <si>
    <t xml:space="preserve">Hand-off in today's money, kind pot (was nominal, inflated twice).</t>
  </si>
  <si>
    <t xml:space="preserve">Style is a 1/2/3 list (no decimals, no €NaN).</t>
  </si>
  <si>
    <t xml:space="preserve">No spend goal: a protection need for the adviser.</t>
  </si>
  <si>
    <t xml:space="preserve">No goal (the plan already repays the debt); no goal when it never clears.</t>
  </si>
  <si>
    <t xml:space="preserve">C02, C05</t>
  </si>
  <si>
    <t xml:space="preserve">Should</t>
  </si>
  <si>
    <t xml:space="preserve">What-if rate floored at 0%.</t>
  </si>
  <si>
    <t xml:space="preserve">Deposit validated between 10% of the price and the price; mortgage never negative.</t>
  </si>
  <si>
    <t xml:space="preserve">C11, C22, C25</t>
  </si>
  <si>
    <t xml:space="preserve">Hand-off kinds corrected (safety pot; protection need; savings pot).</t>
  </si>
  <si>
    <t xml:space="preserve">C15, C16</t>
  </si>
  <si>
    <t xml:space="preserve">Withdrawals taken at the start of each year.</t>
  </si>
  <si>
    <t xml:space="preserve">Mortgage protection Yes/No (default Yes) and State survivor's pension (default €259.50 a week).</t>
  </si>
  <si>
    <t xml:space="preserve">Illness Benefit (€254 a week) netted off; income protection capped at 75% of income less Illness Benefit.</t>
  </si>
  <si>
    <t xml:space="preserve">Warning when the repayment does not cover the interest; no rising balances shown.</t>
  </si>
  <si>
    <t xml:space="preserve">C27, C28</t>
  </si>
  <si>
    <t xml:space="preserve">APR treated as an effective annual rate: monthly = (1 + APR)^(1/12) − 1.</t>
  </si>
  <si>
    <t xml:space="preserve">C08–C10, C17, C18</t>
  </si>
  <si>
    <t xml:space="preserve">"Before tax: DIRT 33% / exit tax 38%" note.</t>
  </si>
  <si>
    <t xml:space="preserve">Nice</t>
  </si>
  <si>
    <t xml:space="preserve">First-time buyer is Yes/No.</t>
  </si>
  <si>
    <t xml:space="preserve">C03, C15, C16 etc.</t>
  </si>
  <si>
    <t xml:space="preserve">Singular forms ("1 month", "1 year"); "You have your deposit".</t>
  </si>
  <si>
    <t xml:space="preserve">"No change" when the time saved is 0.</t>
  </si>
  <si>
    <t xml:space="preserve">"Both terms are the same" for equal terms.</t>
  </si>
  <si>
    <t xml:space="preserve">C08, C03</t>
  </si>
  <si>
    <t xml:space="preserve">Hand-off passes "already saved".</t>
  </si>
  <si>
    <t xml:space="preserve">Tax rate restricted to 20% or 40%.</t>
  </si>
  <si>
    <t xml:space="preserve">"60+ years" in every row at the end of the table.</t>
  </si>
  <si>
    <t xml:space="preserve">€0 surplus reads "Nothing left over this month".</t>
  </si>
  <si>
    <t xml:space="preserve">Assumptions</t>
  </si>
  <si>
    <t xml:space="preserve">Constants added for the fixes (DIRT, exit tax, Illness Benefit, survivor's pension); inflation reference refreshed (3.4% Aug 2026).</t>
  </si>
  <si>
    <t xml:space="preserve">Not applied (for Pooja to decide)</t>
  </si>
  <si>
    <t xml:space="preserve">Stamp duty (1%) and fees paid from the deposit: price = MIN((income limit + deposit)/1.01, deposit/0.11).</t>
  </si>
  <si>
    <t xml:space="preserve">Remove the placeholder "[confirm current Central Bank rules]" from the customer line (prototype copy).</t>
  </si>
  <si>
    <t xml:space="preserve">Mention Help to Buy and the CBI allowances / fresh-start rule.</t>
  </si>
  <si>
    <t xml:space="preserve">Use "−" (not "-") in the rate text; note the what-if is an approximation with a stated repayment (prototype copy).</t>
  </si>
  <si>
    <t xml:space="preserve">Minimum deposit 10% (slider still allows 5%).</t>
  </si>
  <si>
    <t xml:space="preserve">Add 1% stamp duty and house prices rising while saving (37 months, not 29, at defaults).</t>
  </si>
  <si>
    <t xml:space="preserve">Mention Help to Buy.</t>
  </si>
  <si>
    <t xml:space="preserve">Rent rising with inflation, purchase costs (stamp duty, fees) and the opportunity cost of the deposit and equity.</t>
  </si>
  <si>
    <t xml:space="preserve">Allow a 35-year mortgage term (fixed at 30).</t>
  </si>
  <si>
    <t xml:space="preserve">C08–C10, C18</t>
  </si>
  <si>
    <t xml:space="preserve">An after-tax result row (DIRT 33% / exit tax 38% with deemed disposal). Only the "before tax" note is applied.</t>
  </si>
  <si>
    <t xml:space="preserve">Hide "start in 5 years" when the term is 5 years or less.</t>
  </si>
  <si>
    <t xml:space="preserve">Tip copy: "Often 3 to 6 months" instead of "Ideal: 6 months" (prototype copy).</t>
  </si>
  <si>
    <t xml:space="preserve">Fund the bridge years before State Pension age 66 in the target.</t>
  </si>
  <si>
    <t xml:space="preserve">Say whether desired income is before or after tax (or gross it up).</t>
  </si>
  <si>
    <t xml:space="preserve">Pension statement projection: record its basis (today's money) and do not deflate it again. The statement path is not modelled in this workbook.</t>
  </si>
  <si>
    <t xml:space="preserve">Default "Other yearly income" €15,564 (State Pension 2026) instead of €15,000; Standard Fund Threshold warning; note the yearly convention.</t>
  </si>
  <si>
    <t xml:space="preserve">Contributions rising with pay (as C12): €70,503, not €54,572, at defaults.</t>
  </si>
  <si>
    <t xml:space="preserve">Note on age-related relief limits, €115,000 cap and the married band.</t>
  </si>
  <si>
    <t xml:space="preserve">ARF imputed distribution hint (4% from 61, 5% from 71, 6% over €2m).</t>
  </si>
  <si>
    <t xml:space="preserve">Treat the growth rates as median (geometric) returns and explain the weaker outcome as about a 1-in-6 chance (a short note is in "How it works").</t>
  </si>
  <si>
    <t xml:space="preserve">Difficult-year wording: "about 1 year in 20 could be this bad or worse".</t>
  </si>
  <si>
    <t xml:space="preserve">Discount the income need; mention funeral costs and CAT.</t>
  </si>
  <si>
    <t xml:space="preserve">Explain statutory sick pay (5 days) vs the employer's scheme (a short note is in "How it works").</t>
  </si>
  <si>
    <t xml:space="preserve">Note joint-life / dual-life cover and the insurer's assumed reduction rate.</t>
  </si>
  <si>
    <t xml:space="preserve">Note pensions before tax and property before selling costs (a short note is in "How it works").</t>
  </si>
  <si>
    <t xml:space="preserve">C25, C26</t>
  </si>
  <si>
    <t xml:space="preserve">Round the take-home pre-fill to whole euros (prototype).</t>
  </si>
  <si>
    <t xml:space="preserve">Cautious pay rises (3.0%) are higher than Standard (2.5%): set Cautious ≤ Standard.</t>
  </si>
  <si>
    <t xml:space="preserve">Standard investment growth "after charges and tax" 4.5% looks optimistic (plan only; not on this sheet).</t>
  </si>
  <si>
    <t xml:space="preserve">Retirement lump-sum tax bands; Standard Fund Threshold; ARF imputed rates; stamp duty; State Pension age (not used by these calculators).</t>
  </si>
  <si>
    <t xml:space="preserve">Copy</t>
  </si>
  <si>
    <t xml:space="preserve">Fix the "29 calculators" note (there are 28).</t>
  </si>
  <si>
    <t xml:space="preserve">C01 · How much could I borrow?</t>
  </si>
  <si>
    <t xml:space="preserve">Category: Home &amp; Mortgage</t>
  </si>
  <si>
    <t xml:space="preserve">Question it answers: What home price could be within reach?</t>
  </si>
  <si>
    <t xml:space="preserve">Prototype id: borrow</t>
  </si>
  <si>
    <t xml:space="preserve">Applies the Central Bank limits (4× or 3.5× income, 90% loan-to-value) to show the most you could borrow and the home price that gives.</t>
  </si>
  <si>
    <t xml:space="preserve">INPUTS</t>
  </si>
  <si>
    <t xml:space="preserve">Your figure</t>
  </si>
  <si>
    <t xml:space="preserve">Unit</t>
  </si>
  <si>
    <t xml:space="preserve">Allowed</t>
  </si>
  <si>
    <t xml:space="preserve">Your gross yearly income</t>
  </si>
  <si>
    <t xml:space="preserve">€</t>
  </si>
  <si>
    <t xml:space="preserve">Allowed: €15,000 to €2,500,000 · steps of €1,000</t>
  </si>
  <si>
    <t xml:space="preserve">Default: €60,000 · pre-filled from Your finances: income</t>
  </si>
  <si>
    <t xml:space="preserve">Partner's gross yearly income</t>
  </si>
  <si>
    <t xml:space="preserve">Allowed: €0 to €2,500,000 · steps of €1,000</t>
  </si>
  <si>
    <t xml:space="preserve">Default: €0 · pre-filled from Your finances: partner's income</t>
  </si>
  <si>
    <t xml:space="preserve">Deposit saved</t>
  </si>
  <si>
    <t xml:space="preserve">Allowed: €0 to €2,000,000 · steps of €1,000</t>
  </si>
  <si>
    <t xml:space="preserve">Default: €25,000 · pre-filled from Plan: home goal's amount saved</t>
  </si>
  <si>
    <t xml:space="preserve">First-time buyer?</t>
  </si>
  <si>
    <t xml:space="preserve">Yes</t>
  </si>
  <si>
    <t xml:space="preserve">Yes / No</t>
  </si>
  <si>
    <t xml:space="preserve">Allowed: Yes or No</t>
  </si>
  <si>
    <t xml:space="preserve">Default: Yes · pre-filled from Your finances: home status (owner = No)</t>
  </si>
  <si>
    <t xml:space="preserve">Mortgage interest rate</t>
  </si>
  <si>
    <t xml:space="preserve">%</t>
  </si>
  <si>
    <t xml:space="preserve">Allowed: 1% to 8% · steps of 0.1%</t>
  </si>
  <si>
    <t xml:space="preserve">Default: 4%</t>
  </si>
  <si>
    <t xml:space="preserve">Mortgage term</t>
  </si>
  <si>
    <t xml:space="preserve">years</t>
  </si>
  <si>
    <t xml:space="preserve">Allowed: 10 to 35 · steps of 1</t>
  </si>
  <si>
    <t xml:space="preserve">Default: 30</t>
  </si>
  <si>
    <t xml:space="preserve">What if: save extra towards the deposit</t>
  </si>
  <si>
    <t xml:space="preserve">Allowed: €0 to €500,000 · steps of €1,000</t>
  </si>
  <si>
    <t xml:space="preserve">Default: €0</t>
  </si>
  <si>
    <t xml:space="preserve">RESULTS</t>
  </si>
  <si>
    <t xml:space="preserve">Result</t>
  </si>
  <si>
    <t xml:space="preserve">Shown as</t>
  </si>
  <si>
    <t xml:space="preserve">Formula</t>
  </si>
  <si>
    <t xml:space="preserve">Homes up to about</t>
  </si>
  <si>
    <t xml:space="preserve">ƒx  =Max_Loan+Total_Deposit</t>
  </si>
  <si>
    <t xml:space="preserve">Most you could borrow</t>
  </si>
  <si>
    <t xml:space="preserve">ƒx  =MIN(Borrow_By_Income,Borrow_By_Deposit)</t>
  </si>
  <si>
    <t xml:space="preserve">Monthly repayment (illustrative)</t>
  </si>
  <si>
    <t xml:space="preserve">ƒx  =PMT(Interest_Rate/12,Term_Years*12,-Max_Loan)</t>
  </si>
  <si>
    <t xml:space="preserve">Borrowing allowed by income</t>
  </si>
  <si>
    <t xml:space="preserve">ƒx  =(Income+Partner_Income)*Income_Multiple</t>
  </si>
  <si>
    <t xml:space="preserve">Borrowing allowed by deposit (90% LTV)</t>
  </si>
  <si>
    <t xml:space="preserve">ƒx  =Total_Deposit*LTV_Max/(1-LTV_Max)</t>
  </si>
  <si>
    <t xml:space="preserve">Income multiple used</t>
  </si>
  <si>
    <t xml:space="preserve">× income</t>
  </si>
  <si>
    <t xml:space="preserve">ƒx  =IF(First_Time_Buyer="Yes",LTI_FTB,LTI_SSB)</t>
  </si>
  <si>
    <t xml:space="preserve">Your deposit (incl. what-if extra)</t>
  </si>
  <si>
    <t xml:space="preserve">ƒx  =Deposit+Extra_Deposit</t>
  </si>
  <si>
    <t xml:space="preserve">What sets the limit</t>
  </si>
  <si>
    <t xml:space="preserve">ƒx  =IF(Borrow_By_Deposit&lt;Borrow_By_Income,"Your deposit","Your income")</t>
  </si>
  <si>
    <t xml:space="preserve">HOW IT WORKS</t>
  </si>
  <si>
    <t xml:space="preserve">• Income limit = combined gross income × 4 (first-time buyer) or × 3.5 (everyone else).</t>
  </si>
  <si>
    <t xml:space="preserve">• Deposit limit = deposit × 90% ÷ 10% = deposit × 9, because the loan can be at most 90% of the price.</t>
  </si>
  <si>
    <t xml:space="preserve">• The loan is the lower of the two; the home price = loan + deposit. Repayment = standard annuity PMT at rate ÷ 12 over the term.</t>
  </si>
  <si>
    <t xml:space="preserve">Edge rules and validation:</t>
  </si>
  <si>
    <t xml:space="preserve">• First-time buyer is a Yes/No choice (no 0.5 values).</t>
  </si>
  <si>
    <t xml:space="preserve">• When both limits are equal the text says the income sets the limit.</t>
  </si>
  <si>
    <t xml:space="preserve">• At 0% interest Excel's PMT/NPER/FV give amount ÷ months, so no special case is needed in Excel; in code use payment = amount / months.</t>
  </si>
  <si>
    <t xml:space="preserve">ADD TO MY PLAN (what this calculator sends to the plan)</t>
  </si>
  <si>
    <t xml:space="preserve">Goal</t>
  </si>
  <si>
    <t xml:space="preserve">ƒx  ="Buy a home (deposit goal)"</t>
  </si>
  <si>
    <t xml:space="preserve">Amount (today's money)</t>
  </si>
  <si>
    <t xml:space="preserve">ƒx  =ROUND(Home_Price*Min_Deposit_Pct,0)</t>
  </si>
  <si>
    <t xml:space="preserve">Already saved</t>
  </si>
  <si>
    <t xml:space="preserve">ƒx  =Total_Deposit</t>
  </si>
  <si>
    <t xml:space="preserve">In (years)</t>
  </si>
  <si>
    <t xml:space="preserve">ƒx  =Home_Goal_Years</t>
  </si>
  <si>
    <t xml:space="preserve">C02 · Monthly mortgage repayment</t>
  </si>
  <si>
    <t xml:space="preserve">Question it answers: What would my monthly repayment be?</t>
  </si>
  <si>
    <t xml:space="preserve">Prototype id: repayment</t>
  </si>
  <si>
    <t xml:space="preserve">Works out the monthly repayment, how long until the mortgage is paid off and the total interest; and what a rate change would do.</t>
  </si>
  <si>
    <t xml:space="preserve">Mortgage amount</t>
  </si>
  <si>
    <t xml:space="preserve">Allowed: €50,000 to €10,000,000 · steps of €1,000</t>
  </si>
  <si>
    <t xml:space="preserve">Default: €300,000 · pre-filled from Your finances / mortgage statement: balance</t>
  </si>
  <si>
    <t xml:space="preserve">Interest rate</t>
  </si>
  <si>
    <t xml:space="preserve">Allowed: 1% to 8% · steps of 0.05%</t>
  </si>
  <si>
    <t xml:space="preserve">Default: 4% · pre-filled from Your finances / mortgage statement: rate</t>
  </si>
  <si>
    <t xml:space="preserve">Term</t>
  </si>
  <si>
    <t xml:space="preserve">Allowed: 5 to 35 · steps of 1</t>
  </si>
  <si>
    <t xml:space="preserve">Default: 30 · pre-filled from Years left (25 if not given)</t>
  </si>
  <si>
    <t xml:space="preserve">Your actual monthly repayment (optional, 0 = work it out)</t>
  </si>
  <si>
    <t xml:space="preserve">Allowed: €0 to €100,000 · steps of €1</t>
  </si>
  <si>
    <t xml:space="preserve">Default: €0 · pre-filled from Your finances / statement: stated repayment</t>
  </si>
  <si>
    <t xml:space="preserve">What if: rates change by</t>
  </si>
  <si>
    <t xml:space="preserve">Allowed: -2% to 3% · steps of 0.25%</t>
  </si>
  <si>
    <t xml:space="preserve">Default: 0%</t>
  </si>
  <si>
    <t xml:space="preserve">Monthly repayment</t>
  </si>
  <si>
    <t xml:space="preserve">ƒx  =IF(Actual_Repayment&gt;0,Actual_Repayment,Formula_Repayment)</t>
  </si>
  <si>
    <t xml:space="preserve">Mortgage free in (months)</t>
  </si>
  <si>
    <t xml:space="preserve">ƒx  =IF(Monthly_Repayment&lt;=Loan_Amount*Monthly_Rate,"Never",ROUNDUP(ROUND(NPER(Monthly_Rate,-Monthly_Repayment,Loan_Amount),6),0))</t>
  </si>
  <si>
    <t xml:space="preserve">Total interest</t>
  </si>
  <si>
    <t xml:space="preserve">ƒx  =IF(Months_To_Pay="Never","—",Monthly_Repayment*(Months_To_Pay-1)+Final_Payment-Loan_Amount)</t>
  </si>
  <si>
    <t xml:space="preserve">Total repaid</t>
  </si>
  <si>
    <t xml:space="preserve">ƒx  =IF(Months_To_Pay="Never","—",Loan_Amount+Total_Interest)</t>
  </si>
  <si>
    <t xml:space="preserve">Monthly interest rate</t>
  </si>
  <si>
    <t xml:space="preserve">ƒx  =Interest_Rate/12</t>
  </si>
  <si>
    <t xml:space="preserve">Repayment by formula (standard annuity)</t>
  </si>
  <si>
    <t xml:space="preserve">ƒx  =PMT(Monthly_Rate,Term_Years*12,-Loan_Amount)</t>
  </si>
  <si>
    <t xml:space="preserve">Last (part) payment</t>
  </si>
  <si>
    <t xml:space="preserve">ƒx  =IF(Months_To_Pay="Never","—",-FV(Monthly_Rate,Months_To_Pay-1,-Monthly_Repayment,Loan_Amount)*(1+Monthly_Rate))      (balance left before the last month, plus that month's interest)</t>
  </si>
  <si>
    <t xml:space="preserve">What if: new rate (never below 0%)</t>
  </si>
  <si>
    <t xml:space="preserve">ƒx  =MAX(0,Interest_Rate+Rate_Change)</t>
  </si>
  <si>
    <t xml:space="preserve">What if: monthly repayment</t>
  </si>
  <si>
    <t xml:space="preserve">ƒx  =Monthly_Repayment+PMT(New_Rate/12,Term_Years*12,-Loan_Amount)-Formula_Repayment</t>
  </si>
  <si>
    <t xml:space="preserve">What if: change over a year</t>
  </si>
  <si>
    <t xml:space="preserve">ƒx  =(Repayment_If_Changed-Monthly_Repayment)*12</t>
  </si>
  <si>
    <t xml:space="preserve">• Repayment = PMT(rate ÷ 12, years × 12, −amount), the standard repayment-mortgage formula; your stated repayment replaces it if you give one.</t>
  </si>
  <si>
    <t xml:space="preserve">• Months to pay off = NPER(rate ÷ 12, −repayment, amount), rounded up. Total interest = all full payments + the last part payment − the amount (exact, as a lender's schedule).</t>
  </si>
  <si>
    <t xml:space="preserve">• What if: the stated repayment moves by the same amount as the formula repayment would: repayment + PMT(new rate) − PMT(current rate). The new rate is floored at 0%.</t>
  </si>
  <si>
    <t xml:space="preserve">• If the payment is at or below the first month's interest the balance never falls: show "Never at this repayment" and leave total interest blank ("—").</t>
  </si>
  <si>
    <t xml:space="preserve">• More than 1,200 months (100 years) is shown as "Over 100 years"; the exact month count is still calculated (no loop cap).</t>
  </si>
  <si>
    <t xml:space="preserve">• NPER is rounded to 6 decimals before rounding up, so a repayment that exactly fits the term ends on the term (floating-point noise would otherwise add a month).</t>
  </si>
  <si>
    <t xml:space="preserve">Amount (today's money): the deposit for this loan</t>
  </si>
  <si>
    <t xml:space="preserve">ƒx  =ROUND(Loan_Amount*(1-LTV_Max)/LTV_Max,0)</t>
  </si>
  <si>
    <t xml:space="preserve">Audit fix: the mortgage amount itself is borrowing, not a savings goal, so only the deposit (loan ÷ 9 at 90% LTV) is sent.</t>
  </si>
  <si>
    <t xml:space="preserve">C03 · Deposit calculator</t>
  </si>
  <si>
    <t xml:space="preserve">Question it answers: How long until I have my deposit?</t>
  </si>
  <si>
    <t xml:space="preserve">Prototype id: deposit</t>
  </si>
  <si>
    <t xml:space="preserve">Works out the deposit you need and how many months of saving it takes.</t>
  </si>
  <si>
    <t xml:space="preserve">Home price</t>
  </si>
  <si>
    <t xml:space="preserve">Allowed: €100,000 to €10,000,000 · steps of €5,000</t>
  </si>
  <si>
    <t xml:space="preserve">Default: €350,000</t>
  </si>
  <si>
    <t xml:space="preserve">Deposit needed</t>
  </si>
  <si>
    <t xml:space="preserve">Allowed: 5% to 30% · steps of 1%</t>
  </si>
  <si>
    <t xml:space="preserve">Default: 10%</t>
  </si>
  <si>
    <t xml:space="preserve">Saved so far</t>
  </si>
  <si>
    <t xml:space="preserve">Allowed: €0 to €2,000,000 · steps of €500</t>
  </si>
  <si>
    <t xml:space="preserve">Default: €12,000 · pre-filled from Plan: home goal's amount saved</t>
  </si>
  <si>
    <t xml:space="preserve">Monthly saving</t>
  </si>
  <si>
    <t xml:space="preserve">Allowed: €50 to €50,000 · steps of €50</t>
  </si>
  <si>
    <t xml:space="preserve">Default: €800</t>
  </si>
  <si>
    <t xml:space="preserve">What if: save extra each month</t>
  </si>
  <si>
    <t xml:space="preserve">Allowed: €0 to €15,000 · steps of €50</t>
  </si>
  <si>
    <t xml:space="preserve">Time to your deposit (months)</t>
  </si>
  <si>
    <t xml:space="preserve">ƒx  =IF(Still_To_Save=0,0,ROUNDUP(Still_To_Save/(Monthly_Saving+Extra_Saving),0))</t>
  </si>
  <si>
    <t xml:space="preserve">ƒx  =Home_Price*Deposit_Pct</t>
  </si>
  <si>
    <t xml:space="preserve">Still to save</t>
  </si>
  <si>
    <t xml:space="preserve">ƒx  =MAX(0,Deposit_Needed-Saved)</t>
  </si>
  <si>
    <t xml:space="preserve">• Deposit needed = price × deposit %. Still to save = deposit needed − saved (never below 0).</t>
  </si>
  <si>
    <t xml:space="preserve">• Months = still to save ÷ monthly saving (incl. the what-if extra), rounded up. No interest and no house-price growth are assumed.</t>
  </si>
  <si>
    <t xml:space="preserve">• Nothing left to save shows "You have your deposit".</t>
  </si>
  <si>
    <t xml:space="preserve">• Monthly saving must be at least €50, so there is no divide by zero.</t>
  </si>
  <si>
    <t xml:space="preserve">ƒx  ="Home deposit"</t>
  </si>
  <si>
    <t xml:space="preserve">ƒx  =ROUND(Deposit_Needed,0)</t>
  </si>
  <si>
    <t xml:space="preserve">ƒx  =Saved</t>
  </si>
  <si>
    <t xml:space="preserve">ƒx  =MAX(1,ROUNDUP(Months_To_Deposit/12,0))</t>
  </si>
  <si>
    <t xml:space="preserve">C04 · Mortgage overpayment</t>
  </si>
  <si>
    <t xml:space="preserve">Question it answers: What if I paid a little extra each month?</t>
  </si>
  <si>
    <t xml:space="preserve">Prototype id: overpay</t>
  </si>
  <si>
    <t xml:space="preserve">Compares paying off the mortgage at your repayment with paying a little extra each month: time and interest saved.</t>
  </si>
  <si>
    <t xml:space="preserve">Mortgage balance</t>
  </si>
  <si>
    <t xml:space="preserve">Allowed: €20,000 to €10,000,000 · steps of €1,000</t>
  </si>
  <si>
    <t xml:space="preserve">Default: €250,000 · pre-filled from Your finances / statement: balance</t>
  </si>
  <si>
    <t xml:space="preserve">Default: 4% · pre-filled from Your finances / statement: rate</t>
  </si>
  <si>
    <t xml:space="preserve">Years left</t>
  </si>
  <si>
    <t xml:space="preserve">Allowed: 3 to 35 · steps of 1</t>
  </si>
  <si>
    <t xml:space="preserve">Default: 25 · pre-filled from Years left (25 if not given)</t>
  </si>
  <si>
    <t xml:space="preserve">Extra each month</t>
  </si>
  <si>
    <t xml:space="preserve">Allowed: €0 to €20,000 · steps of €25</t>
  </si>
  <si>
    <t xml:space="preserve">Default: €200</t>
  </si>
  <si>
    <t xml:space="preserve">Mortgage free sooner by (months)</t>
  </si>
  <si>
    <t xml:space="preserve">ƒx  =IF(OR(Months_Now="Never",Months_With_Extra="Never"),"—",Months_Now-Months_With_Extra)</t>
  </si>
  <si>
    <t xml:space="preserve">Interest saved</t>
  </si>
  <si>
    <t xml:space="preserve">ƒx  =IF(OR(Months_Now="Never",Months_With_Extra="Never"),"—",Interest_Now-Interest_With_Extra)</t>
  </si>
  <si>
    <t xml:space="preserve">Mortgage free now in (months)</t>
  </si>
  <si>
    <t xml:space="preserve">ƒx  =IF(Repayment_Now&lt;=Mortgage_Balance*Monthly_Rate,"Never",ROUNDUP(ROUND(NPER(Monthly_Rate,-Repayment_Now,Mortgage_Balance),6),0))</t>
  </si>
  <si>
    <t xml:space="preserve">With the extra (months)</t>
  </si>
  <si>
    <t xml:space="preserve">ƒx  =IF(Repayment_With_Extra&lt;=Mortgage_Balance*Monthly_Rate,"Never",ROUNDUP(ROUND(NPER(Monthly_Rate,-Repayment_With_Extra,Mortgage_Balance),6),0))</t>
  </si>
  <si>
    <t xml:space="preserve">Repayment now</t>
  </si>
  <si>
    <t xml:space="preserve">ƒx  =IF(Actual_Repayment&gt;0,Actual_Repayment,PMT(Monthly_Rate,Years_Left*12,-Mortgage_Balance))</t>
  </si>
  <si>
    <t xml:space="preserve">Repayment with the extra</t>
  </si>
  <si>
    <t xml:space="preserve">ƒx  =Repayment_Now+Extra_Payment</t>
  </si>
  <si>
    <t xml:space="preserve">Last (part) payment now</t>
  </si>
  <si>
    <t xml:space="preserve">ƒx  =IF(Months_Now="Never","—",-FV(Monthly_Rate,Months_Now-1,-Repayment_Now,Mortgage_Balance)*(1+Monthly_Rate))</t>
  </si>
  <si>
    <t xml:space="preserve">Last (part) payment with the extra</t>
  </si>
  <si>
    <t xml:space="preserve">ƒx  =IF(Months_With_Extra="Never","—",-FV(Monthly_Rate,Months_With_Extra-1,-Repayment_With_Extra,Mortgage_Balance)*(1+Monthly_Rate))</t>
  </si>
  <si>
    <t xml:space="preserve">Total interest now</t>
  </si>
  <si>
    <t xml:space="preserve">ƒx  =IF(Months_Now="Never","—",Repayment_Now*(Months_Now-1)+Last_Payment_Now-Mortgage_Balance)</t>
  </si>
  <si>
    <t xml:space="preserve">Total interest with the extra</t>
  </si>
  <si>
    <t xml:space="preserve">ƒx  =IF(Months_With_Extra="Never","—",Repayment_With_Extra*(Months_With_Extra-1)+Last_Payment_With_Extra-Mortgage_Balance)</t>
  </si>
  <si>
    <t xml:space="preserve">• Months to pay off = NPER(rate ÷ 12, −repayment, balance), rounded up, worked out twice: at your repayment and at repayment + extra.</t>
  </si>
  <si>
    <t xml:space="preserve">• Total interest = full payments + last part payment − balance. Interest saved = interest now − interest with the extra. Sooner by = the difference in months.</t>
  </si>
  <si>
    <t xml:space="preserve">• If your repayment never clears the mortgage: "Not at this repayment", and "—" for sooner by and interest saved (no negative saving).</t>
  </si>
  <si>
    <t xml:space="preserve">• If even the extra does not clear it: "—" for "With the extra" and no goal is sent.</t>
  </si>
  <si>
    <t xml:space="preserve">• A difference of 0 months reads "No change".</t>
  </si>
  <si>
    <t xml:space="preserve">ƒx  =IF(Months_With_Extra="Never","No goal","Mortgage free (plan kind mfree, priced from your mortgage; no cash amount)")</t>
  </si>
  <si>
    <t xml:space="preserve">ƒx  =IF(Months_With_Extra="Never","—",ROUNDUP(Months_With_Extra/12,0))</t>
  </si>
  <si>
    <t xml:space="preserve">Audit fix: the old goal sent today's balance as a cash spend at the payoff year (a double count). The plan should also raise its mortgage repayment by the extra.</t>
  </si>
  <si>
    <t xml:space="preserve">C05 · Interest-rate impact</t>
  </si>
  <si>
    <t xml:space="preserve">Question it answers: What if my mortgage rate changed?</t>
  </si>
  <si>
    <t xml:space="preserve">Prototype id: ratechange</t>
  </si>
  <si>
    <t xml:space="preserve">Shows how much your monthly repayment changes if your mortgage rate goes up or down.</t>
  </si>
  <si>
    <t xml:space="preserve">Default: €300,000 · pre-filled from Your finances / statement: balance</t>
  </si>
  <si>
    <t xml:space="preserve">Current rate</t>
  </si>
  <si>
    <t xml:space="preserve">Rate change</t>
  </si>
  <si>
    <t xml:space="preserve">Default: 1%</t>
  </si>
  <si>
    <t xml:space="preserve">Monthly change</t>
  </si>
  <si>
    <t xml:space="preserve">ƒx  =Repayment_After-Repayment_Now</t>
  </si>
  <si>
    <t xml:space="preserve">ƒx  =IF(Actual_Repayment&gt;0,Actual_Repayment,Formula_Now)</t>
  </si>
  <si>
    <t xml:space="preserve">Repayment after the change</t>
  </si>
  <si>
    <t xml:space="preserve">ƒx  =Repayment_Now+PMT(New_Rate/12,Years_Left*12,-Mortgage_Balance)-Formula_Now</t>
  </si>
  <si>
    <t xml:space="preserve">Change over a year</t>
  </si>
  <si>
    <t xml:space="preserve">ƒx  =Monthly_Change*12</t>
  </si>
  <si>
    <t xml:space="preserve">Repayment now by formula</t>
  </si>
  <si>
    <t xml:space="preserve">ƒx  =PMT(Current_Rate/12,Years_Left*12,-Mortgage_Balance)</t>
  </si>
  <si>
    <t xml:space="preserve">New rate (never below 0%)</t>
  </si>
  <si>
    <t xml:space="preserve">ƒx  =MAX(0,Current_Rate+Rate_Change)</t>
  </si>
  <si>
    <t xml:space="preserve">• Repayment = PMT(rate ÷ 12, years left × 12, −balance) at the current and the new rate.</t>
  </si>
  <si>
    <t xml:space="preserve">• The change is the difference between the two; a stated repayment moves by the same amount.</t>
  </si>
  <si>
    <t xml:space="preserve">• The new rate is floored at 0% (Irish mortgages have not had negative rates).</t>
  </si>
  <si>
    <t xml:space="preserve">ƒx  ="No goal"</t>
  </si>
  <si>
    <t xml:space="preserve">C06 · Mortgage term comparison</t>
  </si>
  <si>
    <t xml:space="preserve">Question it answers: Shorter or longer term: what is the trade-off?</t>
  </si>
  <si>
    <t xml:space="preserve">Prototype id: term</t>
  </si>
  <si>
    <t xml:space="preserve">Compares two mortgage terms: the monthly repayment and the total interest of each.</t>
  </si>
  <si>
    <t xml:space="preserve">Term A</t>
  </si>
  <si>
    <t xml:space="preserve">Term B</t>
  </si>
  <si>
    <t xml:space="preserve">Default: 35</t>
  </si>
  <si>
    <t xml:space="preserve">Interest difference</t>
  </si>
  <si>
    <t xml:space="preserve">ƒx  =ABS(Interest_B-Interest_A)</t>
  </si>
  <si>
    <t xml:space="preserve">Term A: monthly repayment</t>
  </si>
  <si>
    <t xml:space="preserve">ƒx  =PMT(Interest_Rate/12,Term_A*12,-Loan_Amount)</t>
  </si>
  <si>
    <t xml:space="preserve">Term B: monthly repayment</t>
  </si>
  <si>
    <t xml:space="preserve">ƒx  =PMT(Interest_Rate/12,Term_B*12,-Loan_Amount)</t>
  </si>
  <si>
    <t xml:space="preserve">Term A: total interest</t>
  </si>
  <si>
    <t xml:space="preserve">ƒx  =Monthly_A*Term_A*12-Loan_Amount</t>
  </si>
  <si>
    <t xml:space="preserve">Term B: total interest</t>
  </si>
  <si>
    <t xml:space="preserve">ƒx  =Monthly_B*Term_B*12-Loan_Amount</t>
  </si>
  <si>
    <t xml:space="preserve">• Monthly = PMT(rate ÷ 12, term × 12, −amount) for each term.</t>
  </si>
  <si>
    <t xml:space="preserve">• Total interest = monthly × months − amount.</t>
  </si>
  <si>
    <t xml:space="preserve">• Equal terms show "Both terms are the same."</t>
  </si>
  <si>
    <t xml:space="preserve">C07 · Rent vs buy</t>
  </si>
  <si>
    <t xml:space="preserve">Question it answers: How do renting and buying compare over time?</t>
  </si>
  <si>
    <t xml:space="preserve">Prototype id: rentbuy</t>
  </si>
  <si>
    <t xml:space="preserve">Compares rent paid with the interest and upkeep of buying over the same years, and the equity you would build.</t>
  </si>
  <si>
    <t xml:space="preserve">Monthly rent</t>
  </si>
  <si>
    <t xml:space="preserve">Allowed: €500 to €50,000 · steps of €50</t>
  </si>
  <si>
    <t xml:space="preserve">Default: €1,800</t>
  </si>
  <si>
    <t xml:space="preserve">Deposit</t>
  </si>
  <si>
    <t xml:space="preserve">Allowed: at least 10% of the price and no more than the price</t>
  </si>
  <si>
    <t xml:space="preserve">Default: €35,000</t>
  </si>
  <si>
    <t xml:space="preserve">Mortgage rate</t>
  </si>
  <si>
    <t xml:space="preserve">Years to compare</t>
  </si>
  <si>
    <t xml:space="preserve">Allowed: 1 to 30 · steps of 1</t>
  </si>
  <si>
    <t xml:space="preserve">Default: 10</t>
  </si>
  <si>
    <t xml:space="preserve">House price growth a year</t>
  </si>
  <si>
    <t xml:space="preserve">Allowed: 0% to 6% · steps of 0.5%</t>
  </si>
  <si>
    <t xml:space="preserve">Default: 2%</t>
  </si>
  <si>
    <t xml:space="preserve">Home equity after the years</t>
  </si>
  <si>
    <t xml:space="preserve">ƒx  =Home_Value-Balance_After</t>
  </si>
  <si>
    <t xml:space="preserve">Rent paid</t>
  </si>
  <si>
    <t xml:space="preserve">ƒx  =Monthly_Rent*12*Years</t>
  </si>
  <si>
    <t xml:space="preserve">Interest + upkeep (buying)</t>
  </si>
  <si>
    <t xml:space="preserve">ƒx  =Interest_Paid+Upkeep</t>
  </si>
  <si>
    <t xml:space="preserve">Home value</t>
  </si>
  <si>
    <t xml:space="preserve">ƒx  =Home_Price*(1+House_Growth)^Years</t>
  </si>
  <si>
    <t xml:space="preserve">Mortgage</t>
  </si>
  <si>
    <t xml:space="preserve">ƒx  =MAX(0,Home_Price-Deposit)</t>
  </si>
  <si>
    <t xml:space="preserve">Monthly repayment (30-year term)</t>
  </si>
  <si>
    <t xml:space="preserve">ƒx  =PMT(Mortgage_Rate/12,RentBuy_Term*12,-Loan)</t>
  </si>
  <si>
    <t xml:space="preserve">Mortgage left after the years</t>
  </si>
  <si>
    <t xml:space="preserve">ƒx  =MAX(0,-FV(Mortgage_Rate/12,Years*12,-Monthly_Repayment,Loan))</t>
  </si>
  <si>
    <t xml:space="preserve">Interest paid over the years</t>
  </si>
  <si>
    <t xml:space="preserve">ƒx  =Monthly_Repayment*Years*12-(Loan-Balance_After)</t>
  </si>
  <si>
    <t xml:space="preserve">Upkeep (1% of the price a year)</t>
  </si>
  <si>
    <t xml:space="preserve">ƒx  =Home_Price*Upkeep_Rate*Years</t>
  </si>
  <si>
    <t xml:space="preserve">• Mortgage = price − deposit, repaid over 30 years: repayment = PMT(rate ÷ 12, 360, −mortgage).</t>
  </si>
  <si>
    <t xml:space="preserve">• Balance after the years = −FV(rate ÷ 12, years × 12, −repayment, mortgage), the closed-form balance (no monthly table).</t>
  </si>
  <si>
    <t xml:space="preserve">• Interest paid = repayments made − capital repaid. Upkeep = 1% of the price a year. Home value = price × (1 + growth)^years; equity = value − balance.</t>
  </si>
  <si>
    <t xml:space="preserve">• The deposit must be between 10% of the price (Central Bank LTV) and the price itself (data validation); the mortgage is never negative.</t>
  </si>
  <si>
    <t xml:space="preserve">• Rent is flat and buying costs exclude stamp duty and the return the deposit could earn elsewhere (see README "Not applied").</t>
  </si>
  <si>
    <t xml:space="preserve">ƒx  =Deposit</t>
  </si>
  <si>
    <t xml:space="preserve">C08 · Goal planner</t>
  </si>
  <si>
    <t xml:space="preserve">Category: Savings &amp; Goals</t>
  </si>
  <si>
    <t xml:space="preserve">Question it answers: How much a month to reach my goal?</t>
  </si>
  <si>
    <t xml:space="preserve">Prototype id: goalplanner</t>
  </si>
  <si>
    <t xml:space="preserve">Works out how much to save each month to reach a goal, allowing for prices rising and growth on your savings.</t>
  </si>
  <si>
    <t xml:space="preserve">Goal amount (today's prices)</t>
  </si>
  <si>
    <t xml:space="preserve">Allowed: €500 to €5,000,000 · steps of €500</t>
  </si>
  <si>
    <t xml:space="preserve">Default: €15,000</t>
  </si>
  <si>
    <t xml:space="preserve">Years until the goal</t>
  </si>
  <si>
    <t xml:space="preserve">Default: 3</t>
  </si>
  <si>
    <t xml:space="preserve">Default: €2,000</t>
  </si>
  <si>
    <t xml:space="preserve">Growth / interest a year</t>
  </si>
  <si>
    <t xml:space="preserve">Allowed: 0% to 7% · steps of 0.5%</t>
  </si>
  <si>
    <t xml:space="preserve">Monthly amount to save</t>
  </si>
  <si>
    <t xml:space="preserve">ƒx  =PMT(Monthly_Growth,Years*12,0,-Still_Needed)</t>
  </si>
  <si>
    <t xml:space="preserve">Goal will cost about (in the goal year)</t>
  </si>
  <si>
    <t xml:space="preserve">ƒx  =Goal_Amount*(1+Inflation)^Years</t>
  </si>
  <si>
    <t xml:space="preserve">Your savings grow to</t>
  </si>
  <si>
    <t xml:space="preserve">ƒx  =Saved*(1+Growth_Rate)^Years</t>
  </si>
  <si>
    <t xml:space="preserve">Still needed at the goal year</t>
  </si>
  <si>
    <t xml:space="preserve">ƒx  =MAX(0,Future_Cost-Saved_Grows_To)</t>
  </si>
  <si>
    <t xml:space="preserve">Monthly growth rate</t>
  </si>
  <si>
    <t xml:space="preserve">ƒx  =(1+Growth_Rate)^(1/12)-1</t>
  </si>
  <si>
    <t xml:space="preserve">• Future cost = goal × (1 + inflation)^years. Savings already put aside grow at the growth rate.</t>
  </si>
  <si>
    <t xml:space="preserve">• Monthly saving = PMT(monthly growth, months, 0, −still needed): the level end-of-month saving that grows to what is still needed.</t>
  </si>
  <si>
    <t xml:space="preserve">• Monthly growth = (1 + yearly growth)^(1/12) − 1, the monthly rate equal to the yearly rate.</t>
  </si>
  <si>
    <t xml:space="preserve">• If savings already cover the goal the monthly amount is €0.</t>
  </si>
  <si>
    <t xml:space="preserve">• Inflation is always applied (Assumptions). With 0% growth PMT gives still needed ÷ months.</t>
  </si>
  <si>
    <t xml:space="preserve">ƒx  ="My goal (spend goal)"</t>
  </si>
  <si>
    <t xml:space="preserve">Amount (today's prices)</t>
  </si>
  <si>
    <t xml:space="preserve">ƒx  =Goal_Amount</t>
  </si>
  <si>
    <t xml:space="preserve">ƒx  =Years</t>
  </si>
  <si>
    <t xml:space="preserve">C09 · Compound growth</t>
  </si>
  <si>
    <t xml:space="preserve">Question it answers: What could regular saving grow into?</t>
  </si>
  <si>
    <t xml:space="preserve">Prototype id: compound</t>
  </si>
  <si>
    <t xml:space="preserve">Shows what a starting amount plus regular monthly saving could grow to, and what that is worth in today's money.</t>
  </si>
  <si>
    <t xml:space="preserve">Starting amount</t>
  </si>
  <si>
    <t xml:space="preserve">Default: €5,000</t>
  </si>
  <si>
    <t xml:space="preserve">Monthly addition</t>
  </si>
  <si>
    <t xml:space="preserve">Allowed: €0 to €30,000 · steps of €25</t>
  </si>
  <si>
    <t xml:space="preserve">Growth rate a year</t>
  </si>
  <si>
    <t xml:space="preserve">Allowed: 0% to 8% · steps of 0.5%</t>
  </si>
  <si>
    <t xml:space="preserve">Years</t>
  </si>
  <si>
    <t xml:space="preserve">Allowed: 1 to 40 · steps of 1</t>
  </si>
  <si>
    <t xml:space="preserve">Default: 20</t>
  </si>
  <si>
    <t xml:space="preserve">Could grow to</t>
  </si>
  <si>
    <t xml:space="preserve">ƒx  =FV(Monthly_Growth,Years*12,-Monthly_Addition,-Starting_Amount)</t>
  </si>
  <si>
    <t xml:space="preserve">Worth in today's money</t>
  </si>
  <si>
    <t xml:space="preserve">ƒx  =Grows_To/(1+Inflation)^Years</t>
  </si>
  <si>
    <t xml:space="preserve">Paid in</t>
  </si>
  <si>
    <t xml:space="preserve">ƒx  =Starting_Amount+Monthly_Addition*12*Years</t>
  </si>
  <si>
    <t xml:space="preserve">Illustrative growth</t>
  </si>
  <si>
    <t xml:space="preserve">ƒx  =Grows_To-Paid_In</t>
  </si>
  <si>
    <t xml:space="preserve">• Value = FV(monthly growth, months, −monthly addition, −starting amount): the starting amount compounds and each addition is made at the end of the month.</t>
  </si>
  <si>
    <t xml:space="preserve">• Today's money = value ÷ (1 + inflation)^years.</t>
  </si>
  <si>
    <t xml:space="preserve">• 0% growth gives starting amount + additions.</t>
  </si>
  <si>
    <t xml:space="preserve">• Results are before tax and are not guaranteed.</t>
  </si>
  <si>
    <t xml:space="preserve">ƒx  ="Grow my wealth (plan kind pot)"</t>
  </si>
  <si>
    <t xml:space="preserve">ƒx  =ROUND(Value_Today,0)</t>
  </si>
  <si>
    <t xml:space="preserve">Audit fix: the amount is always in today's money (the plan adds inflation itself).</t>
  </si>
  <si>
    <t xml:space="preserve">C10 · Lump-sum growth</t>
  </si>
  <si>
    <t xml:space="preserve">Category: Investments</t>
  </si>
  <si>
    <t xml:space="preserve">Question it answers: What could a one-off amount become?</t>
  </si>
  <si>
    <t xml:space="preserve">Prototype id: lumpsum</t>
  </si>
  <si>
    <t xml:space="preserve">Shows what a one-off amount could become after fees, the cost of waiting 5 years, and the value in today's money.</t>
  </si>
  <si>
    <t xml:space="preserve">Amount</t>
  </si>
  <si>
    <t xml:space="preserve">Allowed: €500 to €5,000,000 · steps of €100</t>
  </si>
  <si>
    <t xml:space="preserve">Default: €10,000 · pre-filled from Your finances / statement: investments</t>
  </si>
  <si>
    <t xml:space="preserve">Growth rate a year (before fees)</t>
  </si>
  <si>
    <t xml:space="preserve">Default: 15</t>
  </si>
  <si>
    <t xml:space="preserve">Yearly fees</t>
  </si>
  <si>
    <t xml:space="preserve">Allowed: 0% to 3% · steps of 0.05%</t>
  </si>
  <si>
    <t xml:space="preserve">Show in today's money?</t>
  </si>
  <si>
    <t xml:space="preserve">No</t>
  </si>
  <si>
    <t xml:space="preserve">Default: No</t>
  </si>
  <si>
    <t xml:space="preserve">Could grow to (today's money if you chose Yes)</t>
  </si>
  <si>
    <t xml:space="preserve">ƒx  =IF(Adjust_For_Inflation="Yes",Value_Today,Grows_To)</t>
  </si>
  <si>
    <t xml:space="preserve">If you start today (after fees)</t>
  </si>
  <si>
    <t xml:space="preserve">ƒx  =Amount*(1+Growth_After_Fees)^Years</t>
  </si>
  <si>
    <t xml:space="preserve">If you start in 5 years</t>
  </si>
  <si>
    <t xml:space="preserve">ƒx  =Amount*(1+Growth_After_Fees)^MAX(0,Years-Wait_Years)</t>
  </si>
  <si>
    <t xml:space="preserve">Cost of waiting 5 years</t>
  </si>
  <si>
    <t xml:space="preserve">ƒx  =IF(Adjust_For_Inflation="Yes",(Grows_To-Value_Start_Later)/(1+Inflation)^Years,Grows_To-Value_Start_Later)</t>
  </si>
  <si>
    <t xml:space="preserve">Fees cost</t>
  </si>
  <si>
    <t xml:space="preserve">ƒx  =Amount*(1+Growth_Rate)^Years-Grows_To</t>
  </si>
  <si>
    <t xml:space="preserve">Growth after fees a year</t>
  </si>
  <si>
    <t xml:space="preserve">ƒx  =(1+Growth_Rate)*(1-Yearly_Fees)-1</t>
  </si>
  <si>
    <t xml:space="preserve">Real return a year (after fees and inflation)</t>
  </si>
  <si>
    <t xml:space="preserve">ƒx  =(1+Growth_After_Fees)/(1+Inflation)-1</t>
  </si>
  <si>
    <t xml:space="preserve">• Growth after fees = (1 + growth) × (1 − fees) − 1 (fees taken from the fund each year).</t>
  </si>
  <si>
    <t xml:space="preserve">• Value = amount × (1 + growth after fees)^years. Starting in 5 years means 5 fewer years of growth to the same end date.</t>
  </si>
  <si>
    <t xml:space="preserve">• Today's money = value ÷ (1 + inflation)^years; real return = (1 + growth after fees) ÷ (1 + inflation) − 1 (exact, not growth − inflation).</t>
  </si>
  <si>
    <t xml:space="preserve">• With 5 years or fewer, "start in 5 years" equals the amount itself.</t>
  </si>
  <si>
    <t xml:space="preserve">• Results are before tax.</t>
  </si>
  <si>
    <t xml:space="preserve">Always in today's money, whatever the 'Show in today's money' choice.</t>
  </si>
  <si>
    <t xml:space="preserve">C11 · Emergency fund</t>
  </si>
  <si>
    <t xml:space="preserve">Question it answers: How strong is my financial cushion?</t>
  </si>
  <si>
    <t xml:space="preserve">Prototype id: emergency</t>
  </si>
  <si>
    <t xml:space="preserve">Shows how many months of essential spending your easy-access savings cover, against your target.</t>
  </si>
  <si>
    <t xml:space="preserve">Essential monthly spending</t>
  </si>
  <si>
    <t xml:space="preserve">Allowed: €500 to €100,000 · steps of €100</t>
  </si>
  <si>
    <t xml:space="preserve">Default: €2,500 · pre-filled from Your finances: costs + mortgage + debt repayments</t>
  </si>
  <si>
    <t xml:space="preserve">Months you want covered</t>
  </si>
  <si>
    <t xml:space="preserve">months</t>
  </si>
  <si>
    <t xml:space="preserve">Allowed: 1 to 12 · steps of 1</t>
  </si>
  <si>
    <t xml:space="preserve">Default: 6</t>
  </si>
  <si>
    <t xml:space="preserve">Easy-access savings</t>
  </si>
  <si>
    <t xml:space="preserve">Allowed: €0 to €1,000,000 · steps of €250</t>
  </si>
  <si>
    <t xml:space="preserve">Default: €6,250 · pre-filled from Your finances: cash</t>
  </si>
  <si>
    <t xml:space="preserve">You currently have (months)</t>
  </si>
  <si>
    <t xml:space="preserve">ƒx  =Savings/Essential_Spending</t>
  </si>
  <si>
    <t xml:space="preserve">Target cushion</t>
  </si>
  <si>
    <t xml:space="preserve">ƒx  =Essential_Spending*Months_Wanted</t>
  </si>
  <si>
    <t xml:space="preserve">Still to build</t>
  </si>
  <si>
    <t xml:space="preserve">ƒx  =MAX(0,Target-Savings)</t>
  </si>
  <si>
    <t xml:space="preserve">• Months covered = savings ÷ essential monthly spending. Target = spending × months wanted. Still to build = target − savings (never below 0).</t>
  </si>
  <si>
    <t xml:space="preserve">• Spending must be at least €500, so there is no divide by zero.</t>
  </si>
  <si>
    <t xml:space="preserve">ƒx  =IF(Still_To_Build&gt;0,"Safety net (plan kind safety: a reserve, not a spend)","No goal (cushion already in place)")</t>
  </si>
  <si>
    <t xml:space="preserve">ƒx  =IF(Still_To_Build&gt;0,ROUND(Target,0),"—")</t>
  </si>
  <si>
    <t xml:space="preserve">ƒx  =Savings</t>
  </si>
  <si>
    <t xml:space="preserve">ƒx  =Safety_Goal_Years</t>
  </si>
  <si>
    <t xml:space="preserve">C12 · Retirement projection</t>
  </si>
  <si>
    <t xml:space="preserve">Category: Pensions &amp; Retirement</t>
  </si>
  <si>
    <t xml:space="preserve">Question it answers: Could your current path fund the retirement you want?</t>
  </si>
  <si>
    <t xml:space="preserve">Prototype id: retirement</t>
  </si>
  <si>
    <t xml:space="preserve">Projects your pension fund at retirement and compares it, in today's money, with the fund you would need for the income you want.</t>
  </si>
  <si>
    <t xml:space="preserve">Your age</t>
  </si>
  <si>
    <t xml:space="preserve">age</t>
  </si>
  <si>
    <t xml:space="preserve">Allowed: 20 to 70 · steps of 1</t>
  </si>
  <si>
    <t xml:space="preserve">Default: 40 · pre-filled from About you: age</t>
  </si>
  <si>
    <t xml:space="preserve">Target retirement age</t>
  </si>
  <si>
    <t xml:space="preserve">Allowed: 50 to 75 · steps of 1</t>
  </si>
  <si>
    <t xml:space="preserve">Default: 65 · pre-filled from Plan: retirement age</t>
  </si>
  <si>
    <t xml:space="preserve">Pension value today</t>
  </si>
  <si>
    <t xml:space="preserve">Allowed: €0 to €15,000,000 · steps of €1,000</t>
  </si>
  <si>
    <t xml:space="preserve">Default: €60,000 · pre-filled from Your finances / pension statement</t>
  </si>
  <si>
    <t xml:space="preserve">Monthly contributions (you + employer)</t>
  </si>
  <si>
    <t xml:space="preserve">Allowed: €0 to €50,000 · steps of €10</t>
  </si>
  <si>
    <t xml:space="preserve">Default: €500 · pre-filled from Your finances / pension statement</t>
  </si>
  <si>
    <t xml:space="preserve">Desired yearly income in retirement (today's money)</t>
  </si>
  <si>
    <t xml:space="preserve">Allowed: €10,000 to €1,500,000 · steps of €1,000</t>
  </si>
  <si>
    <t xml:space="preserve">Default: €40,000 · pre-filled from Plan: retirement goal income</t>
  </si>
  <si>
    <t xml:space="preserve">Other yearly income, e.g. State Pension (today's money)</t>
  </si>
  <si>
    <t xml:space="preserve">Allowed: €0 to €500,000 · steps of €500</t>
  </si>
  <si>
    <t xml:space="preserve">Default: €15,000 · pre-filled from State Pension €15,564 × entitlement (full 1, partly 0.6, not sure 0.8)</t>
  </si>
  <si>
    <t xml:space="preserve">Growth after charges a year</t>
  </si>
  <si>
    <t xml:space="preserve">Allowed: 1% to 7% · steps of 0.25%</t>
  </si>
  <si>
    <t xml:space="preserve">Default: 4.5% · pre-filled from Plan: pension growth (Assumptions)</t>
  </si>
  <si>
    <t xml:space="preserve">What if: retire later by</t>
  </si>
  <si>
    <t xml:space="preserve">Allowed: 0 to 5 · steps of 1</t>
  </si>
  <si>
    <t xml:space="preserve">Default: 0</t>
  </si>
  <si>
    <t xml:space="preserve">What if: save more each month</t>
  </si>
  <si>
    <t xml:space="preserve">What if: spend less in retirement (a year)</t>
  </si>
  <si>
    <t xml:space="preserve">Allowed: €0 to €200,000 · steps of €500</t>
  </si>
  <si>
    <t xml:space="preserve">Illustrative gap (today's money)</t>
  </si>
  <si>
    <t xml:space="preserve">ƒx  =Target_Today-Fund_Today</t>
  </si>
  <si>
    <t xml:space="preserve">Projected fund at retirement</t>
  </si>
  <si>
    <t xml:space="preserve">ƒx  =Pension_Today*(1+Growth_Rate)^Years_To_Retirement+Contributions_Grow_To</t>
  </si>
  <si>
    <t xml:space="preserve">Projected fund in today's money</t>
  </si>
  <si>
    <t xml:space="preserve">ƒx  =Projected_Fund/(1+Inflation)^Years_To_Retirement</t>
  </si>
  <si>
    <t xml:space="preserve">Illustrative target (25 × the income you need, today's money)</t>
  </si>
  <si>
    <t xml:space="preserve">ƒx  =MAX(0,Desired_Income-Spend_Less-Other_Income)*Retire_Multiple</t>
  </si>
  <si>
    <t xml:space="preserve">Years to retirement</t>
  </si>
  <si>
    <t xml:space="preserve">ƒx  =MAX(1,Retirement_Age+Retire_Later-Age)</t>
  </si>
  <si>
    <t xml:space="preserve">Monthly contribution incl. what-if</t>
  </si>
  <si>
    <t xml:space="preserve">ƒx  =Monthly_Contribution+Save_More</t>
  </si>
  <si>
    <t xml:space="preserve">Contributions (rising with pay) grow to</t>
  </si>
  <si>
    <t xml:space="preserve">ƒx  =IF(Growth_Rate=Wage,12*Contribution*Years_To_Retirement*(1+Growth_Rate)^(Years_To_Retirement-1),12*Contribution*((1+Growth_Rate)^Years_To_Retirement-(1+Wage)^Years_To_Retirement)/(Growth_Rate-Wage))</t>
  </si>
  <si>
    <t xml:space="preserve">Pay rise a year (contributions rise with pay)</t>
  </si>
  <si>
    <t xml:space="preserve">ƒx  =Wage</t>
  </si>
  <si>
    <t xml:space="preserve">• Fund = pension today × (1 + growth)^years + each year's contributions (12 × monthly, rising with pay each year, added at the year end), the closed-form growing annuity.</t>
  </si>
  <si>
    <t xml:space="preserve">• The fund is future money, the target is today's money, so the fund is turned into today's money first: fund ÷ (1 + inflation)^years (audit Must fix: like-for-like gap).</t>
  </si>
  <si>
    <t xml:space="preserve">• Target = (desired income − spend less − other income) × 25. Gap = target − fund in today's money.</t>
  </si>
  <si>
    <t xml:space="preserve">• Years to retirement is at least 1.</t>
  </si>
  <si>
    <t xml:space="preserve">• If growth equals the pay-rise rate the growing-annuity formula divides by zero, so the equal-rate form 12 × contribution × years × (1+g)^(years−1) is used.</t>
  </si>
  <si>
    <t xml:space="preserve">• Gap ≤ 0 shows "On track: no gap".</t>
  </si>
  <si>
    <t xml:space="preserve">ƒx  ="Update your retirement goal (no new goal)"</t>
  </si>
  <si>
    <t xml:space="preserve">Yearly income in retirement (today's money)</t>
  </si>
  <si>
    <t xml:space="preserve">ƒx  =Desired_Income-Spend_Less</t>
  </si>
  <si>
    <t xml:space="preserve">Retirement age</t>
  </si>
  <si>
    <t xml:space="preserve">ƒx  =Retirement_Age+Retire_Later</t>
  </si>
  <si>
    <t xml:space="preserve">Audit fix: the old 25× lump sum spend goal double-counted the plan's own retirement goal.</t>
  </si>
  <si>
    <t xml:space="preserve">C13 · Contribution impact</t>
  </si>
  <si>
    <t xml:space="preserve">Question it answers: What difference would a small increase make?</t>
  </si>
  <si>
    <t xml:space="preserve">Prototype id: contrib</t>
  </si>
  <si>
    <t xml:space="preserve">Shows what raising your pension contributions by a % of salary could add by retirement, and what it costs after tax relief.</t>
  </si>
  <si>
    <t xml:space="preserve">Salary</t>
  </si>
  <si>
    <t xml:space="preserve">Increase contributions by (% of salary)</t>
  </si>
  <si>
    <t xml:space="preserve">Allowed: 0.5% to 10% · steps of 0.5%</t>
  </si>
  <si>
    <t xml:space="preserve">Allowed: 1 to 45 · steps of 1</t>
  </si>
  <si>
    <t xml:space="preserve">Default: 25 · pre-filled from Plan: retirement age − age</t>
  </si>
  <si>
    <t xml:space="preserve">Growth assumption a year</t>
  </si>
  <si>
    <t xml:space="preserve">Allowed: 1% to 7% · steps of 0.5%</t>
  </si>
  <si>
    <t xml:space="preserve">Default: 4.5% · pre-filled from Plan: pension growth</t>
  </si>
  <si>
    <t xml:space="preserve">Your tax rate (0.2 = 20%, 0.4 = 40%)</t>
  </si>
  <si>
    <t xml:space="preserve">20% or 40%</t>
  </si>
  <si>
    <t xml:space="preserve">Allowed: 20% or 40%</t>
  </si>
  <si>
    <t xml:space="preserve">Default: 40% · pre-filled from 40% if income &gt; €44,000, else 20%</t>
  </si>
  <si>
    <t xml:space="preserve">Could add to your pension</t>
  </si>
  <si>
    <t xml:space="preserve">ƒx  =FV((1+Growth_Rate)^(1/12)-1,Years*12,-Extra_Per_Month)</t>
  </si>
  <si>
    <t xml:space="preserve">Extra per month</t>
  </si>
  <si>
    <t xml:space="preserve">ƒx  =Salary*Increase_Pct/12</t>
  </si>
  <si>
    <t xml:space="preserve">Cost to you after tax relief, a month</t>
  </si>
  <si>
    <t xml:space="preserve">ƒx  =Extra_Per_Month*(1-Tax_Rate)</t>
  </si>
  <si>
    <t xml:space="preserve">• Extra a month = salary × increase ÷ 12. Value = FV(monthly growth, months, −extra): level end-of-month contributions.</t>
  </si>
  <si>
    <t xml:space="preserve">• Cost after relief = extra × (1 − tax rate): relief is at your income-tax rate (USC and PRSI still apply).</t>
  </si>
  <si>
    <t xml:space="preserve">• Tax rate is 20% or 40% only (list).</t>
  </si>
  <si>
    <t xml:space="preserve">• Age-related relief limits (15%–40% of pay, €115,000 cap) are not checked.</t>
  </si>
  <si>
    <t xml:space="preserve">ƒx  ="No goal: raise the plan's pension contribution instead"</t>
  </si>
  <si>
    <t xml:space="preserve">Extra pension contribution a month</t>
  </si>
  <si>
    <t xml:space="preserve">ƒx  =Extra_Per_Month</t>
  </si>
  <si>
    <t xml:space="preserve">Audit fix: pension money is not a spend goal.</t>
  </si>
  <si>
    <t xml:space="preserve">C14 · AVC impact</t>
  </si>
  <si>
    <t xml:space="preserve">Question it answers: What could extra voluntary contributions add?</t>
  </si>
  <si>
    <t xml:space="preserve">Prototype id: avc</t>
  </si>
  <si>
    <t xml:space="preserve">Shows what extra voluntary contributions (AVCs) could add by retirement, and their cost after tax relief.</t>
  </si>
  <si>
    <t xml:space="preserve">AVC per month</t>
  </si>
  <si>
    <t xml:space="preserve">Allowed: €25 to €20,000 · steps of €25</t>
  </si>
  <si>
    <t xml:space="preserve">Default: 15 · pre-filled from Plan: retirement age − age</t>
  </si>
  <si>
    <t xml:space="preserve">Could add</t>
  </si>
  <si>
    <t xml:space="preserve">ƒx  =FV((1+Growth_Rate)^(1/12)-1,Years*12,-AVC_Per_Month)</t>
  </si>
  <si>
    <t xml:space="preserve">ƒx  =AVC_Per_Month*12*Years</t>
  </si>
  <si>
    <t xml:space="preserve">Net cost to you</t>
  </si>
  <si>
    <t xml:space="preserve">ƒx  =AVC_Per_Month*(1-Tax_Rate)*12*Years</t>
  </si>
  <si>
    <t xml:space="preserve">Net cost of each monthly AVC</t>
  </si>
  <si>
    <t xml:space="preserve">ƒx  =AVC_Per_Month*(1-Tax_Rate)</t>
  </si>
  <si>
    <t xml:space="preserve">• Value = FV(monthly growth, months, −AVC). Net cost = AVC × (1 − tax rate).</t>
  </si>
  <si>
    <t xml:space="preserve">• Age-related limits cover the main scheme and AVCs together, so they are not checked here.</t>
  </si>
  <si>
    <t xml:space="preserve">ƒx  =AVC_Per_Month</t>
  </si>
  <si>
    <t xml:space="preserve">C15 · Will my money last?</t>
  </si>
  <si>
    <t xml:space="preserve">Question it answers: How long could my retirement savings last?</t>
  </si>
  <si>
    <t xml:space="preserve">Prototype id: lastmoney</t>
  </si>
  <si>
    <t xml:space="preserve">Shows how many full years your retirement savings could pay a yearly income that rises with prices.</t>
  </si>
  <si>
    <t xml:space="preserve">Retirement savings</t>
  </si>
  <si>
    <t xml:space="preserve">Allowed: €10,000 to €30,000,000 · steps of €10,000</t>
  </si>
  <si>
    <t xml:space="preserve">Default: €400,000 · pre-filled from Plan: pension projected to retirement</t>
  </si>
  <si>
    <t xml:space="preserve">Yearly withdrawal (first year)</t>
  </si>
  <si>
    <t xml:space="preserve">Allowed: €1,000 to €2,000,000 · steps of €1,000</t>
  </si>
  <si>
    <t xml:space="preserve">Default: €24,000</t>
  </si>
  <si>
    <t xml:space="preserve">Default: 3% · pre-filled from Assumptions: pension growth once retired</t>
  </si>
  <si>
    <t xml:space="preserve">Could last about (full years)</t>
  </si>
  <si>
    <t xml:space="preserve">ƒx  =SUM(W_paid)</t>
  </si>
  <si>
    <t xml:space="preserve">Withdrawal rate (first year)</t>
  </si>
  <si>
    <t xml:space="preserve">ƒx  =Yearly_Withdrawal/Retirement_Savings</t>
  </si>
  <si>
    <t xml:space="preserve">WORKING (one row per year; withdrawal taken at the start of the year)</t>
  </si>
  <si>
    <t xml:space="preserve">Year</t>
  </si>
  <si>
    <t xml:space="preserve">Withdrawal (rises with inflation)</t>
  </si>
  <si>
    <t xml:space="preserve">Savings at the start of the year</t>
  </si>
  <si>
    <t xml:space="preserve">Paid in full? (1 = yes)</t>
  </si>
  <si>
    <t xml:space="preserve">Left at the end of the year, after growth</t>
  </si>
  <si>
    <t xml:space="preserve">• Each year: take the withdrawal at the start of the year, then the rest grows for the year. The withdrawal rises with inflation each year.</t>
  </si>
  <si>
    <t xml:space="preserve">• Years lasting = the number of years the full withdrawal could be paid (the "Paid in full" column).</t>
  </si>
  <si>
    <t xml:space="preserve">• Start-of-year timing (audit Should fix; the old end-of-year timing was optimistic).</t>
  </si>
  <si>
    <t xml:space="preserve">• If the money lasts all 60 years of the table it shows "60+ years".</t>
  </si>
  <si>
    <t xml:space="preserve">• Before tax: ARF and vested PRSA withdrawals pay income tax and USC.</t>
  </si>
  <si>
    <t xml:space="preserve">C16 · Retirement drawdown scenarios</t>
  </si>
  <si>
    <t xml:space="preserve">Question it answers: How do different growth rates change things?</t>
  </si>
  <si>
    <t xml:space="preserve">Prototype id: drawdown</t>
  </si>
  <si>
    <t xml:space="preserve">Shows how long your retirement savings could last at three growth rates, with withdrawals rising with prices.</t>
  </si>
  <si>
    <t xml:space="preserve">Default: €20,000</t>
  </si>
  <si>
    <t xml:space="preserve">Balanced (4%) lasts (full years)</t>
  </si>
  <si>
    <t xml:space="preserve">ƒx  =SUM(W_b_paid)</t>
  </si>
  <si>
    <t xml:space="preserve">Cautious (2%) lasts (full years)</t>
  </si>
  <si>
    <t xml:space="preserve">ƒx  =SUM(W_c_paid)</t>
  </si>
  <si>
    <t xml:space="preserve">Growth (6%) lasts (full years)</t>
  </si>
  <si>
    <t xml:space="preserve">ƒx  =SUM(W_g_paid)</t>
  </si>
  <si>
    <t xml:space="preserve">WORKING (one row per year; withdrawal at the start of the year, rising with inflation)</t>
  </si>
  <si>
    <t xml:space="preserve">Withdrawal</t>
  </si>
  <si>
    <t xml:space="preserve">Cautious: savings at start</t>
  </si>
  <si>
    <t xml:space="preserve">Cautious: paid? (1 = yes)</t>
  </si>
  <si>
    <t xml:space="preserve">Balanced: savings at start</t>
  </si>
  <si>
    <t xml:space="preserve">Balanced: paid? (1 = yes)</t>
  </si>
  <si>
    <t xml:space="preserve">Growth: savings at start</t>
  </si>
  <si>
    <t xml:space="preserve">Growth: paid? (1 = yes)</t>
  </si>
  <si>
    <t xml:space="preserve">• Same rule as C15 at 2%, 4% and 6% growth: withdraw at the start of each year, grow the rest, raise the withdrawal with inflation.</t>
  </si>
  <si>
    <t xml:space="preserve">• Years lasting = the number of years paid in full.</t>
  </si>
  <si>
    <t xml:space="preserve">• "60+ years" in every row when the money lasts the whole table.</t>
  </si>
  <si>
    <t xml:space="preserve">• Start-of-year timing (audit Should fix).</t>
  </si>
  <si>
    <t xml:space="preserve">C17 · Inflation-adjusted return</t>
  </si>
  <si>
    <t xml:space="preserve">Question it answers: What is my money really worth in future?</t>
  </si>
  <si>
    <t xml:space="preserve">Prototype id: realreturn</t>
  </si>
  <si>
    <t xml:space="preserve">Shows what an amount could grow to, what that is worth in today's money, and the real return after inflation.</t>
  </si>
  <si>
    <t xml:space="preserve">Default: €20,000 · pre-filled from Your finances / statement: investments</t>
  </si>
  <si>
    <t xml:space="preserve">Return a year (before inflation)</t>
  </si>
  <si>
    <t xml:space="preserve">Allowed: 0% to 10% · steps of 0.25%</t>
  </si>
  <si>
    <t xml:space="preserve">Default: 5%</t>
  </si>
  <si>
    <t xml:space="preserve">In today's money</t>
  </si>
  <si>
    <t xml:space="preserve">ƒx  =Future_Value/(1+Inflation)^Years</t>
  </si>
  <si>
    <t xml:space="preserve">Future value</t>
  </si>
  <si>
    <t xml:space="preserve">ƒx  =Amount*(1+Nominal_Return)^Years</t>
  </si>
  <si>
    <t xml:space="preserve">Real return a year</t>
  </si>
  <si>
    <t xml:space="preserve">ƒx  =(1+Nominal_Return)/(1+Inflation)-1</t>
  </si>
  <si>
    <t xml:space="preserve">• Future value = amount × (1 + return)^years; today's money = future value ÷ (1 + inflation)^years.</t>
  </si>
  <si>
    <t xml:space="preserve">• Real return = (1 + return) ÷ (1 + inflation) − 1, the exact figure (not return − inflation).</t>
  </si>
  <si>
    <t xml:space="preserve">• Before tax and charges.</t>
  </si>
  <si>
    <t xml:space="preserve">C18 · Regular investing</t>
  </si>
  <si>
    <t xml:space="preserve">Question it answers: What could investing monthly build?</t>
  </si>
  <si>
    <t xml:space="preserve">Prototype id: regularinvest</t>
  </si>
  <si>
    <t xml:space="preserve">Shows what investing a monthly amount could build after fees, what the fees cost, and the value in today's money.</t>
  </si>
  <si>
    <t xml:space="preserve">Monthly amount</t>
  </si>
  <si>
    <t xml:space="preserve">Allowed: €25 to €50,000 · steps of €25</t>
  </si>
  <si>
    <t xml:space="preserve">Default: €300</t>
  </si>
  <si>
    <t xml:space="preserve">Growth a year (before fees)</t>
  </si>
  <si>
    <t xml:space="preserve">Could grow to after fees (today's money if you chose Yes)</t>
  </si>
  <si>
    <t xml:space="preserve">ƒx  =IF(Adjust_For_Inflation="Yes",Value_Today,Value_After_Fees)</t>
  </si>
  <si>
    <t xml:space="preserve">After fees</t>
  </si>
  <si>
    <t xml:space="preserve">ƒx  =FV((1+Growth_After_Fees)^(1/12)-1,Years*12,-Monthly_Amount)</t>
  </si>
  <si>
    <t xml:space="preserve">Before fees</t>
  </si>
  <si>
    <t xml:space="preserve">ƒx  =FV((1+Growth_Rate)^(1/12)-1,Years*12,-Monthly_Amount)</t>
  </si>
  <si>
    <t xml:space="preserve">ƒx  =Value_Before_Fees-Value_After_Fees</t>
  </si>
  <si>
    <t xml:space="preserve">ƒx  =Monthly_Amount*12*Years</t>
  </si>
  <si>
    <t xml:space="preserve">ƒx  =Value_After_Fees/(1+Inflation)^Years</t>
  </si>
  <si>
    <t xml:space="preserve">• Growth after fees = (1 + growth) × (1 − fees) − 1. Each value = FV(monthly rate, months, −monthly amount), monthly rate = (1 + yearly rate)^(1/12) − 1.</t>
  </si>
  <si>
    <t xml:space="preserve">• Fees cost = value before fees − value after fees. Today's money = after-fees value ÷ (1 + inflation)^years.</t>
  </si>
  <si>
    <t xml:space="preserve">• Results are before tax (exit tax 38%, deemed disposal; 1% levy on unit-linked premiums).</t>
  </si>
  <si>
    <t xml:space="preserve">Audit fix: the old goal sent the nominal value, which the plan then inflated again.</t>
  </si>
  <si>
    <t xml:space="preserve">C19 · Fees impact</t>
  </si>
  <si>
    <t xml:space="preserve">Question it answers: How much do fees really cost over time?</t>
  </si>
  <si>
    <t xml:space="preserve">Prototype id: fees</t>
  </si>
  <si>
    <t xml:space="preserve">Compares what an investment could grow to with two different yearly fees.</t>
  </si>
  <si>
    <t xml:space="preserve">Amount invested</t>
  </si>
  <si>
    <t xml:space="preserve">Allowed: €1,000 to €10,000,000 · steps of €100</t>
  </si>
  <si>
    <t xml:space="preserve">Default: €50,000 · pre-filled from Your finances / statement: investments</t>
  </si>
  <si>
    <t xml:space="preserve">Fee A a year</t>
  </si>
  <si>
    <t xml:space="preserve">Allowed: 0% to 3% · steps of 0.1%</t>
  </si>
  <si>
    <t xml:space="preserve">Default: 0.5%</t>
  </si>
  <si>
    <t xml:space="preserve">Fee B a year</t>
  </si>
  <si>
    <t xml:space="preserve">Default: 1.5%</t>
  </si>
  <si>
    <t xml:space="preserve">Difference</t>
  </si>
  <si>
    <t xml:space="preserve">ƒx  =ABS(Value_With_Fee_A-Value_With_Fee_B)</t>
  </si>
  <si>
    <t xml:space="preserve">With fee A</t>
  </si>
  <si>
    <t xml:space="preserve">ƒx  =Amount_Invested*((1+Growth_Rate)*(1-Fee_A))^Years</t>
  </si>
  <si>
    <t xml:space="preserve">With fee B</t>
  </si>
  <si>
    <t xml:space="preserve">ƒx  =Amount_Invested*((1+Growth_Rate)*(1-Fee_B))^Years</t>
  </si>
  <si>
    <t xml:space="preserve">Fee difference a year</t>
  </si>
  <si>
    <t xml:space="preserve">ƒx  =ABS(Fee_B-Fee_A)</t>
  </si>
  <si>
    <t xml:space="preserve">• Value with a fee = amount × ((1 + growth) × (1 − fee))^years: the fee comes off the fund each year (exact, not growth − fee).</t>
  </si>
  <si>
    <t xml:space="preserve">• Before tax.</t>
  </si>
  <si>
    <t xml:space="preserve">C20 · Risk &amp; return simulator</t>
  </si>
  <si>
    <t xml:space="preserve">Question it answers: What range of outcomes might each style have?</t>
  </si>
  <si>
    <t xml:space="preserve">Prototype id: riskreturn</t>
  </si>
  <si>
    <t xml:space="preserve">Shows a weaker, middle and stronger outcome for a cautious, balanced or growth investment style.</t>
  </si>
  <si>
    <t xml:space="preserve">Style: 1 Cautious · 2 Balanced · 3 Growth</t>
  </si>
  <si>
    <t xml:space="preserve">1, 2 or 3</t>
  </si>
  <si>
    <t xml:space="preserve">Allowed: 1 or 2 or 3</t>
  </si>
  <si>
    <t xml:space="preserve">Default: 2</t>
  </si>
  <si>
    <t xml:space="preserve">Middle outcome</t>
  </si>
  <si>
    <t xml:space="preserve">ƒx  =Amount*(1+Middle_Growth)^Years</t>
  </si>
  <si>
    <t xml:space="preserve">Weaker outcome</t>
  </si>
  <si>
    <t xml:space="preserve">ƒx  =Amount*(1+Middle_Growth-Spread)^Years</t>
  </si>
  <si>
    <t xml:space="preserve">Stronger outcome</t>
  </si>
  <si>
    <t xml:space="preserve">ƒx  =Amount*(1+Middle_Growth+Spread)^Years</t>
  </si>
  <si>
    <t xml:space="preserve">A difficult single year could see a fall of around</t>
  </si>
  <si>
    <t xml:space="preserve">ƒx  =ROUND(Volatility*Risk_Fall*100,0)/100</t>
  </si>
  <si>
    <t xml:space="preserve">Style</t>
  </si>
  <si>
    <t xml:space="preserve">ƒx  =IF(OR(Style&lt;1,Style&gt;3,Style&lt;&gt;INT(Style)),"Choose 1, 2 or 3",INDEX(Risk_Names,Style))</t>
  </si>
  <si>
    <t xml:space="preserve">Middle growth a year</t>
  </si>
  <si>
    <t xml:space="preserve">ƒx  =INDEX(Risk_Mu,Style)</t>
  </si>
  <si>
    <t xml:space="preserve">Volatility a year</t>
  </si>
  <si>
    <t xml:space="preserve">ƒx  =INDEX(Risk_Vol,Style)</t>
  </si>
  <si>
    <t xml:space="preserve">Spread a year over the period</t>
  </si>
  <si>
    <t xml:space="preserve">ƒx  =Volatility/SQRT(Years)</t>
  </si>
  <si>
    <t xml:space="preserve">• Middle = amount × (1 + middle growth)^years. Weaker / stronger = the same with growth − / + spread, where spread = volatility ÷ √years (ranges narrow over time).</t>
  </si>
  <si>
    <t xml:space="preserve">• Difficult year = volatility × 1.6, rounded to a whole %.</t>
  </si>
  <si>
    <t xml:space="preserve">• Style must be 1, 2 or 3 (list): no decimals, so no "€NaN".</t>
  </si>
  <si>
    <t xml:space="preserve">• Illustrative only; "weaker" is roughly a 1-in-6 chance of doing worse, not the worst case.</t>
  </si>
  <si>
    <t xml:space="preserve">C21 · Life cover estimator</t>
  </si>
  <si>
    <t xml:space="preserve">Category: Protection</t>
  </si>
  <si>
    <t xml:space="preserve">Question it answers: How much cover might my family need?</t>
  </si>
  <si>
    <t xml:space="preserve">Prototype id: lifecover</t>
  </si>
  <si>
    <t xml:space="preserve">Estimates the life cover gap: income your family would need, plus debts to clear, less what you already have.</t>
  </si>
  <si>
    <t xml:space="preserve">Allowed: €0 to €3,000,000 · steps of €1,000</t>
  </si>
  <si>
    <t xml:space="preserve">Years your family would need support</t>
  </si>
  <si>
    <t xml:space="preserve">Allowed: €0 to €10,000,000 · steps of €5,000</t>
  </si>
  <si>
    <t xml:space="preserve">Default: €250,000 · pre-filled from Your finances: mortgage balance</t>
  </si>
  <si>
    <t xml:space="preserve">Is the mortgage cleared by mortgage protection? (most are)</t>
  </si>
  <si>
    <t xml:space="preserve">Default: Yes</t>
  </si>
  <si>
    <t xml:space="preserve">Other debts</t>
  </si>
  <si>
    <t xml:space="preserve">Default: €10,000 · pre-filled from Your finances: debts</t>
  </si>
  <si>
    <t xml:space="preserve">Savings &amp; investments</t>
  </si>
  <si>
    <t xml:space="preserve">Allowed: €0 to €10,000,000 · steps of €1,000</t>
  </si>
  <si>
    <t xml:space="preserve">Default: €20,000 · pre-filled from Your finances: cash + investments</t>
  </si>
  <si>
    <t xml:space="preserve">Existing life cover (incl. through work)</t>
  </si>
  <si>
    <t xml:space="preserve">Allowed: €0 to €20,000,000 · steps of €10,000</t>
  </si>
  <si>
    <t xml:space="preserve">Default: €100,000</t>
  </si>
  <si>
    <t xml:space="preserve">State survivor's pension a week (0 if none)</t>
  </si>
  <si>
    <t xml:space="preserve">€ a week</t>
  </si>
  <si>
    <t xml:space="preserve">Allowed: €0 to €1,000 · steps of €0.50 · default links to Assumptions</t>
  </si>
  <si>
    <t xml:space="preserve">Default: €259.50</t>
  </si>
  <si>
    <t xml:space="preserve">Illustrative cover gap</t>
  </si>
  <si>
    <t xml:space="preserve">ƒx  =MAX(0,Income_Need+Debts_To_Clear-Already_Have)</t>
  </si>
  <si>
    <t xml:space="preserve">Income your family would need (after State pension)</t>
  </si>
  <si>
    <t xml:space="preserve">ƒx  =MAX(0,Yearly_Income*Life_Replace-Survivor_Pension*Weeks_Per_Year)*Years_Support</t>
  </si>
  <si>
    <t xml:space="preserve">Debts to clear</t>
  </si>
  <si>
    <t xml:space="preserve">ƒx  =IF(Mortgage_Protected="Yes",0,Mortgage_Balance)+Other_Debts</t>
  </si>
  <si>
    <t xml:space="preserve">Existing cover + savings</t>
  </si>
  <si>
    <t xml:space="preserve">ƒx  =Existing_Cover+Savings</t>
  </si>
  <si>
    <t xml:space="preserve">Income replacement before State pension (60%)</t>
  </si>
  <si>
    <t xml:space="preserve">ƒx  =Yearly_Income*Life_Replace*Years_Support</t>
  </si>
  <si>
    <t xml:space="preserve">• Income need = (60% of gross income − State survivor's pension × 52) a year × years of support (never below 0).</t>
  </si>
  <si>
    <t xml:space="preserve">• Debts to clear = other debts, plus the mortgage only if mortgage protection does not already clear it (it is required for most home loans, CCA 1995 s.126).</t>
  </si>
  <si>
    <t xml:space="preserve">• Gap = income need + debts − existing cover − savings (never below 0).</t>
  </si>
  <si>
    <t xml:space="preserve">• Income need is not discounted (assumes the payout earns about inflation).</t>
  </si>
  <si>
    <t xml:space="preserve">• Survivor's pension defaults to the 2026 rate under 66 (€259.50 a week); enter 0 if it would not be paid.</t>
  </si>
  <si>
    <t xml:space="preserve">ƒx  ="No goal: record a protection need for the adviser"</t>
  </si>
  <si>
    <t xml:space="preserve">Life cover need</t>
  </si>
  <si>
    <t xml:space="preserve">ƒx  =Cover_Gap</t>
  </si>
  <si>
    <t xml:space="preserve">Audit fix: life cover is bought for a premium; it is not money to save.</t>
  </si>
  <si>
    <t xml:space="preserve">C22 · Income protection gap</t>
  </si>
  <si>
    <t xml:space="preserve">Question it answers: How long could I cope if I couldn't work?</t>
  </si>
  <si>
    <t xml:space="preserve">Prototype id: incomegap</t>
  </si>
  <si>
    <t xml:space="preserve">Shows how long you could cope if you couldn't work, after Illness Benefit, and the income protection to aim for.</t>
  </si>
  <si>
    <t xml:space="preserve">Months of sick pay from your employer's scheme</t>
  </si>
  <si>
    <t xml:space="preserve">Allowed: 0 to 12 · steps of 1</t>
  </si>
  <si>
    <t xml:space="preserve">Default: €8,000 · pre-filled from Your finances: cash</t>
  </si>
  <si>
    <t xml:space="preserve">You could cope for about (months)</t>
  </si>
  <si>
    <t xml:space="preserve">ƒx  =IF(Monthly_Gap=0,"Indefinitely",Sick_Pay_Months+Savings/Monthly_Gap)</t>
  </si>
  <si>
    <t xml:space="preserve">Monthly gap after Illness Benefit</t>
  </si>
  <si>
    <t xml:space="preserve">ƒx  =MAX(0,Essential_Spending-Illness_Benefit_Month)</t>
  </si>
  <si>
    <t xml:space="preserve">Income protection to aim for, a month</t>
  </si>
  <si>
    <t xml:space="preserve">ƒx  =MIN(Monthly_Gap,IP_Max)</t>
  </si>
  <si>
    <t xml:space="preserve">Illness Benefit a month (€254 × 52 ÷ 12)</t>
  </si>
  <si>
    <t xml:space="preserve">ƒx  =Illness_Benefit_Week*Weeks_Per_Year/12</t>
  </si>
  <si>
    <t xml:space="preserve">Savings would cover (months)</t>
  </si>
  <si>
    <t xml:space="preserve">ƒx  =IF(Monthly_Gap=0,"Indefinitely",Savings/Monthly_Gap)</t>
  </si>
  <si>
    <t xml:space="preserve">Most income protection allowed, a month (75% of income less Illness Benefit)</t>
  </si>
  <si>
    <t xml:space="preserve">ƒx  =MAX(0,Gross_Income*IP_Max_Pct/12-Illness_Benefit_Month)</t>
  </si>
  <si>
    <t xml:space="preserve">• Illness Benefit a month = weekly rate × 52 ÷ 12. Monthly gap = essential spending − Illness Benefit (never below 0).</t>
  </si>
  <si>
    <t xml:space="preserve">• Months you could cope = sick-pay months + savings ÷ monthly gap.</t>
  </si>
  <si>
    <t xml:space="preserve">• Income protection to aim for = the gap, but no more than 75% of gross income less Illness Benefit (insurers' usual maximum).</t>
  </si>
  <si>
    <t xml:space="preserve">• If Illness Benefit covers the spending, show "Indefinitely".</t>
  </si>
  <si>
    <t xml:space="preserve">• Illness Benefit depends on PRSI contributions and starts after waiting days; statutory sick pay is only 5 days.</t>
  </si>
  <si>
    <t xml:space="preserve">ƒx  ="No goal: record an income protection need for the adviser"</t>
  </si>
  <si>
    <t xml:space="preserve">Income protection need, a month</t>
  </si>
  <si>
    <t xml:space="preserve">ƒx  =IP_Needed</t>
  </si>
  <si>
    <t xml:space="preserve">C23 · Mortgage protection</t>
  </si>
  <si>
    <t xml:space="preserve">Question it answers: What cover would clear my mortgage?</t>
  </si>
  <si>
    <t xml:space="preserve">Prototype id: mortgageprotect</t>
  </si>
  <si>
    <t xml:space="preserve">Shows the cover needed to clear your mortgage today and how the balance falls over time.</t>
  </si>
  <si>
    <t xml:space="preserve">Allowed: €20,000 to €10,000,000 · steps of €5,000</t>
  </si>
  <si>
    <t xml:space="preserve">Cover needed today</t>
  </si>
  <si>
    <t xml:space="preserve">ƒx  =Mortgage_Balance</t>
  </si>
  <si>
    <t xml:space="preserve">Message to show</t>
  </si>
  <si>
    <t xml:space="preserve">Balance in 5 years</t>
  </si>
  <si>
    <t xml:space="preserve">ƒx  =IF(Warning&lt;&gt;"","—",MAX(0,-FV(Monthly_Rate,MP_Year_1*12,-Repayment,Mortgage_Balance)))</t>
  </si>
  <si>
    <t xml:space="preserve">Balance in 10 years</t>
  </si>
  <si>
    <t xml:space="preserve">ƒx  =IF(Warning&lt;&gt;"","—",MAX(0,-FV(Monthly_Rate,MP_Year_2*12,-Repayment,Mortgage_Balance)))</t>
  </si>
  <si>
    <t xml:space="preserve">Balance in 15 years</t>
  </si>
  <si>
    <t xml:space="preserve">ƒx  =IF(Warning&lt;&gt;"","—",MAX(0,-FV(Monthly_Rate,MP_Year_3*12,-Repayment,Mortgage_Balance)))</t>
  </si>
  <si>
    <t xml:space="preserve">Monthly repayment used</t>
  </si>
  <si>
    <t xml:space="preserve">• Balance after n years = −FV(rate ÷ 12, n × 12, −repayment, balance): the closed-form outstanding balance; 0 once the mortgage is paid off.</t>
  </si>
  <si>
    <t xml:space="preserve">• If the repayment does not cover the interest, show the warning and no future balances (they would grow).</t>
  </si>
  <si>
    <t xml:space="preserve">C24 · Net worth</t>
  </si>
  <si>
    <t xml:space="preserve">Category: Everyday Money</t>
  </si>
  <si>
    <t xml:space="preserve">Question it answers: What am I worth, all in?</t>
  </si>
  <si>
    <t xml:space="preserve">Prototype id: networth</t>
  </si>
  <si>
    <t xml:space="preserve">Adds up what you own and what you owe.</t>
  </si>
  <si>
    <t xml:space="preserve">Savings</t>
  </si>
  <si>
    <t xml:space="preserve">Allowed: €0 to €10,000,000 · steps of €500</t>
  </si>
  <si>
    <t xml:space="preserve">Default: €15,000 · pre-filled from Your finances: cash</t>
  </si>
  <si>
    <t xml:space="preserve">Allowed: €0 to €20,000,000 · steps of €1,000</t>
  </si>
  <si>
    <t xml:space="preserve">Default: €10,000 · pre-filled from Your finances: investments</t>
  </si>
  <si>
    <t xml:space="preserve">Pensions</t>
  </si>
  <si>
    <t xml:space="preserve">Allowed: €0 to €30,000,000 · steps of €1,000</t>
  </si>
  <si>
    <t xml:space="preserve">Default: €60,000 · pre-filled from Your finances: pension</t>
  </si>
  <si>
    <t xml:space="preserve">Property value</t>
  </si>
  <si>
    <t xml:space="preserve">Allowed: €0 to €50,000,000 · steps of €5,000</t>
  </si>
  <si>
    <t xml:space="preserve">Default: €350,000 · pre-filled from Your finances: home + other property</t>
  </si>
  <si>
    <t xml:space="preserve">Allowed: €0 to €30,000,000 · steps of €5,000</t>
  </si>
  <si>
    <t xml:space="preserve">Other loans</t>
  </si>
  <si>
    <t xml:space="preserve">Allowed: €0 to €5,000,000 · steps of €500</t>
  </si>
  <si>
    <t xml:space="preserve">Default: €8,000 · pre-filled from Your finances: debts</t>
  </si>
  <si>
    <t xml:space="preserve">Your net worth</t>
  </si>
  <si>
    <t xml:space="preserve">ƒx  =You_Own-You_Owe</t>
  </si>
  <si>
    <t xml:space="preserve">You own</t>
  </si>
  <si>
    <t xml:space="preserve">ƒx  =Savings+Investments+Pensions+Property</t>
  </si>
  <si>
    <t xml:space="preserve">You owe</t>
  </si>
  <si>
    <t xml:space="preserve">ƒx  =Mortgage+Other_Loans</t>
  </si>
  <si>
    <t xml:space="preserve">• Net worth = everything you own − everything you owe.</t>
  </si>
  <si>
    <t xml:space="preserve">• Can be negative. Pensions are before tax; property is before selling costs.</t>
  </si>
  <si>
    <t xml:space="preserve">C25 · Monthly surplus</t>
  </si>
  <si>
    <t xml:space="preserve">Question it answers: What is left at the end of the month?</t>
  </si>
  <si>
    <t xml:space="preserve">Prototype id: surplus</t>
  </si>
  <si>
    <t xml:space="preserve">Shows what is left of your take-home pay each month.</t>
  </si>
  <si>
    <t xml:space="preserve">Take-home pay per month</t>
  </si>
  <si>
    <t xml:space="preserve">Allowed: €500 to €200,000 · steps of €50</t>
  </si>
  <si>
    <t xml:space="preserve">Default: €3,500 · pre-filled from Plan: this year's take-home ÷ 12</t>
  </si>
  <si>
    <t xml:space="preserve">Essentials (rent/mortgage, bills, food)</t>
  </si>
  <si>
    <t xml:space="preserve">Allowed: €0 to €150,000 · steps of €50</t>
  </si>
  <si>
    <t xml:space="preserve">Default: €2,000 · pre-filled from Your finances: costs + one-offs ÷ 12 + mortgage</t>
  </si>
  <si>
    <t xml:space="preserve">Lifestyle spending</t>
  </si>
  <si>
    <t xml:space="preserve">Allowed: €0 to €100,000 · steps of €50</t>
  </si>
  <si>
    <t xml:space="preserve">Debt repayments</t>
  </si>
  <si>
    <t xml:space="preserve">Allowed: €0 to €50,000 · steps of €25</t>
  </si>
  <si>
    <t xml:space="preserve">Default: €200 · pre-filled from Your finances: debt repayments</t>
  </si>
  <si>
    <t xml:space="preserve">Monthly surplus</t>
  </si>
  <si>
    <t xml:space="preserve">ƒx  =Take_Home-Essentials-Lifestyle-Debt_Repayments</t>
  </si>
  <si>
    <t xml:space="preserve">Going out</t>
  </si>
  <si>
    <t xml:space="preserve">ƒx  =Essentials+Lifestyle+Debt_Repayments</t>
  </si>
  <si>
    <t xml:space="preserve">• Surplus = take-home − essentials − lifestyle − debt repayments.</t>
  </si>
  <si>
    <t xml:space="preserve">• €0 shows "Nothing left over this month"; below €0 shows "Spending is above income".</t>
  </si>
  <si>
    <t xml:space="preserve">ƒx  =IF(Surplus&gt;0,"Save my surplus (plan kind pot)","No goal")</t>
  </si>
  <si>
    <t xml:space="preserve">Amount (a year)</t>
  </si>
  <si>
    <t xml:space="preserve">ƒx  =IF(Surplus&gt;0,ROUND(Surplus*12,0),"—")</t>
  </si>
  <si>
    <t xml:space="preserve">ƒx  =IF(Surplus&gt;0,1,"—")</t>
  </si>
  <si>
    <t xml:space="preserve">C26 · Budget (50/30/20)</t>
  </si>
  <si>
    <t xml:space="preserve">Question it answers: A simple way to split your pay</t>
  </si>
  <si>
    <t xml:space="preserve">Prototype id: budget</t>
  </si>
  <si>
    <t xml:space="preserve">Splits take-home pay 50% needs, 30% wants, 20% savings and debt.</t>
  </si>
  <si>
    <t xml:space="preserve">Save each month (20%)</t>
  </si>
  <si>
    <t xml:space="preserve">ƒx  =Take_Home*Budget_Save</t>
  </si>
  <si>
    <t xml:space="preserve">Needs (50%)</t>
  </si>
  <si>
    <t xml:space="preserve">ƒx  =Take_Home*Budget_Needs</t>
  </si>
  <si>
    <t xml:space="preserve">Wants (30%)</t>
  </si>
  <si>
    <t xml:space="preserve">ƒx  =Take_Home*Budget_Wants</t>
  </si>
  <si>
    <t xml:space="preserve">• Each part = take-home × its share (Assumptions).</t>
  </si>
  <si>
    <t xml:space="preserve">• A rule of thumb, applied to take-home (net) pay.</t>
  </si>
  <si>
    <t xml:space="preserve">C27 · Debt repayment</t>
  </si>
  <si>
    <t xml:space="preserve">Question it answers: How fast can I clear my debt?</t>
  </si>
  <si>
    <t xml:space="preserve">Prototype id: debtpay</t>
  </si>
  <si>
    <t xml:space="preserve">Shows how long it takes to clear a debt at your monthly payment and the interest you would pay.</t>
  </si>
  <si>
    <t xml:space="preserve">Balance</t>
  </si>
  <si>
    <t xml:space="preserve">Allowed: €100 to €1,000,000 · steps of €100</t>
  </si>
  <si>
    <t xml:space="preserve">Default: €5,000 · pre-filled from Your finances: the debt that takes longest to clear</t>
  </si>
  <si>
    <t xml:space="preserve">Interest (APR)</t>
  </si>
  <si>
    <t xml:space="preserve">Allowed: 0% to 35% · steps of 0.5%</t>
  </si>
  <si>
    <t xml:space="preserve">Default: 18% · pre-filled from Your finances: that debt's rate (else 20% card / 8% loan)</t>
  </si>
  <si>
    <t xml:space="preserve">Monthly payment</t>
  </si>
  <si>
    <t xml:space="preserve">Allowed: €10 to €50,000 · steps of €10</t>
  </si>
  <si>
    <t xml:space="preserve">Default: €250 · pre-filled from Your finances: that debt's repayment</t>
  </si>
  <si>
    <t xml:space="preserve">What if: pay extra each month</t>
  </si>
  <si>
    <t xml:space="preserve">Allowed: €0 to €10,000 · steps of €10</t>
  </si>
  <si>
    <t xml:space="preserve">Debt free in (months)</t>
  </si>
  <si>
    <t xml:space="preserve">ƒx  =IF(Payment&lt;=Balance*Monthly_Rate,"Never",ROUNDUP(ROUND(NPER(Monthly_Rate,-Payment,Balance),6),0))</t>
  </si>
  <si>
    <t xml:space="preserve">ƒx  =IF(Months_To_Clear="Never","—",Payment*(Months_To_Clear-1)+Final_Payment-Balance)</t>
  </si>
  <si>
    <t xml:space="preserve">Monthly interest rate from the APR</t>
  </si>
  <si>
    <t xml:space="preserve">ƒx  =(1+APR)^(1/12)-1</t>
  </si>
  <si>
    <t xml:space="preserve">Monthly payment incl. extra</t>
  </si>
  <si>
    <t xml:space="preserve">ƒx  =Monthly_Payment+Extra_Payment</t>
  </si>
  <si>
    <t xml:space="preserve">ƒx  =IF(Months_To_Clear="Never","—",-FV(Monthly_Rate,Months_To_Clear-1,-Payment,Balance)*(1+Monthly_Rate))</t>
  </si>
  <si>
    <t xml:space="preserve">• An APR is an effective yearly rate (EU Consumer Credit Directive), so the monthly rate = (1 + APR)^(1/12) − 1 (audit Should fix; not APR ÷ 12).</t>
  </si>
  <si>
    <t xml:space="preserve">• Months = NPER(monthly rate, −payment, balance), rounded up. Total interest = full payments + last part payment − balance.</t>
  </si>
  <si>
    <t xml:space="preserve">• More than 1,200 months shows "Payment too low to clear this debt in a reasonable time"; no goal is sent.</t>
  </si>
  <si>
    <t xml:space="preserve">ƒx  ="No goal (the plan already repays this debt)"</t>
  </si>
  <si>
    <t xml:space="preserve">Audit fix: the old goal sent the balance as a cash spend, double-counting the repayments.</t>
  </si>
  <si>
    <t xml:space="preserve">C28 · Loan repayment</t>
  </si>
  <si>
    <t xml:space="preserve">Question it answers: What would a loan cost me?</t>
  </si>
  <si>
    <t xml:space="preserve">Prototype id: loan</t>
  </si>
  <si>
    <t xml:space="preserve">Shows the monthly repayment and total cost of a loan.</t>
  </si>
  <si>
    <t xml:space="preserve">Loan amount</t>
  </si>
  <si>
    <t xml:space="preserve">Allowed: €500 to €1,000,000 · steps of €500</t>
  </si>
  <si>
    <t xml:space="preserve">Allowed: 0% to 25% · steps of 0.5%</t>
  </si>
  <si>
    <t xml:space="preserve">Default: 8%</t>
  </si>
  <si>
    <t xml:space="preserve">Allowed: 1 to 10 · steps of 1</t>
  </si>
  <si>
    <t xml:space="preserve">Default: 5</t>
  </si>
  <si>
    <t xml:space="preserve">ƒx  =PMT(Monthly_Rate,Years*12,-Loan_Amount)</t>
  </si>
  <si>
    <t xml:space="preserve">ƒx  =Total_Repaid-Loan_Amount</t>
  </si>
  <si>
    <t xml:space="preserve">ƒx  =Monthly_Repayment*Years*12</t>
  </si>
  <si>
    <t xml:space="preserve">• Monthly rate = (1 + APR)^(1/12) − 1 (APR is an effective yearly rate). Repayment = PMT(monthly rate, months, −amount).</t>
  </si>
  <si>
    <t xml:space="preserve">• Total repaid = repayment × months; total interest = total repaid − amount.</t>
  </si>
  <si>
    <t xml:space="preserve">Every rate and rule the calculators use, in one place. Each has a name (column B text in the formulas, e.g. =Amount*(1+Inflation)^Years). Change the yellow cells only; every calculator updates.</t>
  </si>
  <si>
    <t xml:space="preserve">CLIENT'S CHOICES</t>
  </si>
  <si>
    <t xml:space="preserve">Assumption (name in formulas)</t>
  </si>
  <si>
    <t xml:space="preserve">Value</t>
  </si>
  <si>
    <t xml:space="preserve">Used by</t>
  </si>
  <si>
    <t xml:space="preserve">Source</t>
  </si>
  <si>
    <t xml:space="preserve">Verify before release?</t>
  </si>
  <si>
    <t xml:space="preserve">Inflation (prices rising a year): the client's choice  [Inflation]</t>
  </si>
  <si>
    <t xml:space="preserve">C08–C12, C15–C18</t>
  </si>
  <si>
    <t xml:space="preserve">Client's choice. 2% = planners' long-term standard. Ireland today: 3.5% (CSO HICP flash, May 2026; 3.4% in Aug 2026).</t>
  </si>
  <si>
    <t xml:space="preserve">Growth assumptions set (Standard or Cautious)  [Growth_Set]</t>
  </si>
  <si>
    <t xml:space="preserve">Standard</t>
  </si>
  <si>
    <t xml:space="preserve">C12 (pay rises)</t>
  </si>
  <si>
    <t xml:space="preserve">Client's choice; Standard is the default. The prototype's AS_SETS.</t>
  </si>
  <si>
    <t xml:space="preserve">GROWTH ASSUMPTIONS (the set chosen above is used)</t>
  </si>
  <si>
    <t xml:space="preserve">Rate (name)</t>
  </si>
  <si>
    <t xml:space="preserve">Cautious</t>
  </si>
  <si>
    <t xml:space="preserve">Active (formula)</t>
  </si>
  <si>
    <t xml:space="preserve">Note</t>
  </si>
  <si>
    <t xml:space="preserve">Pay rises a year (C12: contributions rise with pay)  [Wage]</t>
  </si>
  <si>
    <t xml:space="preserve">Audit Should (not applied): Cautious pay rise is higher than Standard</t>
  </si>
  <si>
    <t xml:space="preserve">Pension growth after charges (pre-fills C12–C14 growth)  [Pension_Growth]</t>
  </si>
  <si>
    <t xml:space="preserve">Pension growth once retired (pre-fills C15 growth)  [Pension_Growth_Retired]</t>
  </si>
  <si>
    <t xml:space="preserve">CENTRAL BANK OF IRELAND MORTGAGE MEASURES</t>
  </si>
  <si>
    <t xml:space="preserve">Loan-to-income limit, first-time buyers  [LTI_FTB]</t>
  </si>
  <si>
    <t xml:space="preserve">CBI mortgage measures (from 1 Jan 2023): https://www.centralbank.ie/news/article/central-bank-announces-targeted-changes-to-mortgage-measures-framework</t>
  </si>
  <si>
    <t xml:space="preserve">Loan-to-income limit, second and subsequent buyers  [LTI_SSB]</t>
  </si>
  <si>
    <t xml:space="preserve">As above</t>
  </si>
  <si>
    <t xml:space="preserve">Loan-to-value limit, all buyers (90% = 10% deposit)  [LTV_Max]</t>
  </si>
  <si>
    <t xml:space="preserve">C01, C02 goal, C07</t>
  </si>
  <si>
    <t xml:space="preserve">As above (SSB moved from 80% to 90% in Jan 2023)</t>
  </si>
  <si>
    <t xml:space="preserve">Minimum deposit (1 − LTV)  [Min_Deposit_Pct]</t>
  </si>
  <si>
    <t xml:space="preserve">C01 goal, C07 validation</t>
  </si>
  <si>
    <t xml:space="preserve">Derived from LTV_Max</t>
  </si>
  <si>
    <t xml:space="preserve">STATE BENEFITS 2026 (weekly rates)</t>
  </si>
  <si>
    <t xml:space="preserve">Widow's / Surviving Civil Partner's (Contributory) Pension, under 66  [Survivor_Pension_Week]</t>
  </si>
  <si>
    <t xml:space="preserve">DSP 2026 rate; audit source: Raisin summary of 2026 rates (https://www.raisin.com/en-ie/pensions/widow-pensions)</t>
  </si>
  <si>
    <t xml:space="preserve">VERIFY on gov.ie before release</t>
  </si>
  <si>
    <t xml:space="preserve">Illness Benefit, maximum personal rate  [Illness_Benefit_Week]</t>
  </si>
  <si>
    <t xml:space="preserve">Budget 2026 (from Jan 2026); audit source: BrightPay Budget 2026 summary, gov.ie Budget 2026</t>
  </si>
  <si>
    <t xml:space="preserve">Income protection: maximum benefit, % of gross income (before State benefit)  [IP_Max_Pct]</t>
  </si>
  <si>
    <t xml:space="preserve">Insurer practice (Irish Life; Smart Financial): about 75% of gross earnings less State benefits</t>
  </si>
  <si>
    <t xml:space="preserve">VERIFY with insurer partner</t>
  </si>
  <si>
    <t xml:space="preserve">State Pension (Contributory) a year (€299.30 × 52)  [State_Pension_Year]</t>
  </si>
  <si>
    <t xml:space="preserve">Pre-fill of C12 "Other yearly income"</t>
  </si>
  <si>
    <t xml:space="preserve">DSP Budget 2026 factsheet</t>
  </si>
  <si>
    <t xml:space="preserve">Weeks in a year  [Weeks_Per_Year]</t>
  </si>
  <si>
    <t xml:space="preserve">C21, C22</t>
  </si>
  <si>
    <t xml:space="preserve">Convention</t>
  </si>
  <si>
    <t xml:space="preserve">TAX (shown as notes on the growth tools; not deducted)</t>
  </si>
  <si>
    <t xml:space="preserve">DIRT on deposit interest  [DIRT]</t>
  </si>
  <si>
    <t xml:space="preserve">Notes on C08–C10, C17, C18</t>
  </si>
  <si>
    <t xml:space="preserve">Revenue; Cantor Fitzgerald Budget 2026 summary</t>
  </si>
  <si>
    <t xml:space="preserve">Exit tax on investment funds / life policies (from 1 Jan 2026)  [Exit_Tax]</t>
  </si>
  <si>
    <t xml:space="preserve">Budget 2026 (was 41%); etf.ie</t>
  </si>
  <si>
    <t xml:space="preserve">Standard-rate band, single person (pre-fills the 20%/40% tax rate)  [Pension_Tax_Band]</t>
  </si>
  <si>
    <t xml:space="preserve">Pre-fill of C13, C14 tax rate</t>
  </si>
  <si>
    <t xml:space="preserve">Revenue 2026 (unchanged in Budget 2026)</t>
  </si>
  <si>
    <t xml:space="preserve">CALCULATOR RULES AND CONSTANTS</t>
  </si>
  <si>
    <t xml:space="preserve">Show "Over 100 years" above this many months  [Cap_Months]</t>
  </si>
  <si>
    <t xml:space="preserve">C02, C04, C27</t>
  </si>
  <si>
    <t xml:space="preserve">Display rule (audit Must fix: the old 1,200-month loop cap was reported as the answer)</t>
  </si>
  <si>
    <t xml:space="preserve">Drawdown working table length; shown as "60+ years" when the money lasts all of it  [Cap_Years]</t>
  </si>
  <si>
    <t xml:space="preserve">Display rule</t>
  </si>
  <si>
    <t xml:space="preserve">Rent vs buy: mortgage term (years)  [RentBuy_Term]</t>
  </si>
  <si>
    <t xml:space="preserve">Prototype rule</t>
  </si>
  <si>
    <t xml:space="preserve">Rent vs buy: upkeep a year, % of price  [Upkeep_Rate]</t>
  </si>
  <si>
    <t xml:space="preserve">Lump sum: years of waiting for "cost of waiting"  [Wait_Years]</t>
  </si>
  <si>
    <t xml:space="preserve">Retirement target = yearly income needed ×  [Retire_Multiple]</t>
  </si>
  <si>
    <t xml:space="preserve">Prototype rule (about a 4% withdrawal rate)</t>
  </si>
  <si>
    <t xml:space="preserve">Life cover: income to replace, % of gross income  [Life_Replace]</t>
  </si>
  <si>
    <t xml:space="preserve">Drawdown scenario: Cautious growth  [DD_Cautious]</t>
  </si>
  <si>
    <t xml:space="preserve">Drawdown scenario: Balanced growth  [DD_Balanced]</t>
  </si>
  <si>
    <t xml:space="preserve">Drawdown scenario: Growth growth  [DD_Growth]</t>
  </si>
  <si>
    <t xml:space="preserve">Risk &amp; return: style names 1/2/3 — style 1  [Risk_Names]</t>
  </si>
  <si>
    <t xml:space="preserve">Risk &amp; return: style names 1/2/3 — style 2  [Risk_Names]</t>
  </si>
  <si>
    <t xml:space="preserve">Balanced</t>
  </si>
  <si>
    <t xml:space="preserve">Risk &amp; return: style names 1/2/3 — style 3  [Risk_Names]</t>
  </si>
  <si>
    <t xml:space="preserve">Growth</t>
  </si>
  <si>
    <t xml:space="preserve">Risk &amp; return: middle growth for styles 1/2/3 — style 1  [Risk_Mu]</t>
  </si>
  <si>
    <t xml:space="preserve">Risk &amp; return: middle growth for styles 1/2/3 — style 2  [Risk_Mu]</t>
  </si>
  <si>
    <t xml:space="preserve">Risk &amp; return: middle growth for styles 1/2/3 — style 3  [Risk_Mu]</t>
  </si>
  <si>
    <t xml:space="preserve">Risk &amp; return: volatility for styles 1/2/3 — style 1  [Risk_Vol]</t>
  </si>
  <si>
    <t xml:space="preserve">Risk &amp; return: volatility for styles 1/2/3 — style 2  [Risk_Vol]</t>
  </si>
  <si>
    <t xml:space="preserve">Risk &amp; return: volatility for styles 1/2/3 — style 3  [Risk_Vol]</t>
  </si>
  <si>
    <t xml:space="preserve">Risk &amp; return: difficult-year fall = volatility ×  [Risk_Fall]</t>
  </si>
  <si>
    <t xml:space="preserve">Budget: needs  [Budget_Needs]</t>
  </si>
  <si>
    <t xml:space="preserve">50/30/20 rule of thumb</t>
  </si>
  <si>
    <t xml:space="preserve">Budget: wants  [Budget_Wants]</t>
  </si>
  <si>
    <t xml:space="preserve">Budget: savings and debt  [Budget_Save]</t>
  </si>
  <si>
    <t xml:space="preserve">Mortgage protection: first checkpoint (years)  [MP_Year_1]</t>
  </si>
  <si>
    <t xml:space="preserve">Mortgage protection: second checkpoint (years)  [MP_Year_2]</t>
  </si>
  <si>
    <t xml:space="preserve">Mortgage protection: third checkpoint (years)  [MP_Year_3]</t>
  </si>
  <si>
    <t xml:space="preserve">"Add to my plan": home goal in (years)  [Home_Goal_Years]</t>
  </si>
  <si>
    <t xml:space="preserve">C01, C02, C07</t>
  </si>
  <si>
    <t xml:space="preserve">Prototype default (customer can change it in the plan)</t>
  </si>
  <si>
    <t xml:space="preserve">"Add to my plan": safety-net goal in (years)  [Safety_Goal_Years]</t>
  </si>
  <si>
    <t xml:space="preserve">Prototype default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</si>
</sst>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€#,##0"/>
    <numFmt numFmtId="166" formatCode="0.00%"/>
    <numFmt numFmtId="167" formatCode="0"/>
    <numFmt numFmtId="168" formatCode="0.0\×"/>
    <numFmt numFmtId="169" formatCode="0.0000%"/>
    <numFmt numFmtId="170" formatCode="0.0"/>
    <numFmt numFmtId="171" formatCode="0%"/>
    <numFmt numFmtId="172" formatCode="0.0%"/>
    <numFmt numFmtId="173" formatCode="\€#,##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30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4"/>
      <c r="D5" s="4"/>
      <c r="E5" s="4"/>
    </row>
    <row r="6" customFormat="false" ht="15" hidden="false" customHeight="false" outlineLevel="0" collapsed="false">
      <c r="B6" s="4" t="s">
        <v>4</v>
      </c>
      <c r="C6" s="4"/>
      <c r="D6" s="4"/>
      <c r="E6" s="4"/>
    </row>
    <row r="7" customFormat="false" ht="15" hidden="false" customHeight="false" outlineLevel="0" collapsed="false">
      <c r="B7" s="4" t="s">
        <v>5</v>
      </c>
      <c r="C7" s="4"/>
      <c r="D7" s="4"/>
      <c r="E7" s="4"/>
    </row>
    <row r="8" customFormat="false" ht="15" hidden="false" customHeight="false" outlineLevel="0" collapsed="false">
      <c r="B8" s="4" t="s">
        <v>6</v>
      </c>
      <c r="C8" s="4"/>
      <c r="D8" s="4"/>
      <c r="E8" s="4"/>
    </row>
    <row r="9" customFormat="false" ht="15" hidden="false" customHeight="false" outlineLevel="0" collapsed="false">
      <c r="B9" s="4" t="s">
        <v>7</v>
      </c>
      <c r="C9" s="4"/>
      <c r="D9" s="4"/>
      <c r="E9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  <c r="C12" s="4"/>
      <c r="D12" s="4"/>
      <c r="E12" s="4"/>
    </row>
    <row r="13" customFormat="false" ht="15" hidden="false" customHeight="false" outlineLevel="0" collapsed="false">
      <c r="B13" s="4" t="s">
        <v>10</v>
      </c>
      <c r="C13" s="4"/>
      <c r="D13" s="4"/>
      <c r="E13" s="4"/>
    </row>
    <row r="14" customFormat="false" ht="15" hidden="false" customHeight="false" outlineLevel="0" collapsed="false">
      <c r="B14" s="4" t="s">
        <v>11</v>
      </c>
      <c r="C14" s="4"/>
      <c r="D14" s="4"/>
      <c r="E14" s="4"/>
    </row>
    <row r="15" customFormat="false" ht="15" hidden="false" customHeight="false" outlineLevel="0" collapsed="false">
      <c r="B15" s="4" t="s">
        <v>12</v>
      </c>
      <c r="C15" s="4"/>
      <c r="D15" s="4"/>
      <c r="E15" s="4"/>
    </row>
    <row r="16" customFormat="false" ht="15" hidden="false" customHeight="false" outlineLevel="0" collapsed="false">
      <c r="B16" s="4" t="s">
        <v>13</v>
      </c>
      <c r="C16" s="4"/>
      <c r="D16" s="4"/>
      <c r="E16" s="4"/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4" t="s">
        <v>15</v>
      </c>
      <c r="C19" s="4"/>
      <c r="D19" s="4"/>
      <c r="E19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4" t="s">
        <v>17</v>
      </c>
      <c r="C22" s="4"/>
      <c r="D22" s="4"/>
      <c r="E22" s="4"/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5" t="s">
        <v>19</v>
      </c>
      <c r="C25" s="5" t="s">
        <v>20</v>
      </c>
      <c r="D25" s="5" t="s">
        <v>21</v>
      </c>
      <c r="E25" s="5" t="s">
        <v>22</v>
      </c>
    </row>
    <row r="26" customFormat="false" ht="15" hidden="false" customHeight="false" outlineLevel="0" collapsed="false">
      <c r="B26" s="6" t="s">
        <v>23</v>
      </c>
      <c r="C26" s="7" t="str">
        <f aca="false">HYPERLINK("#'C01 Borrowing'!A1","How much could I borrow?")</f>
        <v>How much could I borrow?</v>
      </c>
      <c r="D26" s="8" t="s">
        <v>24</v>
      </c>
      <c r="E26" s="8" t="s">
        <v>25</v>
      </c>
    </row>
    <row r="27" customFormat="false" ht="15" hidden="false" customHeight="false" outlineLevel="0" collapsed="false">
      <c r="B27" s="6" t="s">
        <v>26</v>
      </c>
      <c r="C27" s="7" t="str">
        <f aca="false">HYPERLINK("#'C02 Mortgage repayment'!A1","Monthly mortgage repayment")</f>
        <v>Monthly mortgage repayment</v>
      </c>
      <c r="D27" s="8" t="s">
        <v>27</v>
      </c>
      <c r="E27" s="8" t="s">
        <v>25</v>
      </c>
    </row>
    <row r="28" customFormat="false" ht="15" hidden="false" customHeight="false" outlineLevel="0" collapsed="false">
      <c r="B28" s="6" t="s">
        <v>28</v>
      </c>
      <c r="C28" s="7" t="str">
        <f aca="false">HYPERLINK("#'C03 Deposit'!A1","Deposit calculator")</f>
        <v>Deposit calculator</v>
      </c>
      <c r="D28" s="8" t="s">
        <v>29</v>
      </c>
      <c r="E28" s="8" t="s">
        <v>25</v>
      </c>
    </row>
    <row r="29" customFormat="false" ht="15" hidden="false" customHeight="false" outlineLevel="0" collapsed="false">
      <c r="B29" s="6" t="s">
        <v>30</v>
      </c>
      <c r="C29" s="7" t="str">
        <f aca="false">HYPERLINK("#'C04 Mortgage overpayment'!A1","Mortgage overpayment")</f>
        <v>Mortgage overpayment</v>
      </c>
      <c r="D29" s="8" t="s">
        <v>31</v>
      </c>
      <c r="E29" s="8" t="s">
        <v>25</v>
      </c>
    </row>
    <row r="30" customFormat="false" ht="15" hidden="false" customHeight="false" outlineLevel="0" collapsed="false">
      <c r="B30" s="6" t="s">
        <v>32</v>
      </c>
      <c r="C30" s="7" t="str">
        <f aca="false">HYPERLINK("#'C05 Interest rate impact'!A1","Interest-rate impact")</f>
        <v>Interest-rate impact</v>
      </c>
      <c r="D30" s="8" t="s">
        <v>33</v>
      </c>
      <c r="E30" s="8" t="s">
        <v>25</v>
      </c>
    </row>
    <row r="31" customFormat="false" ht="15" hidden="false" customHeight="false" outlineLevel="0" collapsed="false">
      <c r="B31" s="6" t="s">
        <v>34</v>
      </c>
      <c r="C31" s="7" t="str">
        <f aca="false">HYPERLINK("#'C06 Term comparison'!A1","Mortgage term comparison")</f>
        <v>Mortgage term comparison</v>
      </c>
      <c r="D31" s="8" t="s">
        <v>35</v>
      </c>
      <c r="E31" s="8" t="s">
        <v>25</v>
      </c>
    </row>
    <row r="32" customFormat="false" ht="15" hidden="false" customHeight="false" outlineLevel="0" collapsed="false">
      <c r="B32" s="6" t="s">
        <v>36</v>
      </c>
      <c r="C32" s="7" t="str">
        <f aca="false">HYPERLINK("#'C07 Rent vs buy'!A1","Rent vs buy")</f>
        <v>Rent vs buy</v>
      </c>
      <c r="D32" s="8" t="s">
        <v>37</v>
      </c>
      <c r="E32" s="8" t="s">
        <v>25</v>
      </c>
    </row>
    <row r="33" customFormat="false" ht="15" hidden="false" customHeight="false" outlineLevel="0" collapsed="false">
      <c r="B33" s="6" t="s">
        <v>38</v>
      </c>
      <c r="C33" s="7" t="str">
        <f aca="false">HYPERLINK("#'C08 Goal planner'!A1","Goal planner")</f>
        <v>Goal planner</v>
      </c>
      <c r="D33" s="8" t="s">
        <v>39</v>
      </c>
      <c r="E33" s="8" t="s">
        <v>40</v>
      </c>
    </row>
    <row r="34" customFormat="false" ht="15" hidden="false" customHeight="false" outlineLevel="0" collapsed="false">
      <c r="B34" s="6" t="s">
        <v>41</v>
      </c>
      <c r="C34" s="7" t="str">
        <f aca="false">HYPERLINK("#'C09 Compound growth'!A1","Compound growth")</f>
        <v>Compound growth</v>
      </c>
      <c r="D34" s="8" t="s">
        <v>42</v>
      </c>
      <c r="E34" s="8" t="s">
        <v>40</v>
      </c>
    </row>
    <row r="35" customFormat="false" ht="15" hidden="false" customHeight="false" outlineLevel="0" collapsed="false">
      <c r="B35" s="6" t="s">
        <v>43</v>
      </c>
      <c r="C35" s="7" t="str">
        <f aca="false">HYPERLINK("#'C10 Lump sum growth'!A1","Lump-sum growth")</f>
        <v>Lump-sum growth</v>
      </c>
      <c r="D35" s="8" t="s">
        <v>44</v>
      </c>
      <c r="E35" s="8" t="s">
        <v>45</v>
      </c>
    </row>
    <row r="36" customFormat="false" ht="15" hidden="false" customHeight="false" outlineLevel="0" collapsed="false">
      <c r="B36" s="6" t="s">
        <v>46</v>
      </c>
      <c r="C36" s="7" t="str">
        <f aca="false">HYPERLINK("#'C11 Emergency fund'!A1","Emergency fund")</f>
        <v>Emergency fund</v>
      </c>
      <c r="D36" s="8" t="s">
        <v>47</v>
      </c>
      <c r="E36" s="8" t="s">
        <v>40</v>
      </c>
    </row>
    <row r="37" customFormat="false" ht="15" hidden="false" customHeight="false" outlineLevel="0" collapsed="false">
      <c r="B37" s="6" t="s">
        <v>48</v>
      </c>
      <c r="C37" s="7" t="str">
        <f aca="false">HYPERLINK("#'C12 Retirement projection'!A1","Retirement projection")</f>
        <v>Retirement projection</v>
      </c>
      <c r="D37" s="8" t="s">
        <v>49</v>
      </c>
      <c r="E37" s="8" t="s">
        <v>50</v>
      </c>
    </row>
    <row r="38" customFormat="false" ht="15" hidden="false" customHeight="false" outlineLevel="0" collapsed="false">
      <c r="B38" s="6" t="s">
        <v>51</v>
      </c>
      <c r="C38" s="7" t="str">
        <f aca="false">HYPERLINK("#'C13 Contribution impact'!A1","Contribution impact")</f>
        <v>Contribution impact</v>
      </c>
      <c r="D38" s="8" t="s">
        <v>52</v>
      </c>
      <c r="E38" s="8" t="s">
        <v>50</v>
      </c>
    </row>
    <row r="39" customFormat="false" ht="15" hidden="false" customHeight="false" outlineLevel="0" collapsed="false">
      <c r="B39" s="6" t="s">
        <v>53</v>
      </c>
      <c r="C39" s="7" t="str">
        <f aca="false">HYPERLINK("#'C14 AVC impact'!A1","AVC impact")</f>
        <v>AVC impact</v>
      </c>
      <c r="D39" s="8" t="s">
        <v>54</v>
      </c>
      <c r="E39" s="8" t="s">
        <v>50</v>
      </c>
    </row>
    <row r="40" customFormat="false" ht="15" hidden="false" customHeight="false" outlineLevel="0" collapsed="false">
      <c r="B40" s="6" t="s">
        <v>55</v>
      </c>
      <c r="C40" s="7" t="str">
        <f aca="false">HYPERLINK("#'C15 Will my money last'!A1","Will my money last?")</f>
        <v>Will my money last?</v>
      </c>
      <c r="D40" s="8" t="s">
        <v>56</v>
      </c>
      <c r="E40" s="8" t="s">
        <v>50</v>
      </c>
    </row>
    <row r="41" customFormat="false" ht="15" hidden="false" customHeight="false" outlineLevel="0" collapsed="false">
      <c r="B41" s="6" t="s">
        <v>57</v>
      </c>
      <c r="C41" s="7" t="str">
        <f aca="false">HYPERLINK("#'C16 Drawdown scenarios'!A1","Retirement drawdown scenarios")</f>
        <v>Retirement drawdown scenarios</v>
      </c>
      <c r="D41" s="8" t="s">
        <v>58</v>
      </c>
      <c r="E41" s="8" t="s">
        <v>50</v>
      </c>
    </row>
    <row r="42" customFormat="false" ht="15" hidden="false" customHeight="false" outlineLevel="0" collapsed="false">
      <c r="B42" s="6" t="s">
        <v>59</v>
      </c>
      <c r="C42" s="7" t="str">
        <f aca="false">HYPERLINK("#'C17 Inflation adjusted return'!A1","Inflation-adjusted return")</f>
        <v>Inflation-adjusted return</v>
      </c>
      <c r="D42" s="8" t="s">
        <v>60</v>
      </c>
      <c r="E42" s="8" t="s">
        <v>45</v>
      </c>
    </row>
    <row r="43" customFormat="false" ht="15" hidden="false" customHeight="false" outlineLevel="0" collapsed="false">
      <c r="B43" s="6" t="s">
        <v>61</v>
      </c>
      <c r="C43" s="7" t="str">
        <f aca="false">HYPERLINK("#'C18 Regular investing'!A1","Regular investing")</f>
        <v>Regular investing</v>
      </c>
      <c r="D43" s="8" t="s">
        <v>62</v>
      </c>
      <c r="E43" s="8" t="s">
        <v>45</v>
      </c>
    </row>
    <row r="44" customFormat="false" ht="15" hidden="false" customHeight="false" outlineLevel="0" collapsed="false">
      <c r="B44" s="6" t="s">
        <v>63</v>
      </c>
      <c r="C44" s="7" t="str">
        <f aca="false">HYPERLINK("#'C19 Fees impact'!A1","Fees impact")</f>
        <v>Fees impact</v>
      </c>
      <c r="D44" s="8" t="s">
        <v>64</v>
      </c>
      <c r="E44" s="8" t="s">
        <v>45</v>
      </c>
    </row>
    <row r="45" customFormat="false" ht="15" hidden="false" customHeight="false" outlineLevel="0" collapsed="false">
      <c r="B45" s="6" t="s">
        <v>65</v>
      </c>
      <c r="C45" s="7" t="str">
        <f aca="false">HYPERLINK("#'C20 Risk and return'!A1","Risk &amp; return simulator")</f>
        <v>Risk &amp; return simulator</v>
      </c>
      <c r="D45" s="8" t="s">
        <v>66</v>
      </c>
      <c r="E45" s="8" t="s">
        <v>45</v>
      </c>
    </row>
    <row r="46" customFormat="false" ht="15" hidden="false" customHeight="false" outlineLevel="0" collapsed="false">
      <c r="B46" s="6" t="s">
        <v>67</v>
      </c>
      <c r="C46" s="7" t="str">
        <f aca="false">HYPERLINK("#'C21 Life cover'!A1","Life cover estimator")</f>
        <v>Life cover estimator</v>
      </c>
      <c r="D46" s="8" t="s">
        <v>68</v>
      </c>
      <c r="E46" s="8" t="s">
        <v>69</v>
      </c>
    </row>
    <row r="47" customFormat="false" ht="15" hidden="false" customHeight="false" outlineLevel="0" collapsed="false">
      <c r="B47" s="6" t="s">
        <v>70</v>
      </c>
      <c r="C47" s="7" t="str">
        <f aca="false">HYPERLINK("#'C22 Income protection gap'!A1","Income protection gap")</f>
        <v>Income protection gap</v>
      </c>
      <c r="D47" s="8" t="s">
        <v>71</v>
      </c>
      <c r="E47" s="8" t="s">
        <v>69</v>
      </c>
    </row>
    <row r="48" customFormat="false" ht="15" hidden="false" customHeight="false" outlineLevel="0" collapsed="false">
      <c r="B48" s="6" t="s">
        <v>72</v>
      </c>
      <c r="C48" s="7" t="str">
        <f aca="false">HYPERLINK("#'C23 Mortgage protection'!A1","Mortgage protection")</f>
        <v>Mortgage protection</v>
      </c>
      <c r="D48" s="8" t="s">
        <v>73</v>
      </c>
      <c r="E48" s="8" t="s">
        <v>69</v>
      </c>
    </row>
    <row r="49" customFormat="false" ht="15" hidden="false" customHeight="false" outlineLevel="0" collapsed="false">
      <c r="B49" s="6" t="s">
        <v>74</v>
      </c>
      <c r="C49" s="7" t="str">
        <f aca="false">HYPERLINK("#'C24 Net worth'!A1","Net worth")</f>
        <v>Net worth</v>
      </c>
      <c r="D49" s="8" t="s">
        <v>75</v>
      </c>
      <c r="E49" s="8" t="s">
        <v>76</v>
      </c>
    </row>
    <row r="50" customFormat="false" ht="15" hidden="false" customHeight="false" outlineLevel="0" collapsed="false">
      <c r="B50" s="6" t="s">
        <v>77</v>
      </c>
      <c r="C50" s="7" t="str">
        <f aca="false">HYPERLINK("#'C25 Monthly surplus'!A1","Monthly surplus")</f>
        <v>Monthly surplus</v>
      </c>
      <c r="D50" s="8" t="s">
        <v>78</v>
      </c>
      <c r="E50" s="8" t="s">
        <v>76</v>
      </c>
    </row>
    <row r="51" customFormat="false" ht="15" hidden="false" customHeight="false" outlineLevel="0" collapsed="false">
      <c r="B51" s="6" t="s">
        <v>79</v>
      </c>
      <c r="C51" s="7" t="str">
        <f aca="false">HYPERLINK("#'C26 Budget 50 30 20'!A1","Budget (50/30/20)")</f>
        <v>Budget (50/30/20)</v>
      </c>
      <c r="D51" s="8" t="s">
        <v>80</v>
      </c>
      <c r="E51" s="8" t="s">
        <v>76</v>
      </c>
    </row>
    <row r="52" customFormat="false" ht="15" hidden="false" customHeight="false" outlineLevel="0" collapsed="false">
      <c r="B52" s="6" t="s">
        <v>81</v>
      </c>
      <c r="C52" s="7" t="str">
        <f aca="false">HYPERLINK("#'C27 Debt repayment'!A1","Debt repayment")</f>
        <v>Debt repayment</v>
      </c>
      <c r="D52" s="8" t="s">
        <v>82</v>
      </c>
      <c r="E52" s="8" t="s">
        <v>76</v>
      </c>
    </row>
    <row r="53" customFormat="false" ht="15" hidden="false" customHeight="false" outlineLevel="0" collapsed="false">
      <c r="B53" s="6" t="s">
        <v>83</v>
      </c>
      <c r="C53" s="7" t="str">
        <f aca="false">HYPERLINK("#'C28 Loan repayment'!A1","Loan repayment")</f>
        <v>Loan repayment</v>
      </c>
      <c r="D53" s="8" t="s">
        <v>84</v>
      </c>
      <c r="E53" s="8" t="s">
        <v>76</v>
      </c>
    </row>
    <row r="54" customFormat="false" ht="15" hidden="false" customHeight="false" outlineLevel="0" collapsed="false">
      <c r="C54" s="7" t="str">
        <f aca="false">HYPERLINK("#'Assumptions'!A1","Assumptions")</f>
        <v>Assumptions</v>
      </c>
    </row>
    <row r="56" customFormat="false" ht="15" hidden="false" customHeight="false" outlineLevel="0" collapsed="false">
      <c r="B56" s="3" t="s">
        <v>85</v>
      </c>
    </row>
    <row r="57" customFormat="false" ht="15" hidden="false" customHeight="false" outlineLevel="0" collapsed="false">
      <c r="B57" s="5" t="s">
        <v>86</v>
      </c>
      <c r="C57" s="5" t="s">
        <v>87</v>
      </c>
      <c r="D57" s="5" t="s">
        <v>88</v>
      </c>
    </row>
    <row r="58" customFormat="false" ht="12.75" hidden="false" customHeight="true" outlineLevel="0" collapsed="false">
      <c r="B58" s="8" t="s">
        <v>48</v>
      </c>
      <c r="C58" s="9" t="s">
        <v>89</v>
      </c>
      <c r="D58" s="10" t="s">
        <v>90</v>
      </c>
      <c r="E58" s="10"/>
    </row>
    <row r="59" customFormat="false" ht="12.75" hidden="false" customHeight="true" outlineLevel="0" collapsed="false">
      <c r="B59" s="8" t="s">
        <v>48</v>
      </c>
      <c r="C59" s="9" t="s">
        <v>89</v>
      </c>
      <c r="D59" s="10" t="s">
        <v>91</v>
      </c>
      <c r="E59" s="10"/>
    </row>
    <row r="60" customFormat="false" ht="12.75" hidden="false" customHeight="true" outlineLevel="0" collapsed="false">
      <c r="B60" s="8" t="s">
        <v>26</v>
      </c>
      <c r="C60" s="9" t="s">
        <v>89</v>
      </c>
      <c r="D60" s="10" t="s">
        <v>92</v>
      </c>
      <c r="E60" s="10"/>
    </row>
    <row r="61" customFormat="false" ht="25.5" hidden="false" customHeight="true" outlineLevel="0" collapsed="false">
      <c r="B61" s="8" t="s">
        <v>30</v>
      </c>
      <c r="C61" s="9" t="s">
        <v>89</v>
      </c>
      <c r="D61" s="10" t="s">
        <v>93</v>
      </c>
      <c r="E61" s="10"/>
    </row>
    <row r="62" customFormat="false" ht="12.75" hidden="false" customHeight="true" outlineLevel="0" collapsed="false">
      <c r="B62" s="8" t="s">
        <v>30</v>
      </c>
      <c r="C62" s="9" t="s">
        <v>89</v>
      </c>
      <c r="D62" s="10" t="s">
        <v>94</v>
      </c>
      <c r="E62" s="10"/>
    </row>
    <row r="63" customFormat="false" ht="25.5" hidden="false" customHeight="true" outlineLevel="0" collapsed="false">
      <c r="B63" s="8" t="s">
        <v>95</v>
      </c>
      <c r="C63" s="9" t="s">
        <v>89</v>
      </c>
      <c r="D63" s="10" t="s">
        <v>96</v>
      </c>
      <c r="E63" s="10"/>
    </row>
    <row r="64" customFormat="false" ht="12.75" hidden="false" customHeight="true" outlineLevel="0" collapsed="false">
      <c r="B64" s="8" t="s">
        <v>97</v>
      </c>
      <c r="C64" s="9" t="s">
        <v>89</v>
      </c>
      <c r="D64" s="10" t="s">
        <v>98</v>
      </c>
      <c r="E64" s="10"/>
    </row>
    <row r="65" customFormat="false" ht="12.75" hidden="false" customHeight="true" outlineLevel="0" collapsed="false">
      <c r="B65" s="8" t="s">
        <v>99</v>
      </c>
      <c r="C65" s="9" t="s">
        <v>89</v>
      </c>
      <c r="D65" s="10" t="s">
        <v>100</v>
      </c>
      <c r="E65" s="10"/>
    </row>
    <row r="66" customFormat="false" ht="12.75" hidden="false" customHeight="true" outlineLevel="0" collapsed="false">
      <c r="B66" s="8" t="s">
        <v>61</v>
      </c>
      <c r="C66" s="9" t="s">
        <v>89</v>
      </c>
      <c r="D66" s="10" t="s">
        <v>101</v>
      </c>
      <c r="E66" s="10"/>
    </row>
    <row r="67" customFormat="false" ht="12.75" hidden="false" customHeight="true" outlineLevel="0" collapsed="false">
      <c r="B67" s="8" t="s">
        <v>65</v>
      </c>
      <c r="C67" s="9" t="s">
        <v>89</v>
      </c>
      <c r="D67" s="10" t="s">
        <v>102</v>
      </c>
      <c r="E67" s="10"/>
    </row>
    <row r="68" customFormat="false" ht="12.75" hidden="false" customHeight="true" outlineLevel="0" collapsed="false">
      <c r="B68" s="8" t="s">
        <v>67</v>
      </c>
      <c r="C68" s="9" t="s">
        <v>89</v>
      </c>
      <c r="D68" s="10" t="s">
        <v>103</v>
      </c>
      <c r="E68" s="10"/>
    </row>
    <row r="69" customFormat="false" ht="12.75" hidden="false" customHeight="true" outlineLevel="0" collapsed="false">
      <c r="B69" s="8" t="s">
        <v>81</v>
      </c>
      <c r="C69" s="9" t="s">
        <v>89</v>
      </c>
      <c r="D69" s="10" t="s">
        <v>104</v>
      </c>
      <c r="E69" s="10"/>
    </row>
    <row r="70" customFormat="false" ht="12.75" hidden="false" customHeight="true" outlineLevel="0" collapsed="false">
      <c r="B70" s="8" t="s">
        <v>105</v>
      </c>
      <c r="C70" s="8" t="s">
        <v>106</v>
      </c>
      <c r="D70" s="10" t="s">
        <v>107</v>
      </c>
      <c r="E70" s="10"/>
    </row>
    <row r="71" customFormat="false" ht="12.75" hidden="false" customHeight="true" outlineLevel="0" collapsed="false">
      <c r="B71" s="8" t="s">
        <v>36</v>
      </c>
      <c r="C71" s="8" t="s">
        <v>106</v>
      </c>
      <c r="D71" s="10" t="s">
        <v>108</v>
      </c>
      <c r="E71" s="10"/>
    </row>
    <row r="72" customFormat="false" ht="12.75" hidden="false" customHeight="true" outlineLevel="0" collapsed="false">
      <c r="B72" s="8" t="s">
        <v>109</v>
      </c>
      <c r="C72" s="8" t="s">
        <v>106</v>
      </c>
      <c r="D72" s="10" t="s">
        <v>110</v>
      </c>
      <c r="E72" s="10"/>
    </row>
    <row r="73" customFormat="false" ht="12.75" hidden="false" customHeight="true" outlineLevel="0" collapsed="false">
      <c r="B73" s="8" t="s">
        <v>111</v>
      </c>
      <c r="C73" s="8" t="s">
        <v>106</v>
      </c>
      <c r="D73" s="10" t="s">
        <v>112</v>
      </c>
      <c r="E73" s="10"/>
    </row>
    <row r="74" customFormat="false" ht="25.5" hidden="false" customHeight="true" outlineLevel="0" collapsed="false">
      <c r="B74" s="8" t="s">
        <v>67</v>
      </c>
      <c r="C74" s="8" t="s">
        <v>106</v>
      </c>
      <c r="D74" s="10" t="s">
        <v>113</v>
      </c>
      <c r="E74" s="10"/>
    </row>
    <row r="75" customFormat="false" ht="25.5" hidden="false" customHeight="true" outlineLevel="0" collapsed="false">
      <c r="B75" s="8" t="s">
        <v>70</v>
      </c>
      <c r="C75" s="8" t="s">
        <v>106</v>
      </c>
      <c r="D75" s="10" t="s">
        <v>114</v>
      </c>
      <c r="E75" s="10"/>
    </row>
    <row r="76" customFormat="false" ht="12.75" hidden="false" customHeight="true" outlineLevel="0" collapsed="false">
      <c r="B76" s="8" t="s">
        <v>72</v>
      </c>
      <c r="C76" s="8" t="s">
        <v>106</v>
      </c>
      <c r="D76" s="10" t="s">
        <v>115</v>
      </c>
      <c r="E76" s="10"/>
    </row>
    <row r="77" customFormat="false" ht="12.75" hidden="false" customHeight="true" outlineLevel="0" collapsed="false">
      <c r="B77" s="8" t="s">
        <v>116</v>
      </c>
      <c r="C77" s="8" t="s">
        <v>106</v>
      </c>
      <c r="D77" s="10" t="s">
        <v>117</v>
      </c>
      <c r="E77" s="10"/>
    </row>
    <row r="78" customFormat="false" ht="12.75" hidden="false" customHeight="true" outlineLevel="0" collapsed="false">
      <c r="B78" s="8" t="s">
        <v>118</v>
      </c>
      <c r="C78" s="8" t="s">
        <v>106</v>
      </c>
      <c r="D78" s="10" t="s">
        <v>119</v>
      </c>
      <c r="E78" s="10"/>
    </row>
    <row r="79" customFormat="false" ht="12.75" hidden="false" customHeight="true" outlineLevel="0" collapsed="false">
      <c r="B79" s="8" t="s">
        <v>23</v>
      </c>
      <c r="C79" s="8" t="s">
        <v>120</v>
      </c>
      <c r="D79" s="10" t="s">
        <v>121</v>
      </c>
      <c r="E79" s="10"/>
    </row>
    <row r="80" customFormat="false" ht="12.75" hidden="false" customHeight="true" outlineLevel="0" collapsed="false">
      <c r="B80" s="8" t="s">
        <v>122</v>
      </c>
      <c r="C80" s="8" t="s">
        <v>120</v>
      </c>
      <c r="D80" s="10" t="s">
        <v>123</v>
      </c>
      <c r="E80" s="10"/>
    </row>
    <row r="81" customFormat="false" ht="12.75" hidden="false" customHeight="true" outlineLevel="0" collapsed="false">
      <c r="B81" s="8" t="s">
        <v>30</v>
      </c>
      <c r="C81" s="8" t="s">
        <v>120</v>
      </c>
      <c r="D81" s="10" t="s">
        <v>124</v>
      </c>
      <c r="E81" s="10"/>
    </row>
    <row r="82" customFormat="false" ht="12.75" hidden="false" customHeight="true" outlineLevel="0" collapsed="false">
      <c r="B82" s="8" t="s">
        <v>34</v>
      </c>
      <c r="C82" s="8" t="s">
        <v>120</v>
      </c>
      <c r="D82" s="10" t="s">
        <v>125</v>
      </c>
      <c r="E82" s="10"/>
    </row>
    <row r="83" customFormat="false" ht="12.75" hidden="false" customHeight="true" outlineLevel="0" collapsed="false">
      <c r="B83" s="8" t="s">
        <v>126</v>
      </c>
      <c r="C83" s="8" t="s">
        <v>120</v>
      </c>
      <c r="D83" s="10" t="s">
        <v>127</v>
      </c>
      <c r="E83" s="10"/>
    </row>
    <row r="84" customFormat="false" ht="12.75" hidden="false" customHeight="true" outlineLevel="0" collapsed="false">
      <c r="B84" s="8" t="s">
        <v>99</v>
      </c>
      <c r="C84" s="8" t="s">
        <v>120</v>
      </c>
      <c r="D84" s="10" t="s">
        <v>128</v>
      </c>
      <c r="E84" s="10"/>
    </row>
    <row r="85" customFormat="false" ht="12.75" hidden="false" customHeight="true" outlineLevel="0" collapsed="false">
      <c r="B85" s="8" t="s">
        <v>57</v>
      </c>
      <c r="C85" s="8" t="s">
        <v>120</v>
      </c>
      <c r="D85" s="10" t="s">
        <v>129</v>
      </c>
      <c r="E85" s="10"/>
    </row>
    <row r="86" customFormat="false" ht="12.75" hidden="false" customHeight="true" outlineLevel="0" collapsed="false">
      <c r="B86" s="8" t="s">
        <v>77</v>
      </c>
      <c r="C86" s="8" t="s">
        <v>120</v>
      </c>
      <c r="D86" s="10" t="s">
        <v>130</v>
      </c>
      <c r="E86" s="10"/>
    </row>
    <row r="87" customFormat="false" ht="25.5" hidden="false" customHeight="true" outlineLevel="0" collapsed="false">
      <c r="B87" s="8" t="s">
        <v>131</v>
      </c>
      <c r="C87" s="8" t="s">
        <v>120</v>
      </c>
      <c r="D87" s="10" t="s">
        <v>132</v>
      </c>
      <c r="E87" s="10"/>
    </row>
    <row r="89" customFormat="false" ht="15" hidden="false" customHeight="false" outlineLevel="0" collapsed="false">
      <c r="B89" s="3" t="s">
        <v>133</v>
      </c>
    </row>
    <row r="90" customFormat="false" ht="15" hidden="false" customHeight="false" outlineLevel="0" collapsed="false">
      <c r="B90" s="5" t="s">
        <v>86</v>
      </c>
      <c r="C90" s="5" t="s">
        <v>87</v>
      </c>
      <c r="D90" s="5" t="s">
        <v>88</v>
      </c>
    </row>
    <row r="91" customFormat="false" ht="25.5" hidden="false" customHeight="true" outlineLevel="0" collapsed="false">
      <c r="B91" s="8" t="s">
        <v>23</v>
      </c>
      <c r="C91" s="8" t="s">
        <v>106</v>
      </c>
      <c r="D91" s="10" t="s">
        <v>134</v>
      </c>
      <c r="E91" s="10"/>
    </row>
    <row r="92" customFormat="false" ht="25.5" hidden="false" customHeight="true" outlineLevel="0" collapsed="false">
      <c r="B92" s="8" t="s">
        <v>23</v>
      </c>
      <c r="C92" s="8" t="s">
        <v>106</v>
      </c>
      <c r="D92" s="10" t="s">
        <v>135</v>
      </c>
      <c r="E92" s="10"/>
    </row>
    <row r="93" customFormat="false" ht="12.75" hidden="false" customHeight="true" outlineLevel="0" collapsed="false">
      <c r="B93" s="8" t="s">
        <v>23</v>
      </c>
      <c r="C93" s="8" t="s">
        <v>120</v>
      </c>
      <c r="D93" s="10" t="s">
        <v>136</v>
      </c>
      <c r="E93" s="10"/>
    </row>
    <row r="94" customFormat="false" ht="25.5" hidden="false" customHeight="true" outlineLevel="0" collapsed="false">
      <c r="B94" s="8" t="s">
        <v>26</v>
      </c>
      <c r="C94" s="8" t="s">
        <v>120</v>
      </c>
      <c r="D94" s="10" t="s">
        <v>137</v>
      </c>
      <c r="E94" s="10"/>
    </row>
    <row r="95" customFormat="false" ht="12.75" hidden="false" customHeight="true" outlineLevel="0" collapsed="false">
      <c r="B95" s="8" t="s">
        <v>28</v>
      </c>
      <c r="C95" s="8" t="s">
        <v>106</v>
      </c>
      <c r="D95" s="10" t="s">
        <v>138</v>
      </c>
      <c r="E95" s="10"/>
    </row>
    <row r="96" customFormat="false" ht="12.75" hidden="false" customHeight="true" outlineLevel="0" collapsed="false">
      <c r="B96" s="8" t="s">
        <v>28</v>
      </c>
      <c r="C96" s="8" t="s">
        <v>106</v>
      </c>
      <c r="D96" s="10" t="s">
        <v>139</v>
      </c>
      <c r="E96" s="10"/>
    </row>
    <row r="97" customFormat="false" ht="12.75" hidden="false" customHeight="true" outlineLevel="0" collapsed="false">
      <c r="B97" s="8" t="s">
        <v>28</v>
      </c>
      <c r="C97" s="8" t="s">
        <v>120</v>
      </c>
      <c r="D97" s="10" t="s">
        <v>140</v>
      </c>
      <c r="E97" s="10"/>
    </row>
    <row r="98" customFormat="false" ht="25.5" hidden="false" customHeight="true" outlineLevel="0" collapsed="false">
      <c r="B98" s="8" t="s">
        <v>36</v>
      </c>
      <c r="C98" s="8" t="s">
        <v>106</v>
      </c>
      <c r="D98" s="10" t="s">
        <v>141</v>
      </c>
      <c r="E98" s="10"/>
    </row>
    <row r="99" customFormat="false" ht="12.75" hidden="false" customHeight="true" outlineLevel="0" collapsed="false">
      <c r="B99" s="8" t="s">
        <v>36</v>
      </c>
      <c r="C99" s="8" t="s">
        <v>120</v>
      </c>
      <c r="D99" s="10" t="s">
        <v>142</v>
      </c>
      <c r="E99" s="10"/>
    </row>
    <row r="100" customFormat="false" ht="25.5" hidden="false" customHeight="true" outlineLevel="0" collapsed="false">
      <c r="B100" s="8" t="s">
        <v>143</v>
      </c>
      <c r="C100" s="8" t="s">
        <v>106</v>
      </c>
      <c r="D100" s="10" t="s">
        <v>144</v>
      </c>
      <c r="E100" s="10"/>
    </row>
    <row r="101" customFormat="false" ht="12.75" hidden="false" customHeight="true" outlineLevel="0" collapsed="false">
      <c r="B101" s="8" t="s">
        <v>43</v>
      </c>
      <c r="C101" s="8" t="s">
        <v>120</v>
      </c>
      <c r="D101" s="10" t="s">
        <v>145</v>
      </c>
      <c r="E101" s="10"/>
    </row>
    <row r="102" customFormat="false" ht="12.75" hidden="false" customHeight="true" outlineLevel="0" collapsed="false">
      <c r="B102" s="8" t="s">
        <v>46</v>
      </c>
      <c r="C102" s="8" t="s">
        <v>120</v>
      </c>
      <c r="D102" s="10" t="s">
        <v>146</v>
      </c>
      <c r="E102" s="10"/>
    </row>
    <row r="103" customFormat="false" ht="12.75" hidden="false" customHeight="true" outlineLevel="0" collapsed="false">
      <c r="B103" s="8" t="s">
        <v>48</v>
      </c>
      <c r="C103" s="8" t="s">
        <v>106</v>
      </c>
      <c r="D103" s="10" t="s">
        <v>147</v>
      </c>
      <c r="E103" s="10"/>
    </row>
    <row r="104" customFormat="false" ht="12.75" hidden="false" customHeight="true" outlineLevel="0" collapsed="false">
      <c r="B104" s="8" t="s">
        <v>48</v>
      </c>
      <c r="C104" s="8" t="s">
        <v>106</v>
      </c>
      <c r="D104" s="10" t="s">
        <v>148</v>
      </c>
      <c r="E104" s="10"/>
    </row>
    <row r="105" customFormat="false" ht="25.5" hidden="false" customHeight="true" outlineLevel="0" collapsed="false">
      <c r="B105" s="8" t="s">
        <v>48</v>
      </c>
      <c r="C105" s="8" t="s">
        <v>106</v>
      </c>
      <c r="D105" s="10" t="s">
        <v>149</v>
      </c>
      <c r="E105" s="10"/>
    </row>
    <row r="106" customFormat="false" ht="25.5" hidden="false" customHeight="true" outlineLevel="0" collapsed="false">
      <c r="B106" s="8" t="s">
        <v>48</v>
      </c>
      <c r="C106" s="8" t="s">
        <v>120</v>
      </c>
      <c r="D106" s="10" t="s">
        <v>150</v>
      </c>
      <c r="E106" s="10"/>
    </row>
    <row r="107" customFormat="false" ht="12.75" hidden="false" customHeight="true" outlineLevel="0" collapsed="false">
      <c r="B107" s="8" t="s">
        <v>51</v>
      </c>
      <c r="C107" s="8" t="s">
        <v>106</v>
      </c>
      <c r="D107" s="10" t="s">
        <v>151</v>
      </c>
      <c r="E107" s="10"/>
    </row>
    <row r="108" customFormat="false" ht="12.75" hidden="false" customHeight="true" outlineLevel="0" collapsed="false">
      <c r="B108" s="8" t="s">
        <v>99</v>
      </c>
      <c r="C108" s="8" t="s">
        <v>120</v>
      </c>
      <c r="D108" s="10" t="s">
        <v>152</v>
      </c>
      <c r="E108" s="10"/>
    </row>
    <row r="109" customFormat="false" ht="12.75" hidden="false" customHeight="true" outlineLevel="0" collapsed="false">
      <c r="B109" s="8" t="s">
        <v>55</v>
      </c>
      <c r="C109" s="8" t="s">
        <v>120</v>
      </c>
      <c r="D109" s="10" t="s">
        <v>153</v>
      </c>
      <c r="E109" s="10"/>
    </row>
    <row r="110" customFormat="false" ht="25.5" hidden="false" customHeight="true" outlineLevel="0" collapsed="false">
      <c r="B110" s="8" t="s">
        <v>65</v>
      </c>
      <c r="C110" s="8" t="s">
        <v>106</v>
      </c>
      <c r="D110" s="10" t="s">
        <v>154</v>
      </c>
      <c r="E110" s="10"/>
    </row>
    <row r="111" customFormat="false" ht="12.75" hidden="false" customHeight="true" outlineLevel="0" collapsed="false">
      <c r="B111" s="8" t="s">
        <v>65</v>
      </c>
      <c r="C111" s="8" t="s">
        <v>120</v>
      </c>
      <c r="D111" s="10" t="s">
        <v>155</v>
      </c>
      <c r="E111" s="10"/>
    </row>
    <row r="112" customFormat="false" ht="12.75" hidden="false" customHeight="true" outlineLevel="0" collapsed="false">
      <c r="B112" s="8" t="s">
        <v>67</v>
      </c>
      <c r="C112" s="8" t="s">
        <v>120</v>
      </c>
      <c r="D112" s="10" t="s">
        <v>156</v>
      </c>
      <c r="E112" s="10"/>
    </row>
    <row r="113" customFormat="false" ht="25.5" hidden="false" customHeight="true" outlineLevel="0" collapsed="false">
      <c r="B113" s="8" t="s">
        <v>70</v>
      </c>
      <c r="C113" s="8" t="s">
        <v>120</v>
      </c>
      <c r="D113" s="10" t="s">
        <v>157</v>
      </c>
      <c r="E113" s="10"/>
    </row>
    <row r="114" customFormat="false" ht="12.75" hidden="false" customHeight="true" outlineLevel="0" collapsed="false">
      <c r="B114" s="8" t="s">
        <v>72</v>
      </c>
      <c r="C114" s="8" t="s">
        <v>120</v>
      </c>
      <c r="D114" s="10" t="s">
        <v>158</v>
      </c>
      <c r="E114" s="10"/>
    </row>
    <row r="115" customFormat="false" ht="25.5" hidden="false" customHeight="true" outlineLevel="0" collapsed="false">
      <c r="B115" s="8" t="s">
        <v>74</v>
      </c>
      <c r="C115" s="8" t="s">
        <v>120</v>
      </c>
      <c r="D115" s="10" t="s">
        <v>159</v>
      </c>
      <c r="E115" s="10"/>
    </row>
    <row r="116" customFormat="false" ht="12.75" hidden="false" customHeight="true" outlineLevel="0" collapsed="false">
      <c r="B116" s="8" t="s">
        <v>160</v>
      </c>
      <c r="C116" s="8" t="s">
        <v>120</v>
      </c>
      <c r="D116" s="10" t="s">
        <v>161</v>
      </c>
      <c r="E116" s="10"/>
    </row>
    <row r="117" customFormat="false" ht="12.75" hidden="false" customHeight="true" outlineLevel="0" collapsed="false">
      <c r="B117" s="8" t="s">
        <v>131</v>
      </c>
      <c r="C117" s="8" t="s">
        <v>106</v>
      </c>
      <c r="D117" s="10" t="s">
        <v>162</v>
      </c>
      <c r="E117" s="10"/>
    </row>
    <row r="118" customFormat="false" ht="25.5" hidden="false" customHeight="true" outlineLevel="0" collapsed="false">
      <c r="B118" s="8" t="s">
        <v>131</v>
      </c>
      <c r="C118" s="8" t="s">
        <v>106</v>
      </c>
      <c r="D118" s="10" t="s">
        <v>163</v>
      </c>
      <c r="E118" s="10"/>
    </row>
    <row r="119" customFormat="false" ht="25.5" hidden="false" customHeight="true" outlineLevel="0" collapsed="false">
      <c r="B119" s="8" t="s">
        <v>131</v>
      </c>
      <c r="C119" s="8" t="s">
        <v>120</v>
      </c>
      <c r="D119" s="10" t="s">
        <v>164</v>
      </c>
      <c r="E119" s="10"/>
    </row>
    <row r="120" customFormat="false" ht="12.75" hidden="false" customHeight="true" outlineLevel="0" collapsed="false">
      <c r="B120" s="8" t="s">
        <v>165</v>
      </c>
      <c r="C120" s="8" t="s">
        <v>120</v>
      </c>
      <c r="D120" s="10" t="s">
        <v>166</v>
      </c>
      <c r="E120" s="10"/>
    </row>
  </sheetData>
  <mergeCells count="72">
    <mergeCell ref="B5:E5"/>
    <mergeCell ref="B6:E6"/>
    <mergeCell ref="B7:E7"/>
    <mergeCell ref="B8:E8"/>
    <mergeCell ref="B9:E9"/>
    <mergeCell ref="B12:E12"/>
    <mergeCell ref="B13:E13"/>
    <mergeCell ref="B14:E14"/>
    <mergeCell ref="B15:E15"/>
    <mergeCell ref="B16:E16"/>
    <mergeCell ref="B19:E19"/>
    <mergeCell ref="B22:E22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91:E91"/>
    <mergeCell ref="D92:E92"/>
    <mergeCell ref="D93:E93"/>
    <mergeCell ref="D94:E94"/>
    <mergeCell ref="D95:E95"/>
    <mergeCell ref="D96:E96"/>
    <mergeCell ref="D97:E97"/>
    <mergeCell ref="D98:E98"/>
    <mergeCell ref="D99:E9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19:E119"/>
    <mergeCell ref="D120:E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167</v>
      </c>
      <c r="G1" s="2" t="s">
        <v>168</v>
      </c>
    </row>
    <row r="2" customFormat="false" ht="15" hidden="false" customHeight="false" outlineLevel="0" collapsed="false">
      <c r="B2" s="12" t="s">
        <v>169</v>
      </c>
      <c r="G2" s="2" t="s">
        <v>170</v>
      </c>
    </row>
    <row r="3" customFormat="false" ht="15" hidden="false" customHeight="false" outlineLevel="0" collapsed="false">
      <c r="B3" s="13" t="s">
        <v>171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176</v>
      </c>
      <c r="C6" s="17" t="n">
        <v>60000</v>
      </c>
      <c r="D6" s="18" t="s">
        <v>177</v>
      </c>
      <c r="E6" s="2" t="s">
        <v>178</v>
      </c>
      <c r="G6" s="19" t="s">
        <v>179</v>
      </c>
    </row>
    <row r="7" customFormat="false" ht="15" hidden="false" customHeight="false" outlineLevel="0" collapsed="false">
      <c r="B7" s="16" t="s">
        <v>180</v>
      </c>
      <c r="C7" s="17" t="n">
        <v>0</v>
      </c>
      <c r="D7" s="18" t="s">
        <v>177</v>
      </c>
      <c r="E7" s="2" t="s">
        <v>181</v>
      </c>
      <c r="G7" s="19" t="s">
        <v>182</v>
      </c>
    </row>
    <row r="8" customFormat="false" ht="15" hidden="false" customHeight="false" outlineLevel="0" collapsed="false">
      <c r="B8" s="16" t="s">
        <v>183</v>
      </c>
      <c r="C8" s="17" t="n">
        <v>25000</v>
      </c>
      <c r="D8" s="18" t="s">
        <v>177</v>
      </c>
      <c r="E8" s="2" t="s">
        <v>184</v>
      </c>
      <c r="G8" s="19" t="s">
        <v>185</v>
      </c>
    </row>
    <row r="9" customFormat="false" ht="15" hidden="false" customHeight="false" outlineLevel="0" collapsed="false">
      <c r="B9" s="16" t="s">
        <v>186</v>
      </c>
      <c r="C9" s="20" t="s">
        <v>187</v>
      </c>
      <c r="D9" s="18" t="s">
        <v>188</v>
      </c>
      <c r="E9" s="2" t="s">
        <v>189</v>
      </c>
      <c r="G9" s="19" t="s">
        <v>190</v>
      </c>
    </row>
    <row r="10" customFormat="false" ht="15" hidden="false" customHeight="false" outlineLevel="0" collapsed="false">
      <c r="B10" s="16" t="s">
        <v>191</v>
      </c>
      <c r="C10" s="21" t="n">
        <v>0.04</v>
      </c>
      <c r="D10" s="18" t="s">
        <v>192</v>
      </c>
      <c r="E10" s="2" t="s">
        <v>193</v>
      </c>
      <c r="G10" s="19" t="s">
        <v>194</v>
      </c>
    </row>
    <row r="11" customFormat="false" ht="15" hidden="false" customHeight="false" outlineLevel="0" collapsed="false">
      <c r="B11" s="16" t="s">
        <v>195</v>
      </c>
      <c r="C11" s="22" t="n">
        <v>30</v>
      </c>
      <c r="D11" s="18" t="s">
        <v>196</v>
      </c>
      <c r="E11" s="2" t="s">
        <v>197</v>
      </c>
      <c r="G11" s="19" t="s">
        <v>198</v>
      </c>
    </row>
    <row r="12" customFormat="false" ht="15" hidden="false" customHeight="false" outlineLevel="0" collapsed="false">
      <c r="B12" s="16" t="s">
        <v>199</v>
      </c>
      <c r="C12" s="17" t="n">
        <v>0</v>
      </c>
      <c r="D12" s="18" t="s">
        <v>177</v>
      </c>
      <c r="E12" s="2" t="s">
        <v>200</v>
      </c>
      <c r="G12" s="19" t="s">
        <v>201</v>
      </c>
    </row>
    <row r="14" customFormat="false" ht="15" hidden="false" customHeight="false" outlineLevel="0" collapsed="false">
      <c r="B14" s="14" t="s">
        <v>202</v>
      </c>
      <c r="C14" s="15" t="s">
        <v>203</v>
      </c>
      <c r="D14" s="15" t="s">
        <v>204</v>
      </c>
      <c r="E14" s="15" t="s">
        <v>205</v>
      </c>
    </row>
    <row r="15" customFormat="false" ht="17.35" hidden="false" customHeight="false" outlineLevel="0" collapsed="false">
      <c r="B15" s="12" t="s">
        <v>206</v>
      </c>
      <c r="C15" s="23" t="n">
        <f aca="false">Max_Loan+Total_Deposit</f>
        <v>250000</v>
      </c>
      <c r="D15" s="18" t="s">
        <v>177</v>
      </c>
      <c r="E15" s="24" t="s">
        <v>207</v>
      </c>
    </row>
    <row r="16" customFormat="false" ht="17.35" hidden="false" customHeight="false" outlineLevel="0" collapsed="false">
      <c r="B16" s="12" t="s">
        <v>208</v>
      </c>
      <c r="C16" s="23" t="n">
        <f aca="false">MIN(Borrow_By_Income,Borrow_By_Deposit)</f>
        <v>225000</v>
      </c>
      <c r="D16" s="18" t="s">
        <v>177</v>
      </c>
      <c r="E16" s="24" t="s">
        <v>209</v>
      </c>
    </row>
    <row r="17" customFormat="false" ht="17.35" hidden="false" customHeight="false" outlineLevel="0" collapsed="false">
      <c r="B17" s="12" t="s">
        <v>210</v>
      </c>
      <c r="C17" s="23" t="n">
        <f aca="false">PMT(Interest_Rate/12,Term_Years*12,-Max_Loan)</f>
        <v>1074.18441479728</v>
      </c>
      <c r="D17" s="18" t="s">
        <v>177</v>
      </c>
      <c r="E17" s="24" t="s">
        <v>211</v>
      </c>
    </row>
    <row r="18" customFormat="false" ht="15" hidden="false" customHeight="false" outlineLevel="0" collapsed="false">
      <c r="B18" s="16" t="s">
        <v>212</v>
      </c>
      <c r="C18" s="25" t="n">
        <f aca="false">(Income+Partner_Income)*Income_Multiple</f>
        <v>240000</v>
      </c>
      <c r="D18" s="18" t="s">
        <v>177</v>
      </c>
      <c r="E18" s="24" t="s">
        <v>213</v>
      </c>
    </row>
    <row r="19" customFormat="false" ht="15" hidden="false" customHeight="false" outlineLevel="0" collapsed="false">
      <c r="B19" s="16" t="s">
        <v>214</v>
      </c>
      <c r="C19" s="25" t="n">
        <f aca="false">Total_Deposit*LTV_Max/(1-LTV_Max)</f>
        <v>225000</v>
      </c>
      <c r="D19" s="18" t="s">
        <v>177</v>
      </c>
      <c r="E19" s="24" t="s">
        <v>215</v>
      </c>
    </row>
    <row r="20" customFormat="false" ht="15" hidden="false" customHeight="false" outlineLevel="0" collapsed="false">
      <c r="B20" s="16" t="s">
        <v>216</v>
      </c>
      <c r="C20" s="26" t="n">
        <f aca="false">IF(First_Time_Buyer="Yes",LTI_FTB,LTI_SSB)</f>
        <v>4</v>
      </c>
      <c r="D20" s="18" t="s">
        <v>217</v>
      </c>
      <c r="E20" s="24" t="s">
        <v>218</v>
      </c>
    </row>
    <row r="21" customFormat="false" ht="15" hidden="false" customHeight="false" outlineLevel="0" collapsed="false">
      <c r="B21" s="16" t="s">
        <v>219</v>
      </c>
      <c r="C21" s="25" t="n">
        <f aca="false">Deposit+Extra_Deposit</f>
        <v>25000</v>
      </c>
      <c r="D21" s="18" t="s">
        <v>177</v>
      </c>
      <c r="E21" s="24" t="s">
        <v>220</v>
      </c>
    </row>
    <row r="22" customFormat="false" ht="15" hidden="false" customHeight="false" outlineLevel="0" collapsed="false">
      <c r="B22" s="16" t="s">
        <v>221</v>
      </c>
      <c r="C22" s="27" t="str">
        <f aca="false">IF(Borrow_By_Deposit&lt;Borrow_By_Income,"Your deposit","Your income")</f>
        <v>Your deposit</v>
      </c>
      <c r="D22" s="18"/>
      <c r="E22" s="24" t="s">
        <v>222</v>
      </c>
    </row>
    <row r="24" customFormat="false" ht="15" hidden="false" customHeight="false" outlineLevel="0" collapsed="false">
      <c r="B24" s="14" t="s">
        <v>223</v>
      </c>
      <c r="C24" s="28"/>
      <c r="D24" s="28"/>
      <c r="E24" s="28"/>
    </row>
    <row r="25" customFormat="false" ht="13.5" hidden="false" customHeight="true" outlineLevel="0" collapsed="false">
      <c r="B25" s="29" t="s">
        <v>224</v>
      </c>
      <c r="C25" s="29"/>
      <c r="D25" s="29"/>
      <c r="E25" s="29"/>
    </row>
    <row r="26" customFormat="false" ht="13.5" hidden="false" customHeight="true" outlineLevel="0" collapsed="false">
      <c r="B26" s="29" t="s">
        <v>225</v>
      </c>
      <c r="C26" s="29"/>
      <c r="D26" s="29"/>
      <c r="E26" s="29"/>
    </row>
    <row r="27" customFormat="false" ht="13.5" hidden="false" customHeight="true" outlineLevel="0" collapsed="false">
      <c r="B27" s="29" t="s">
        <v>226</v>
      </c>
      <c r="C27" s="29"/>
      <c r="D27" s="29"/>
      <c r="E27" s="29"/>
    </row>
    <row r="28" customFormat="false" ht="13.5" hidden="false" customHeight="true" outlineLevel="0" collapsed="false">
      <c r="B28" s="30" t="s">
        <v>227</v>
      </c>
      <c r="C28" s="30"/>
      <c r="D28" s="30"/>
      <c r="E28" s="30"/>
    </row>
    <row r="29" customFormat="false" ht="13.5" hidden="false" customHeight="true" outlineLevel="0" collapsed="false">
      <c r="B29" s="29" t="s">
        <v>228</v>
      </c>
      <c r="C29" s="29"/>
      <c r="D29" s="29"/>
      <c r="E29" s="29"/>
    </row>
    <row r="30" customFormat="false" ht="13.5" hidden="false" customHeight="true" outlineLevel="0" collapsed="false">
      <c r="B30" s="29" t="s">
        <v>229</v>
      </c>
      <c r="C30" s="29"/>
      <c r="D30" s="29"/>
      <c r="E30" s="29"/>
    </row>
    <row r="31" customFormat="false" ht="13.5" hidden="false" customHeight="true" outlineLevel="0" collapsed="false">
      <c r="B31" s="29" t="s">
        <v>230</v>
      </c>
      <c r="C31" s="29"/>
      <c r="D31" s="29"/>
      <c r="E31" s="29"/>
    </row>
    <row r="33" customFormat="false" ht="15" hidden="false" customHeight="false" outlineLevel="0" collapsed="false">
      <c r="B33" s="14" t="s">
        <v>231</v>
      </c>
      <c r="C33" s="28"/>
      <c r="D33" s="28"/>
      <c r="E33" s="28"/>
    </row>
    <row r="34" customFormat="false" ht="15" hidden="false" customHeight="false" outlineLevel="0" collapsed="false">
      <c r="B34" s="16" t="s">
        <v>232</v>
      </c>
      <c r="C34" s="31" t="str">
        <f aca="false">"Buy a home (deposit goal)"</f>
        <v>Buy a home (deposit goal)</v>
      </c>
      <c r="E34" s="32" t="s">
        <v>233</v>
      </c>
    </row>
    <row r="35" customFormat="false" ht="15" hidden="false" customHeight="false" outlineLevel="0" collapsed="false">
      <c r="B35" s="16" t="s">
        <v>234</v>
      </c>
      <c r="C35" s="33" t="n">
        <f aca="false">ROUND(Home_Price*Min_Deposit_Pct,0)</f>
        <v>25000</v>
      </c>
      <c r="E35" s="32" t="s">
        <v>235</v>
      </c>
    </row>
    <row r="36" customFormat="false" ht="15" hidden="false" customHeight="false" outlineLevel="0" collapsed="false">
      <c r="B36" s="16" t="s">
        <v>236</v>
      </c>
      <c r="C36" s="33" t="n">
        <f aca="false">Total_Deposit</f>
        <v>25000</v>
      </c>
      <c r="E36" s="32" t="s">
        <v>237</v>
      </c>
    </row>
    <row r="37" customFormat="false" ht="15" hidden="false" customHeight="false" outlineLevel="0" collapsed="false">
      <c r="B37" s="16" t="s">
        <v>238</v>
      </c>
      <c r="C37" s="34" t="n">
        <f aca="false">Home_Goal_Years</f>
        <v>3</v>
      </c>
      <c r="E37" s="32" t="s">
        <v>239</v>
      </c>
    </row>
  </sheetData>
  <mergeCells count="7">
    <mergeCell ref="B25:E25"/>
    <mergeCell ref="B26:E26"/>
    <mergeCell ref="B27:E27"/>
    <mergeCell ref="B28:E28"/>
    <mergeCell ref="B29:E29"/>
    <mergeCell ref="B30:E30"/>
    <mergeCell ref="B31:E31"/>
  </mergeCells>
  <dataValidations count="7">
    <dataValidation allowBlank="false" error="Please enter €15,000 to €2,500,000 · steps of €1,000." errorStyle="stop" errorTitle="Outside the allowed range" operator="between" prompt="Unit: €. Allowed: €15,000 to €2,500,000 · steps of €1,000." promptTitle="Your gross yearly income" showDropDown="false" showErrorMessage="true" showInputMessage="true" sqref="C6" type="decimal">
      <formula1>15000</formula1>
      <formula2>2500000</formula2>
    </dataValidation>
    <dataValidation allowBlank="false" error="Please enter €0 to €2,500,000 · steps of €1,000." errorStyle="stop" errorTitle="Outside the allowed range" operator="between" prompt="Unit: €. Allowed: €0 to €2,500,000 · steps of €1,000." promptTitle="Partner's gross yearly income" showDropDown="false" showErrorMessage="true" showInputMessage="true" sqref="C7" type="decimal">
      <formula1>0</formula1>
      <formula2>2500000</formula2>
    </dataValidation>
    <dataValidation allowBlank="false" error="Please enter €0 to €2,000,000 · steps of €1,000." errorStyle="stop" errorTitle="Outside the allowed range" operator="between" prompt="Unit: €. Allowed: €0 to €2,000,000 · steps of €1,000." promptTitle="Deposit saved" showDropDown="false" showErrorMessage="true" showInputMessage="true" sqref="C8" type="decimal">
      <formula1>0</formula1>
      <formula2>2000000</formula2>
    </dataValidation>
    <dataValidation allowBlank="false" error="Please enter Yes or No." errorStyle="stop" errorTitle="Outside the allowed range" operator="between" prompt="Unit: Yes / No. Allowed: Yes or No." promptTitle="First-time buyer?" showDropDown="false" showErrorMessage="true" showInputMessage="true" sqref="C9" type="list">
      <formula1>"Yes,No"</formula1>
      <formula2>0</formula2>
    </dataValidation>
    <dataValidation allowBlank="false" error="Please enter 1% to 8% · steps of 0.1%." errorStyle="stop" errorTitle="Outside the allowed range" operator="between" prompt="Unit: %. Allowed: 1% to 8% · steps of 0.1%." promptTitle="Mortgage interest rate" showDropDown="false" showErrorMessage="true" showInputMessage="true" sqref="C10" type="decimal">
      <formula1>0.01</formula1>
      <formula2>0.08</formula2>
    </dataValidation>
    <dataValidation allowBlank="false" error="Please enter 10 to 35 · steps of 1." errorStyle="stop" errorTitle="Outside the allowed range" operator="between" prompt="Unit: years. Allowed: 10 to 35 · steps of 1." promptTitle="Mortgage term" showDropDown="false" showErrorMessage="true" showInputMessage="true" sqref="C11" type="whole">
      <formula1>10</formula1>
      <formula2>35</formula2>
    </dataValidation>
    <dataValidation allowBlank="false" error="Please enter €0 to €500,000 · steps of €1,000." errorStyle="stop" errorTitle="Outside the allowed range" operator="between" prompt="Unit: €. Allowed: €0 to €500,000 · steps of €1,000." promptTitle="What if: save extra towards the " showDropDown="false" showErrorMessage="true" showInputMessage="true" sqref="C12" type="decimal">
      <formula1>0</formula1>
      <formula2>500000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240</v>
      </c>
      <c r="G1" s="2" t="s">
        <v>168</v>
      </c>
    </row>
    <row r="2" customFormat="false" ht="15" hidden="false" customHeight="false" outlineLevel="0" collapsed="false">
      <c r="B2" s="12" t="s">
        <v>241</v>
      </c>
      <c r="G2" s="2" t="s">
        <v>242</v>
      </c>
    </row>
    <row r="3" customFormat="false" ht="15" hidden="false" customHeight="false" outlineLevel="0" collapsed="false">
      <c r="B3" s="13" t="s">
        <v>243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244</v>
      </c>
      <c r="C6" s="17" t="n">
        <v>300000</v>
      </c>
      <c r="D6" s="18" t="s">
        <v>177</v>
      </c>
      <c r="E6" s="2" t="s">
        <v>245</v>
      </c>
      <c r="G6" s="19" t="s">
        <v>246</v>
      </c>
    </row>
    <row r="7" customFormat="false" ht="15" hidden="false" customHeight="false" outlineLevel="0" collapsed="false">
      <c r="B7" s="16" t="s">
        <v>247</v>
      </c>
      <c r="C7" s="21" t="n">
        <v>0.04</v>
      </c>
      <c r="D7" s="18" t="s">
        <v>192</v>
      </c>
      <c r="E7" s="2" t="s">
        <v>248</v>
      </c>
      <c r="G7" s="19" t="s">
        <v>249</v>
      </c>
    </row>
    <row r="8" customFormat="false" ht="15" hidden="false" customHeight="false" outlineLevel="0" collapsed="false">
      <c r="B8" s="16" t="s">
        <v>250</v>
      </c>
      <c r="C8" s="22" t="n">
        <v>30</v>
      </c>
      <c r="D8" s="18" t="s">
        <v>196</v>
      </c>
      <c r="E8" s="2" t="s">
        <v>251</v>
      </c>
      <c r="G8" s="19" t="s">
        <v>252</v>
      </c>
    </row>
    <row r="9" customFormat="false" ht="15" hidden="false" customHeight="false" outlineLevel="0" collapsed="false">
      <c r="B9" s="16" t="s">
        <v>253</v>
      </c>
      <c r="C9" s="17" t="n">
        <v>0</v>
      </c>
      <c r="D9" s="18" t="s">
        <v>177</v>
      </c>
      <c r="E9" s="2" t="s">
        <v>254</v>
      </c>
      <c r="G9" s="19" t="s">
        <v>255</v>
      </c>
    </row>
    <row r="10" customFormat="false" ht="15" hidden="false" customHeight="false" outlineLevel="0" collapsed="false">
      <c r="B10" s="16" t="s">
        <v>256</v>
      </c>
      <c r="C10" s="21" t="n">
        <v>0</v>
      </c>
      <c r="D10" s="18" t="s">
        <v>192</v>
      </c>
      <c r="E10" s="2" t="s">
        <v>257</v>
      </c>
      <c r="G10" s="19" t="s">
        <v>258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259</v>
      </c>
      <c r="C13" s="23" t="n">
        <f aca="false">IF(Actual_Repayment&gt;0,Actual_Repayment,Formula_Repayment)</f>
        <v>1432.24588639638</v>
      </c>
      <c r="D13" s="18" t="s">
        <v>177</v>
      </c>
      <c r="E13" s="24" t="s">
        <v>260</v>
      </c>
    </row>
    <row r="14" customFormat="false" ht="22.35" hidden="false" customHeight="false" outlineLevel="0" collapsed="false">
      <c r="B14" s="12" t="s">
        <v>261</v>
      </c>
      <c r="C14" s="35" t="n">
        <f aca="false">IF(Monthly_Repayment&lt;=Loan_Amount*Monthly_Rate,"Never",ROUNDUP(ROUND(NPER(Monthly_Rate,-Monthly_Repayment,Loan_Amount),6),0))</f>
        <v>360</v>
      </c>
      <c r="D14" s="36" t="str">
        <f aca="false">IF(Months_To_Pay="Never","Never at this repayment",IF(Months_To_Pay&gt;Cap_Months,"Over 100 years",IF(INT(Months_To_Pay/12)=0,MOD(Months_To_Pay,12)&amp;IF(MOD(Months_To_Pay,12)=1," month"," months"),INT(Months_To_Pay/12)&amp;IF(INT(Months_To_Pay/12)=1," year"," years")&amp;IF(MOD(Months_To_Pay,12)=0,""," "&amp;MOD(Months_To_Pay,12)&amp;IF(MOD(Months_To_Pay,12)=1," month"," months")))))</f>
        <v>30 years</v>
      </c>
      <c r="E14" s="24" t="s">
        <v>262</v>
      </c>
    </row>
    <row r="15" customFormat="false" ht="17.35" hidden="false" customHeight="false" outlineLevel="0" collapsed="false">
      <c r="B15" s="12" t="s">
        <v>263</v>
      </c>
      <c r="C15" s="23" t="n">
        <f aca="false">IF(Months_To_Pay="Never","—",Monthly_Repayment*(Months_To_Pay-1)+Final_Payment-Loan_Amount)</f>
        <v>215608.519102685</v>
      </c>
      <c r="D15" s="18" t="s">
        <v>177</v>
      </c>
      <c r="E15" s="24" t="s">
        <v>264</v>
      </c>
    </row>
    <row r="16" customFormat="false" ht="15" hidden="false" customHeight="false" outlineLevel="0" collapsed="false">
      <c r="B16" s="16" t="s">
        <v>265</v>
      </c>
      <c r="C16" s="25" t="n">
        <f aca="false">IF(Months_To_Pay="Never","—",Loan_Amount+Total_Interest)</f>
        <v>515608.519102685</v>
      </c>
      <c r="D16" s="18" t="s">
        <v>177</v>
      </c>
      <c r="E16" s="24" t="s">
        <v>266</v>
      </c>
    </row>
    <row r="17" customFormat="false" ht="15" hidden="false" customHeight="false" outlineLevel="0" collapsed="false">
      <c r="B17" s="16" t="s">
        <v>267</v>
      </c>
      <c r="C17" s="37" t="n">
        <f aca="false">Interest_Rate/12</f>
        <v>0.00333333333333333</v>
      </c>
      <c r="D17" s="18"/>
      <c r="E17" s="24" t="s">
        <v>268</v>
      </c>
    </row>
    <row r="18" customFormat="false" ht="15" hidden="false" customHeight="false" outlineLevel="0" collapsed="false">
      <c r="B18" s="16" t="s">
        <v>269</v>
      </c>
      <c r="C18" s="25" t="n">
        <f aca="false">PMT(Monthly_Rate,Term_Years*12,-Loan_Amount)</f>
        <v>1432.24588639638</v>
      </c>
      <c r="D18" s="18" t="s">
        <v>177</v>
      </c>
      <c r="E18" s="24" t="s">
        <v>270</v>
      </c>
    </row>
    <row r="19" customFormat="false" ht="22.35" hidden="false" customHeight="false" outlineLevel="0" collapsed="false">
      <c r="B19" s="16" t="s">
        <v>271</v>
      </c>
      <c r="C19" s="25" t="n">
        <f aca="false">IF(Months_To_Pay="Never","—",-FV(Monthly_Rate,Months_To_Pay-1,-Monthly_Repayment,Loan_Amount)*(1+Monthly_Rate))</f>
        <v>1432.24588638455</v>
      </c>
      <c r="D19" s="18" t="s">
        <v>177</v>
      </c>
      <c r="E19" s="24" t="s">
        <v>272</v>
      </c>
    </row>
    <row r="20" customFormat="false" ht="15" hidden="false" customHeight="false" outlineLevel="0" collapsed="false">
      <c r="B20" s="16" t="s">
        <v>273</v>
      </c>
      <c r="C20" s="38" t="n">
        <f aca="false">MAX(0,Interest_Rate+Rate_Change)</f>
        <v>0.04</v>
      </c>
      <c r="D20" s="18" t="s">
        <v>192</v>
      </c>
      <c r="E20" s="24" t="s">
        <v>274</v>
      </c>
    </row>
    <row r="21" customFormat="false" ht="17.35" hidden="false" customHeight="false" outlineLevel="0" collapsed="false">
      <c r="B21" s="12" t="s">
        <v>275</v>
      </c>
      <c r="C21" s="23" t="n">
        <f aca="false">Monthly_Repayment+PMT(New_Rate/12,Term_Years*12,-Loan_Amount)-Formula_Repayment</f>
        <v>1432.24588639638</v>
      </c>
      <c r="D21" s="18" t="s">
        <v>177</v>
      </c>
      <c r="E21" s="24" t="s">
        <v>276</v>
      </c>
    </row>
    <row r="22" customFormat="false" ht="15" hidden="false" customHeight="false" outlineLevel="0" collapsed="false">
      <c r="B22" s="16" t="s">
        <v>277</v>
      </c>
      <c r="C22" s="25" t="n">
        <f aca="false">(Repayment_If_Changed-Monthly_Repayment)*12</f>
        <v>0</v>
      </c>
      <c r="D22" s="18" t="s">
        <v>177</v>
      </c>
      <c r="E22" s="24" t="s">
        <v>278</v>
      </c>
    </row>
    <row r="24" customFormat="false" ht="15" hidden="false" customHeight="false" outlineLevel="0" collapsed="false">
      <c r="B24" s="14" t="s">
        <v>223</v>
      </c>
      <c r="C24" s="28"/>
      <c r="D24" s="28"/>
      <c r="E24" s="28"/>
    </row>
    <row r="25" customFormat="false" ht="13.5" hidden="false" customHeight="true" outlineLevel="0" collapsed="false">
      <c r="B25" s="29" t="s">
        <v>279</v>
      </c>
      <c r="C25" s="29"/>
      <c r="D25" s="29"/>
      <c r="E25" s="29"/>
    </row>
    <row r="26" customFormat="false" ht="27.75" hidden="false" customHeight="true" outlineLevel="0" collapsed="false">
      <c r="B26" s="29" t="s">
        <v>280</v>
      </c>
      <c r="C26" s="29"/>
      <c r="D26" s="29"/>
      <c r="E26" s="29"/>
    </row>
    <row r="27" customFormat="false" ht="27.75" hidden="false" customHeight="true" outlineLevel="0" collapsed="false">
      <c r="B27" s="29" t="s">
        <v>281</v>
      </c>
      <c r="C27" s="29"/>
      <c r="D27" s="29"/>
      <c r="E27" s="29"/>
    </row>
    <row r="28" customFormat="false" ht="13.5" hidden="false" customHeight="true" outlineLevel="0" collapsed="false">
      <c r="B28" s="30" t="s">
        <v>227</v>
      </c>
      <c r="C28" s="30"/>
      <c r="D28" s="30"/>
      <c r="E28" s="30"/>
    </row>
    <row r="29" customFormat="false" ht="27.75" hidden="false" customHeight="true" outlineLevel="0" collapsed="false">
      <c r="B29" s="29" t="s">
        <v>282</v>
      </c>
      <c r="C29" s="29"/>
      <c r="D29" s="29"/>
      <c r="E29" s="29"/>
    </row>
    <row r="30" customFormat="false" ht="13.5" hidden="false" customHeight="true" outlineLevel="0" collapsed="false">
      <c r="B30" s="29" t="s">
        <v>283</v>
      </c>
      <c r="C30" s="29"/>
      <c r="D30" s="29"/>
      <c r="E30" s="29"/>
    </row>
    <row r="31" customFormat="false" ht="27.75" hidden="false" customHeight="true" outlineLevel="0" collapsed="false">
      <c r="B31" s="29" t="s">
        <v>284</v>
      </c>
      <c r="C31" s="29"/>
      <c r="D31" s="29"/>
      <c r="E31" s="29"/>
    </row>
    <row r="32" customFormat="false" ht="13.5" hidden="false" customHeight="true" outlineLevel="0" collapsed="false">
      <c r="B32" s="29" t="s">
        <v>230</v>
      </c>
      <c r="C32" s="29"/>
      <c r="D32" s="29"/>
      <c r="E32" s="29"/>
    </row>
    <row r="34" customFormat="false" ht="15" hidden="false" customHeight="false" outlineLevel="0" collapsed="false">
      <c r="B34" s="14" t="s">
        <v>231</v>
      </c>
      <c r="C34" s="28"/>
      <c r="D34" s="28"/>
      <c r="E34" s="28"/>
    </row>
    <row r="35" customFormat="false" ht="15" hidden="false" customHeight="false" outlineLevel="0" collapsed="false">
      <c r="B35" s="16" t="s">
        <v>232</v>
      </c>
      <c r="C35" s="31" t="str">
        <f aca="false">"Buy a home (deposit goal)"</f>
        <v>Buy a home (deposit goal)</v>
      </c>
      <c r="E35" s="32" t="s">
        <v>233</v>
      </c>
    </row>
    <row r="36" customFormat="false" ht="15" hidden="false" customHeight="false" outlineLevel="0" collapsed="false">
      <c r="B36" s="16" t="s">
        <v>285</v>
      </c>
      <c r="C36" s="33" t="n">
        <f aca="false">ROUND(Loan_Amount*(1-LTV_Max)/LTV_Max,0)</f>
        <v>33333</v>
      </c>
      <c r="E36" s="32" t="s">
        <v>286</v>
      </c>
    </row>
    <row r="37" customFormat="false" ht="15" hidden="false" customHeight="false" outlineLevel="0" collapsed="false">
      <c r="B37" s="16" t="s">
        <v>238</v>
      </c>
      <c r="C37" s="34" t="n">
        <f aca="false">Home_Goal_Years</f>
        <v>3</v>
      </c>
      <c r="E37" s="32" t="s">
        <v>239</v>
      </c>
    </row>
    <row r="38" customFormat="false" ht="13.5" hidden="false" customHeight="true" outlineLevel="0" collapsed="false">
      <c r="B38" s="39" t="s">
        <v>287</v>
      </c>
      <c r="C38" s="39"/>
      <c r="D38" s="39"/>
      <c r="E38" s="39"/>
    </row>
  </sheetData>
  <mergeCells count="9">
    <mergeCell ref="B25:E25"/>
    <mergeCell ref="B26:E26"/>
    <mergeCell ref="B27:E27"/>
    <mergeCell ref="B28:E28"/>
    <mergeCell ref="B29:E29"/>
    <mergeCell ref="B30:E30"/>
    <mergeCell ref="B31:E31"/>
    <mergeCell ref="B32:E32"/>
    <mergeCell ref="B38:E38"/>
  </mergeCells>
  <dataValidations count="5">
    <dataValidation allowBlank="false" error="Please enter €50,000 to €10,000,000 · steps of €1,000." errorStyle="stop" errorTitle="Outside the allowed range" operator="between" prompt="Unit: €. Allowed: €50,000 to €10,000,000 · steps of €1,000." promptTitle="Mortgage amount" showDropDown="false" showErrorMessage="true" showInputMessage="true" sqref="C6" type="decimal">
      <formula1>50000</formula1>
      <formula2>10000000</formula2>
    </dataValidation>
    <dataValidation allowBlank="false" error="Please enter 1% to 8% · steps of 0.05%." errorStyle="stop" errorTitle="Outside the allowed range" operator="between" prompt="Unit: %. Allowed: 1% to 8% · steps of 0.05%." promptTitle="Interest rate" showDropDown="false" showErrorMessage="true" showInputMessage="true" sqref="C7" type="decimal">
      <formula1>0.01</formula1>
      <formula2>0.08</formula2>
    </dataValidation>
    <dataValidation allowBlank="false" error="Please enter 5 to 35 · steps of 1." errorStyle="stop" errorTitle="Outside the allowed range" operator="between" prompt="Unit: years. Allowed: 5 to 35 · steps of 1." promptTitle="Term" showDropDown="false" showErrorMessage="true" showInputMessage="true" sqref="C8" type="whole">
      <formula1>5</formula1>
      <formula2>35</formula2>
    </dataValidation>
    <dataValidation allowBlank="false" error="Please enter €0 to €100,000 · steps of €1." errorStyle="stop" errorTitle="Outside the allowed range" operator="between" prompt="Unit: €. Allowed: €0 to €100,000 · steps of €1." promptTitle="Your actual monthly repayment (o" showDropDown="false" showErrorMessage="true" showInputMessage="true" sqref="C9" type="decimal">
      <formula1>0</formula1>
      <formula2>100000</formula2>
    </dataValidation>
    <dataValidation allowBlank="false" error="Please enter -2% to 3% · steps of 0.25%." errorStyle="stop" errorTitle="Outside the allowed range" operator="between" prompt="Unit: %. Allowed: -2% to 3% · steps of 0.25%." promptTitle="What if: rates change by" showDropDown="false" showErrorMessage="true" showInputMessage="true" sqref="C10" type="decimal">
      <formula1>-0.02</formula1>
      <formula2>0.03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288</v>
      </c>
      <c r="G1" s="2" t="s">
        <v>168</v>
      </c>
    </row>
    <row r="2" customFormat="false" ht="15" hidden="false" customHeight="false" outlineLevel="0" collapsed="false">
      <c r="B2" s="12" t="s">
        <v>289</v>
      </c>
      <c r="G2" s="2" t="s">
        <v>290</v>
      </c>
    </row>
    <row r="3" customFormat="false" ht="15" hidden="false" customHeight="false" outlineLevel="0" collapsed="false">
      <c r="B3" s="13" t="s">
        <v>291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292</v>
      </c>
      <c r="C6" s="17" t="n">
        <v>350000</v>
      </c>
      <c r="D6" s="18" t="s">
        <v>177</v>
      </c>
      <c r="E6" s="2" t="s">
        <v>293</v>
      </c>
      <c r="G6" s="19" t="s">
        <v>294</v>
      </c>
    </row>
    <row r="7" customFormat="false" ht="15" hidden="false" customHeight="false" outlineLevel="0" collapsed="false">
      <c r="B7" s="16" t="s">
        <v>295</v>
      </c>
      <c r="C7" s="21" t="n">
        <v>0.1</v>
      </c>
      <c r="D7" s="18" t="s">
        <v>192</v>
      </c>
      <c r="E7" s="2" t="s">
        <v>296</v>
      </c>
      <c r="G7" s="19" t="s">
        <v>297</v>
      </c>
    </row>
    <row r="8" customFormat="false" ht="15" hidden="false" customHeight="false" outlineLevel="0" collapsed="false">
      <c r="B8" s="16" t="s">
        <v>298</v>
      </c>
      <c r="C8" s="17" t="n">
        <v>12000</v>
      </c>
      <c r="D8" s="18" t="s">
        <v>177</v>
      </c>
      <c r="E8" s="2" t="s">
        <v>299</v>
      </c>
      <c r="G8" s="19" t="s">
        <v>300</v>
      </c>
    </row>
    <row r="9" customFormat="false" ht="15" hidden="false" customHeight="false" outlineLevel="0" collapsed="false">
      <c r="B9" s="16" t="s">
        <v>301</v>
      </c>
      <c r="C9" s="17" t="n">
        <v>800</v>
      </c>
      <c r="D9" s="18" t="s">
        <v>177</v>
      </c>
      <c r="E9" s="2" t="s">
        <v>302</v>
      </c>
      <c r="G9" s="19" t="s">
        <v>303</v>
      </c>
    </row>
    <row r="10" customFormat="false" ht="15" hidden="false" customHeight="false" outlineLevel="0" collapsed="false">
      <c r="B10" s="16" t="s">
        <v>304</v>
      </c>
      <c r="C10" s="17" t="n">
        <v>0</v>
      </c>
      <c r="D10" s="18" t="s">
        <v>177</v>
      </c>
      <c r="E10" s="2" t="s">
        <v>305</v>
      </c>
      <c r="G10" s="19" t="s">
        <v>201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306</v>
      </c>
      <c r="C13" s="35" t="n">
        <f aca="false">IF(Still_To_Save=0,0,ROUNDUP(Still_To_Save/(Monthly_Saving+Extra_Saving),0))</f>
        <v>29</v>
      </c>
      <c r="D13" s="36" t="str">
        <f aca="false">IF(Months_To_Deposit=0,"You have your deposit",IF(INT(Months_To_Deposit/12)=0,MOD(Months_To_Deposit,12)&amp;IF(MOD(Months_To_Deposit,12)=1," month"," months"),INT(Months_To_Deposit/12)&amp;IF(INT(Months_To_Deposit/12)=1," year"," years")&amp;IF(MOD(Months_To_Deposit,12)=0,""," "&amp;MOD(Months_To_Deposit,12)&amp;IF(MOD(Months_To_Deposit,12)=1," month"," months"))))</f>
        <v>2 years 5 months</v>
      </c>
      <c r="E13" s="24" t="s">
        <v>307</v>
      </c>
    </row>
    <row r="14" customFormat="false" ht="17.35" hidden="false" customHeight="false" outlineLevel="0" collapsed="false">
      <c r="B14" s="12" t="s">
        <v>295</v>
      </c>
      <c r="C14" s="23" t="n">
        <f aca="false">Home_Price*Deposit_Pct</f>
        <v>35000</v>
      </c>
      <c r="D14" s="18" t="s">
        <v>177</v>
      </c>
      <c r="E14" s="24" t="s">
        <v>308</v>
      </c>
    </row>
    <row r="15" customFormat="false" ht="17.35" hidden="false" customHeight="false" outlineLevel="0" collapsed="false">
      <c r="B15" s="12" t="s">
        <v>309</v>
      </c>
      <c r="C15" s="23" t="n">
        <f aca="false">MAX(0,Deposit_Needed-Saved)</f>
        <v>23000</v>
      </c>
      <c r="D15" s="18" t="s">
        <v>177</v>
      </c>
      <c r="E15" s="24" t="s">
        <v>310</v>
      </c>
    </row>
    <row r="17" customFormat="false" ht="15" hidden="false" customHeight="false" outlineLevel="0" collapsed="false">
      <c r="B17" s="14" t="s">
        <v>223</v>
      </c>
      <c r="C17" s="28"/>
      <c r="D17" s="28"/>
      <c r="E17" s="28"/>
    </row>
    <row r="18" customFormat="false" ht="13.5" hidden="false" customHeight="true" outlineLevel="0" collapsed="false">
      <c r="B18" s="29" t="s">
        <v>311</v>
      </c>
      <c r="C18" s="29"/>
      <c r="D18" s="29"/>
      <c r="E18" s="29"/>
    </row>
    <row r="19" customFormat="false" ht="13.5" hidden="false" customHeight="true" outlineLevel="0" collapsed="false">
      <c r="B19" s="29" t="s">
        <v>312</v>
      </c>
      <c r="C19" s="29"/>
      <c r="D19" s="29"/>
      <c r="E19" s="29"/>
    </row>
    <row r="20" customFormat="false" ht="13.5" hidden="false" customHeight="true" outlineLevel="0" collapsed="false">
      <c r="B20" s="30" t="s">
        <v>227</v>
      </c>
      <c r="C20" s="30"/>
      <c r="D20" s="30"/>
      <c r="E20" s="30"/>
    </row>
    <row r="21" customFormat="false" ht="13.5" hidden="false" customHeight="true" outlineLevel="0" collapsed="false">
      <c r="B21" s="29" t="s">
        <v>313</v>
      </c>
      <c r="C21" s="29"/>
      <c r="D21" s="29"/>
      <c r="E21" s="29"/>
    </row>
    <row r="22" customFormat="false" ht="13.5" hidden="false" customHeight="true" outlineLevel="0" collapsed="false">
      <c r="B22" s="29" t="s">
        <v>314</v>
      </c>
      <c r="C22" s="29"/>
      <c r="D22" s="29"/>
      <c r="E22" s="29"/>
    </row>
    <row r="24" customFormat="false" ht="15" hidden="false" customHeight="false" outlineLevel="0" collapsed="false">
      <c r="B24" s="14" t="s">
        <v>231</v>
      </c>
      <c r="C24" s="28"/>
      <c r="D24" s="28"/>
      <c r="E24" s="28"/>
    </row>
    <row r="25" customFormat="false" ht="15" hidden="false" customHeight="false" outlineLevel="0" collapsed="false">
      <c r="B25" s="16" t="s">
        <v>232</v>
      </c>
      <c r="C25" s="31" t="str">
        <f aca="false">"Home deposit"</f>
        <v>Home deposit</v>
      </c>
      <c r="E25" s="32" t="s">
        <v>315</v>
      </c>
    </row>
    <row r="26" customFormat="false" ht="15" hidden="false" customHeight="false" outlineLevel="0" collapsed="false">
      <c r="B26" s="16" t="s">
        <v>234</v>
      </c>
      <c r="C26" s="33" t="n">
        <f aca="false">ROUND(Deposit_Needed,0)</f>
        <v>35000</v>
      </c>
      <c r="E26" s="32" t="s">
        <v>316</v>
      </c>
    </row>
    <row r="27" customFormat="false" ht="15" hidden="false" customHeight="false" outlineLevel="0" collapsed="false">
      <c r="B27" s="16" t="s">
        <v>236</v>
      </c>
      <c r="C27" s="33" t="n">
        <f aca="false">Saved</f>
        <v>12000</v>
      </c>
      <c r="E27" s="32" t="s">
        <v>317</v>
      </c>
    </row>
    <row r="28" customFormat="false" ht="15" hidden="false" customHeight="false" outlineLevel="0" collapsed="false">
      <c r="B28" s="16" t="s">
        <v>238</v>
      </c>
      <c r="C28" s="34" t="n">
        <f aca="false">MAX(1,ROUNDUP(Months_To_Deposit/12,0))</f>
        <v>3</v>
      </c>
      <c r="E28" s="32" t="s">
        <v>318</v>
      </c>
    </row>
  </sheetData>
  <mergeCells count="5">
    <mergeCell ref="B18:E18"/>
    <mergeCell ref="B19:E19"/>
    <mergeCell ref="B20:E20"/>
    <mergeCell ref="B21:E21"/>
    <mergeCell ref="B22:E22"/>
  </mergeCells>
  <dataValidations count="5">
    <dataValidation allowBlank="false" error="Please enter €100,000 to €10,000,000 · steps of €5,000." errorStyle="stop" errorTitle="Outside the allowed range" operator="between" prompt="Unit: €. Allowed: €100,000 to €10,000,000 · steps of €5,000." promptTitle="Home price" showDropDown="false" showErrorMessage="true" showInputMessage="true" sqref="C6" type="decimal">
      <formula1>100000</formula1>
      <formula2>10000000</formula2>
    </dataValidation>
    <dataValidation allowBlank="false" error="Please enter 5% to 30% · steps of 1%." errorStyle="stop" errorTitle="Outside the allowed range" operator="between" prompt="Unit: %. Allowed: 5% to 30% · steps of 1%." promptTitle="Deposit needed" showDropDown="false" showErrorMessage="true" showInputMessage="true" sqref="C7" type="decimal">
      <formula1>0.05</formula1>
      <formula2>0.3</formula2>
    </dataValidation>
    <dataValidation allowBlank="false" error="Please enter €0 to €2,000,000 · steps of €500." errorStyle="stop" errorTitle="Outside the allowed range" operator="between" prompt="Unit: €. Allowed: €0 to €2,000,000 · steps of €500." promptTitle="Saved so far" showDropDown="false" showErrorMessage="true" showInputMessage="true" sqref="C8" type="decimal">
      <formula1>0</formula1>
      <formula2>2000000</formula2>
    </dataValidation>
    <dataValidation allowBlank="false" error="Please enter €50 to €50,000 · steps of €50." errorStyle="stop" errorTitle="Outside the allowed range" operator="between" prompt="Unit: €. Allowed: €50 to €50,000 · steps of €50." promptTitle="Monthly saving" showDropDown="false" showErrorMessage="true" showInputMessage="true" sqref="C9" type="decimal">
      <formula1>50</formula1>
      <formula2>50000</formula2>
    </dataValidation>
    <dataValidation allowBlank="false" error="Please enter €0 to €15,000 · steps of €50." errorStyle="stop" errorTitle="Outside the allowed range" operator="between" prompt="Unit: €. Allowed: €0 to €15,000 · steps of €50." promptTitle="What if: save extra each month" showDropDown="false" showErrorMessage="true" showInputMessage="true" sqref="C10" type="decimal">
      <formula1>0</formula1>
      <formula2>15000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319</v>
      </c>
      <c r="G1" s="2" t="s">
        <v>168</v>
      </c>
    </row>
    <row r="2" customFormat="false" ht="15" hidden="false" customHeight="false" outlineLevel="0" collapsed="false">
      <c r="B2" s="12" t="s">
        <v>320</v>
      </c>
      <c r="G2" s="2" t="s">
        <v>321</v>
      </c>
    </row>
    <row r="3" customFormat="false" ht="15" hidden="false" customHeight="false" outlineLevel="0" collapsed="false">
      <c r="B3" s="13" t="s">
        <v>322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323</v>
      </c>
      <c r="C6" s="17" t="n">
        <v>250000</v>
      </c>
      <c r="D6" s="18" t="s">
        <v>177</v>
      </c>
      <c r="E6" s="2" t="s">
        <v>324</v>
      </c>
      <c r="G6" s="19" t="s">
        <v>325</v>
      </c>
    </row>
    <row r="7" customFormat="false" ht="15" hidden="false" customHeight="false" outlineLevel="0" collapsed="false">
      <c r="B7" s="16" t="s">
        <v>247</v>
      </c>
      <c r="C7" s="21" t="n">
        <v>0.04</v>
      </c>
      <c r="D7" s="18" t="s">
        <v>192</v>
      </c>
      <c r="E7" s="2" t="s">
        <v>248</v>
      </c>
      <c r="G7" s="19" t="s">
        <v>326</v>
      </c>
    </row>
    <row r="8" customFormat="false" ht="15" hidden="false" customHeight="false" outlineLevel="0" collapsed="false">
      <c r="B8" s="16" t="s">
        <v>327</v>
      </c>
      <c r="C8" s="22" t="n">
        <v>25</v>
      </c>
      <c r="D8" s="18" t="s">
        <v>196</v>
      </c>
      <c r="E8" s="2" t="s">
        <v>328</v>
      </c>
      <c r="G8" s="19" t="s">
        <v>329</v>
      </c>
    </row>
    <row r="9" customFormat="false" ht="15" hidden="false" customHeight="false" outlineLevel="0" collapsed="false">
      <c r="B9" s="16" t="s">
        <v>330</v>
      </c>
      <c r="C9" s="17" t="n">
        <v>200</v>
      </c>
      <c r="D9" s="18" t="s">
        <v>177</v>
      </c>
      <c r="E9" s="2" t="s">
        <v>331</v>
      </c>
      <c r="G9" s="19" t="s">
        <v>332</v>
      </c>
    </row>
    <row r="10" customFormat="false" ht="15" hidden="false" customHeight="false" outlineLevel="0" collapsed="false">
      <c r="B10" s="16" t="s">
        <v>253</v>
      </c>
      <c r="C10" s="17" t="n">
        <v>0</v>
      </c>
      <c r="D10" s="18" t="s">
        <v>177</v>
      </c>
      <c r="E10" s="2" t="s">
        <v>254</v>
      </c>
      <c r="G10" s="19" t="s">
        <v>255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333</v>
      </c>
      <c r="C13" s="35" t="n">
        <f aca="false">IF(OR(Months_Now="Never",Months_With_Extra="Never"),"—",Months_Now-Months_With_Extra)</f>
        <v>61</v>
      </c>
      <c r="D13" s="36" t="str">
        <f aca="false">IF(Months_Sooner="—","—",IF(Months_Sooner=0,"No change",IF(INT(Months_Sooner/12)=0,MOD(Months_Sooner,12)&amp;IF(MOD(Months_Sooner,12)=1," month"," months"),INT(Months_Sooner/12)&amp;IF(INT(Months_Sooner/12)=1," year"," years")&amp;IF(MOD(Months_Sooner,12)=0,""," "&amp;MOD(Months_Sooner,12)&amp;IF(MOD(Months_Sooner,12)=1," month"," months")))))</f>
        <v>5 years 1 month</v>
      </c>
      <c r="E13" s="24" t="s">
        <v>334</v>
      </c>
    </row>
    <row r="14" customFormat="false" ht="17.35" hidden="false" customHeight="false" outlineLevel="0" collapsed="false">
      <c r="B14" s="12" t="s">
        <v>335</v>
      </c>
      <c r="C14" s="23" t="n">
        <f aca="false">IF(OR(Months_Now="Never",Months_With_Extra="Never"),"—",Interest_Now-Interest_With_Extra)</f>
        <v>32877.2218504525</v>
      </c>
      <c r="D14" s="18" t="s">
        <v>177</v>
      </c>
      <c r="E14" s="24" t="s">
        <v>336</v>
      </c>
    </row>
    <row r="15" customFormat="false" ht="22.35" hidden="false" customHeight="false" outlineLevel="0" collapsed="false">
      <c r="B15" s="16" t="s">
        <v>337</v>
      </c>
      <c r="C15" s="40" t="n">
        <f aca="false">IF(Repayment_Now&lt;=Mortgage_Balance*Monthly_Rate,"Never",ROUNDUP(ROUND(NPER(Monthly_Rate,-Repayment_Now,Mortgage_Balance),6),0))</f>
        <v>300</v>
      </c>
      <c r="D15" s="41" t="str">
        <f aca="false">IF(Months_Now="Never","Not at this repayment",IF(Months_Now&gt;Cap_Months,"Over 100 years",IF(INT(Months_Now/12)=0,MOD(Months_Now,12)&amp;IF(MOD(Months_Now,12)=1," month"," months"),INT(Months_Now/12)&amp;IF(INT(Months_Now/12)=1," year"," years")&amp;IF(MOD(Months_Now,12)=0,""," "&amp;MOD(Months_Now,12)&amp;IF(MOD(Months_Now,12)=1," month"," months")))))</f>
        <v>25 years</v>
      </c>
      <c r="E15" s="24" t="s">
        <v>338</v>
      </c>
    </row>
    <row r="16" customFormat="false" ht="22.35" hidden="false" customHeight="false" outlineLevel="0" collapsed="false">
      <c r="B16" s="16" t="s">
        <v>339</v>
      </c>
      <c r="C16" s="40" t="n">
        <f aca="false">IF(Repayment_With_Extra&lt;=Mortgage_Balance*Monthly_Rate,"Never",ROUNDUP(ROUND(NPER(Monthly_Rate,-Repayment_With_Extra,Mortgage_Balance),6),0))</f>
        <v>239</v>
      </c>
      <c r="D16" s="41" t="str">
        <f aca="false">IF(Months_With_Extra="Never","—",IF(Months_With_Extra&gt;Cap_Months,"Over 100 years",IF(INT(Months_With_Extra/12)=0,MOD(Months_With_Extra,12)&amp;IF(MOD(Months_With_Extra,12)=1," month"," months"),INT(Months_With_Extra/12)&amp;IF(INT(Months_With_Extra/12)=1," year"," years")&amp;IF(MOD(Months_With_Extra,12)=0,""," "&amp;MOD(Months_With_Extra,12)&amp;IF(MOD(Months_With_Extra,12)=1," month"," months")))))</f>
        <v>19 years 11 months</v>
      </c>
      <c r="E16" s="24" t="s">
        <v>340</v>
      </c>
    </row>
    <row r="17" customFormat="false" ht="15" hidden="false" customHeight="false" outlineLevel="0" collapsed="false">
      <c r="B17" s="16" t="s">
        <v>267</v>
      </c>
      <c r="C17" s="37" t="n">
        <f aca="false">Interest_Rate/12</f>
        <v>0.00333333333333333</v>
      </c>
      <c r="D17" s="18"/>
      <c r="E17" s="24" t="s">
        <v>268</v>
      </c>
    </row>
    <row r="18" customFormat="false" ht="15" hidden="false" customHeight="false" outlineLevel="0" collapsed="false">
      <c r="B18" s="16" t="s">
        <v>341</v>
      </c>
      <c r="C18" s="25" t="n">
        <f aca="false">IF(Actual_Repayment&gt;0,Actual_Repayment,PMT(Monthly_Rate,Years_Left*12,-Mortgage_Balance))</f>
        <v>1319.59210074444</v>
      </c>
      <c r="D18" s="18" t="s">
        <v>177</v>
      </c>
      <c r="E18" s="24" t="s">
        <v>342</v>
      </c>
    </row>
    <row r="19" customFormat="false" ht="15" hidden="false" customHeight="false" outlineLevel="0" collapsed="false">
      <c r="B19" s="16" t="s">
        <v>343</v>
      </c>
      <c r="C19" s="25" t="n">
        <f aca="false">Repayment_Now+Extra_Payment</f>
        <v>1519.59210074444</v>
      </c>
      <c r="D19" s="18" t="s">
        <v>177</v>
      </c>
      <c r="E19" s="24" t="s">
        <v>344</v>
      </c>
    </row>
    <row r="20" customFormat="false" ht="15" hidden="false" customHeight="false" outlineLevel="0" collapsed="false">
      <c r="B20" s="16" t="s">
        <v>345</v>
      </c>
      <c r="C20" s="25" t="n">
        <f aca="false">IF(Months_Now="Never","—",-FV(Monthly_Rate,Months_Now-1,-Repayment_Now,Mortgage_Balance)*(1+Monthly_Rate))</f>
        <v>1319.59210073517</v>
      </c>
      <c r="D20" s="18" t="s">
        <v>177</v>
      </c>
      <c r="E20" s="24" t="s">
        <v>346</v>
      </c>
    </row>
    <row r="21" customFormat="false" ht="22.35" hidden="false" customHeight="false" outlineLevel="0" collapsed="false">
      <c r="B21" s="16" t="s">
        <v>347</v>
      </c>
      <c r="C21" s="25" t="n">
        <f aca="false">IF(Months_With_Extra="Never","—",-FV(Monthly_Rate,Months_With_Extra-1,-Repayment_With_Extra,Mortgage_Balance)*(1+Monthly_Rate))</f>
        <v>1337.4883956937</v>
      </c>
      <c r="D21" s="18" t="s">
        <v>177</v>
      </c>
      <c r="E21" s="24" t="s">
        <v>348</v>
      </c>
    </row>
    <row r="22" customFormat="false" ht="15" hidden="false" customHeight="false" outlineLevel="0" collapsed="false">
      <c r="B22" s="16" t="s">
        <v>349</v>
      </c>
      <c r="C22" s="25" t="n">
        <f aca="false">IF(Months_Now="Never","—",Repayment_Now*(Months_Now-1)+Last_Payment_Now-Mortgage_Balance)</f>
        <v>145877.630223324</v>
      </c>
      <c r="D22" s="18" t="s">
        <v>177</v>
      </c>
      <c r="E22" s="24" t="s">
        <v>350</v>
      </c>
    </row>
    <row r="23" customFormat="false" ht="22.35" hidden="false" customHeight="false" outlineLevel="0" collapsed="false">
      <c r="B23" s="16" t="s">
        <v>351</v>
      </c>
      <c r="C23" s="25" t="n">
        <f aca="false">IF(Months_With_Extra="Never","—",Repayment_With_Extra*(Months_With_Extra-1)+Last_Payment_With_Extra-Mortgage_Balance)</f>
        <v>113000.408372871</v>
      </c>
      <c r="D23" s="18" t="s">
        <v>177</v>
      </c>
      <c r="E23" s="24" t="s">
        <v>352</v>
      </c>
    </row>
    <row r="25" customFormat="false" ht="15" hidden="false" customHeight="false" outlineLevel="0" collapsed="false">
      <c r="B25" s="14" t="s">
        <v>223</v>
      </c>
      <c r="C25" s="28"/>
      <c r="D25" s="28"/>
      <c r="E25" s="28"/>
    </row>
    <row r="26" customFormat="false" ht="13.5" hidden="false" customHeight="true" outlineLevel="0" collapsed="false">
      <c r="B26" s="29" t="s">
        <v>353</v>
      </c>
      <c r="C26" s="29"/>
      <c r="D26" s="29"/>
      <c r="E26" s="29"/>
    </row>
    <row r="27" customFormat="false" ht="27.75" hidden="false" customHeight="true" outlineLevel="0" collapsed="false">
      <c r="B27" s="29" t="s">
        <v>354</v>
      </c>
      <c r="C27" s="29"/>
      <c r="D27" s="29"/>
      <c r="E27" s="29"/>
    </row>
    <row r="28" customFormat="false" ht="13.5" hidden="false" customHeight="true" outlineLevel="0" collapsed="false">
      <c r="B28" s="30" t="s">
        <v>227</v>
      </c>
      <c r="C28" s="30"/>
      <c r="D28" s="30"/>
      <c r="E28" s="30"/>
    </row>
    <row r="29" customFormat="false" ht="13.5" hidden="false" customHeight="true" outlineLevel="0" collapsed="false">
      <c r="B29" s="29" t="s">
        <v>355</v>
      </c>
      <c r="C29" s="29"/>
      <c r="D29" s="29"/>
      <c r="E29" s="29"/>
    </row>
    <row r="30" customFormat="false" ht="13.5" hidden="false" customHeight="true" outlineLevel="0" collapsed="false">
      <c r="B30" s="29" t="s">
        <v>356</v>
      </c>
      <c r="C30" s="29"/>
      <c r="D30" s="29"/>
      <c r="E30" s="29"/>
    </row>
    <row r="31" customFormat="false" ht="13.5" hidden="false" customHeight="true" outlineLevel="0" collapsed="false">
      <c r="B31" s="29" t="s">
        <v>283</v>
      </c>
      <c r="C31" s="29"/>
      <c r="D31" s="29"/>
      <c r="E31" s="29"/>
    </row>
    <row r="32" customFormat="false" ht="27.75" hidden="false" customHeight="true" outlineLevel="0" collapsed="false">
      <c r="B32" s="29" t="s">
        <v>284</v>
      </c>
      <c r="C32" s="29"/>
      <c r="D32" s="29"/>
      <c r="E32" s="29"/>
    </row>
    <row r="33" customFormat="false" ht="13.5" hidden="false" customHeight="true" outlineLevel="0" collapsed="false">
      <c r="B33" s="29" t="s">
        <v>357</v>
      </c>
      <c r="C33" s="29"/>
      <c r="D33" s="29"/>
      <c r="E33" s="29"/>
    </row>
    <row r="35" customFormat="false" ht="15" hidden="false" customHeight="false" outlineLevel="0" collapsed="false">
      <c r="B35" s="14" t="s">
        <v>231</v>
      </c>
      <c r="C35" s="28"/>
      <c r="D35" s="28"/>
      <c r="E35" s="28"/>
    </row>
    <row r="36" customFormat="false" ht="15" hidden="false" customHeight="false" outlineLevel="0" collapsed="false">
      <c r="B36" s="16" t="s">
        <v>232</v>
      </c>
      <c r="C36" s="31" t="str">
        <f aca="false">IF(Months_With_Extra="Never","No goal","Mortgage free (plan kind mfree, priced from your mortgage; no cash amount)")</f>
        <v>Mortgage free (plan kind mfree, priced from your mortgage; no cash amount)</v>
      </c>
      <c r="E36" s="32" t="s">
        <v>358</v>
      </c>
    </row>
    <row r="37" customFormat="false" ht="15" hidden="false" customHeight="false" outlineLevel="0" collapsed="false">
      <c r="B37" s="16" t="s">
        <v>238</v>
      </c>
      <c r="C37" s="34" t="n">
        <f aca="false">IF(Months_With_Extra="Never","—",ROUNDUP(Months_With_Extra/12,0))</f>
        <v>20</v>
      </c>
      <c r="E37" s="32" t="s">
        <v>359</v>
      </c>
    </row>
    <row r="38" customFormat="false" ht="27.75" hidden="false" customHeight="true" outlineLevel="0" collapsed="false">
      <c r="B38" s="39" t="s">
        <v>360</v>
      </c>
      <c r="C38" s="39"/>
      <c r="D38" s="39"/>
      <c r="E38" s="39"/>
    </row>
  </sheetData>
  <mergeCells count="9">
    <mergeCell ref="B26:E26"/>
    <mergeCell ref="B27:E27"/>
    <mergeCell ref="B28:E28"/>
    <mergeCell ref="B29:E29"/>
    <mergeCell ref="B30:E30"/>
    <mergeCell ref="B31:E31"/>
    <mergeCell ref="B32:E32"/>
    <mergeCell ref="B33:E33"/>
    <mergeCell ref="B38:E38"/>
  </mergeCells>
  <dataValidations count="5">
    <dataValidation allowBlank="false" error="Please enter 1% to 8% · steps of 0.05%." errorStyle="stop" errorTitle="Outside the allowed range" operator="between" prompt="Unit: %. Allowed: 1% to 8% · steps of 0.05%." promptTitle="Interest rate" showDropDown="false" showErrorMessage="true" showInputMessage="true" sqref="C7" type="decimal">
      <formula1>0.01</formula1>
      <formula2>0.08</formula2>
    </dataValidation>
    <dataValidation allowBlank="false" error="Please enter €0 to €100,000 · steps of €1." errorStyle="stop" errorTitle="Outside the allowed range" operator="between" prompt="Unit: €. Allowed: €0 to €100,000 · steps of €1." promptTitle="Your actual monthly repayment (o" showDropDown="false" showErrorMessage="true" showInputMessage="true" sqref="C10" type="decimal">
      <formula1>0</formula1>
      <formula2>100000</formula2>
    </dataValidation>
    <dataValidation allowBlank="false" error="Please enter €20,000 to €10,000,000 · steps of €1,000." errorStyle="stop" errorTitle="Outside the allowed range" operator="between" prompt="Unit: €. Allowed: €20,000 to €10,000,000 · steps of €1,000." promptTitle="Mortgage balance" showDropDown="false" showErrorMessage="true" showInputMessage="true" sqref="C6" type="decimal">
      <formula1>20000</formula1>
      <formula2>10000000</formula2>
    </dataValidation>
    <dataValidation allowBlank="false" error="Please enter 3 to 35 · steps of 1." errorStyle="stop" errorTitle="Outside the allowed range" operator="between" prompt="Unit: years. Allowed: 3 to 35 · steps of 1." promptTitle="Years left" showDropDown="false" showErrorMessage="true" showInputMessage="true" sqref="C8" type="whole">
      <formula1>3</formula1>
      <formula2>35</formula2>
    </dataValidation>
    <dataValidation allowBlank="false" error="Please enter €0 to €20,000 · steps of €25." errorStyle="stop" errorTitle="Outside the allowed range" operator="between" prompt="Unit: €. Allowed: €0 to €20,000 · steps of €25." promptTitle="Extra each month" showDropDown="false" showErrorMessage="true" showInputMessage="true" sqref="C9" type="decimal">
      <formula1>0</formula1>
      <formula2>20000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361</v>
      </c>
      <c r="G1" s="2" t="s">
        <v>168</v>
      </c>
    </row>
    <row r="2" customFormat="false" ht="15" hidden="false" customHeight="false" outlineLevel="0" collapsed="false">
      <c r="B2" s="12" t="s">
        <v>362</v>
      </c>
      <c r="G2" s="2" t="s">
        <v>363</v>
      </c>
    </row>
    <row r="3" customFormat="false" ht="15" hidden="false" customHeight="false" outlineLevel="0" collapsed="false">
      <c r="B3" s="13" t="s">
        <v>364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323</v>
      </c>
      <c r="C6" s="17" t="n">
        <v>300000</v>
      </c>
      <c r="D6" s="18" t="s">
        <v>177</v>
      </c>
      <c r="E6" s="2" t="s">
        <v>245</v>
      </c>
      <c r="G6" s="19" t="s">
        <v>365</v>
      </c>
    </row>
    <row r="7" customFormat="false" ht="15" hidden="false" customHeight="false" outlineLevel="0" collapsed="false">
      <c r="B7" s="16" t="s">
        <v>366</v>
      </c>
      <c r="C7" s="21" t="n">
        <v>0.04</v>
      </c>
      <c r="D7" s="18" t="s">
        <v>192</v>
      </c>
      <c r="E7" s="2" t="s">
        <v>248</v>
      </c>
      <c r="G7" s="19" t="s">
        <v>326</v>
      </c>
    </row>
    <row r="8" customFormat="false" ht="15" hidden="false" customHeight="false" outlineLevel="0" collapsed="false">
      <c r="B8" s="16" t="s">
        <v>327</v>
      </c>
      <c r="C8" s="22" t="n">
        <v>25</v>
      </c>
      <c r="D8" s="18" t="s">
        <v>196</v>
      </c>
      <c r="E8" s="2" t="s">
        <v>251</v>
      </c>
      <c r="G8" s="19" t="s">
        <v>329</v>
      </c>
    </row>
    <row r="9" customFormat="false" ht="15" hidden="false" customHeight="false" outlineLevel="0" collapsed="false">
      <c r="B9" s="16" t="s">
        <v>367</v>
      </c>
      <c r="C9" s="21" t="n">
        <v>0.01</v>
      </c>
      <c r="D9" s="18" t="s">
        <v>192</v>
      </c>
      <c r="E9" s="2" t="s">
        <v>257</v>
      </c>
      <c r="G9" s="19" t="s">
        <v>368</v>
      </c>
    </row>
    <row r="10" customFormat="false" ht="15" hidden="false" customHeight="false" outlineLevel="0" collapsed="false">
      <c r="B10" s="16" t="s">
        <v>253</v>
      </c>
      <c r="C10" s="17" t="n">
        <v>0</v>
      </c>
      <c r="D10" s="18" t="s">
        <v>177</v>
      </c>
      <c r="E10" s="2" t="s">
        <v>254</v>
      </c>
      <c r="G10" s="19" t="s">
        <v>255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369</v>
      </c>
      <c r="C13" s="23" t="n">
        <f aca="false">Repayment_After-Repayment_Now</f>
        <v>170.259603630605</v>
      </c>
      <c r="D13" s="36" t="str">
        <f aca="false">IF(Monthly_Change&gt;=0,"+","−")&amp;TEXT(ABS(Monthly_Change),"€#,##0")</f>
        <v>+€170</v>
      </c>
      <c r="E13" s="24" t="s">
        <v>370</v>
      </c>
    </row>
    <row r="14" customFormat="false" ht="17.35" hidden="false" customHeight="false" outlineLevel="0" collapsed="false">
      <c r="B14" s="12" t="s">
        <v>341</v>
      </c>
      <c r="C14" s="23" t="n">
        <f aca="false">IF(Actual_Repayment&gt;0,Actual_Repayment,Formula_Now)</f>
        <v>1583.51052089333</v>
      </c>
      <c r="D14" s="18" t="s">
        <v>177</v>
      </c>
      <c r="E14" s="24" t="s">
        <v>371</v>
      </c>
    </row>
    <row r="15" customFormat="false" ht="17.35" hidden="false" customHeight="false" outlineLevel="0" collapsed="false">
      <c r="B15" s="12" t="s">
        <v>372</v>
      </c>
      <c r="C15" s="23" t="n">
        <f aca="false">Repayment_Now+PMT(New_Rate/12,Years_Left*12,-Mortgage_Balance)-Formula_Now</f>
        <v>1753.77012452394</v>
      </c>
      <c r="D15" s="18" t="s">
        <v>177</v>
      </c>
      <c r="E15" s="24" t="s">
        <v>373</v>
      </c>
    </row>
    <row r="16" customFormat="false" ht="15" hidden="false" customHeight="false" outlineLevel="0" collapsed="false">
      <c r="B16" s="16" t="s">
        <v>374</v>
      </c>
      <c r="C16" s="25" t="n">
        <f aca="false">Monthly_Change*12</f>
        <v>2043.11524356726</v>
      </c>
      <c r="D16" s="18" t="s">
        <v>177</v>
      </c>
      <c r="E16" s="24" t="s">
        <v>375</v>
      </c>
    </row>
    <row r="17" customFormat="false" ht="15" hidden="false" customHeight="false" outlineLevel="0" collapsed="false">
      <c r="B17" s="16" t="s">
        <v>376</v>
      </c>
      <c r="C17" s="25" t="n">
        <f aca="false">PMT(Current_Rate/12,Years_Left*12,-Mortgage_Balance)</f>
        <v>1583.51052089333</v>
      </c>
      <c r="D17" s="18" t="s">
        <v>177</v>
      </c>
      <c r="E17" s="24" t="s">
        <v>377</v>
      </c>
    </row>
    <row r="18" customFormat="false" ht="15" hidden="false" customHeight="false" outlineLevel="0" collapsed="false">
      <c r="B18" s="16" t="s">
        <v>378</v>
      </c>
      <c r="C18" s="38" t="n">
        <f aca="false">MAX(0,Current_Rate+Rate_Change)</f>
        <v>0.05</v>
      </c>
      <c r="D18" s="18" t="s">
        <v>192</v>
      </c>
      <c r="E18" s="24" t="s">
        <v>379</v>
      </c>
    </row>
    <row r="20" customFormat="false" ht="15" hidden="false" customHeight="false" outlineLevel="0" collapsed="false">
      <c r="B20" s="14" t="s">
        <v>223</v>
      </c>
      <c r="C20" s="28"/>
      <c r="D20" s="28"/>
      <c r="E20" s="28"/>
    </row>
    <row r="21" customFormat="false" ht="13.5" hidden="false" customHeight="true" outlineLevel="0" collapsed="false">
      <c r="B21" s="29" t="s">
        <v>380</v>
      </c>
      <c r="C21" s="29"/>
      <c r="D21" s="29"/>
      <c r="E21" s="29"/>
    </row>
    <row r="22" customFormat="false" ht="13.5" hidden="false" customHeight="true" outlineLevel="0" collapsed="false">
      <c r="B22" s="29" t="s">
        <v>381</v>
      </c>
      <c r="C22" s="29"/>
      <c r="D22" s="29"/>
      <c r="E22" s="29"/>
    </row>
    <row r="23" customFormat="false" ht="13.5" hidden="false" customHeight="true" outlineLevel="0" collapsed="false">
      <c r="B23" s="30" t="s">
        <v>227</v>
      </c>
      <c r="C23" s="30"/>
      <c r="D23" s="30"/>
      <c r="E23" s="30"/>
    </row>
    <row r="24" customFormat="false" ht="13.5" hidden="false" customHeight="true" outlineLevel="0" collapsed="false">
      <c r="B24" s="29" t="s">
        <v>382</v>
      </c>
      <c r="C24" s="29"/>
      <c r="D24" s="29"/>
      <c r="E24" s="29"/>
    </row>
    <row r="25" customFormat="false" ht="13.5" hidden="false" customHeight="true" outlineLevel="0" collapsed="false">
      <c r="B25" s="29" t="s">
        <v>230</v>
      </c>
      <c r="C25" s="29"/>
      <c r="D25" s="29"/>
      <c r="E25" s="29"/>
    </row>
    <row r="27" customFormat="false" ht="15" hidden="false" customHeight="false" outlineLevel="0" collapsed="false">
      <c r="B27" s="14" t="s">
        <v>231</v>
      </c>
      <c r="C27" s="28"/>
      <c r="D27" s="28"/>
      <c r="E27" s="28"/>
    </row>
    <row r="28" customFormat="false" ht="15" hidden="false" customHeight="false" outlineLevel="0" collapsed="false">
      <c r="B28" s="16" t="s">
        <v>232</v>
      </c>
      <c r="C28" s="31" t="str">
        <f aca="false">"No goal"</f>
        <v>No goal</v>
      </c>
      <c r="E28" s="32" t="s">
        <v>383</v>
      </c>
    </row>
  </sheetData>
  <mergeCells count="5">
    <mergeCell ref="B21:E21"/>
    <mergeCell ref="B22:E22"/>
    <mergeCell ref="B23:E23"/>
    <mergeCell ref="B24:E24"/>
    <mergeCell ref="B25:E25"/>
  </mergeCells>
  <dataValidations count="5">
    <dataValidation allowBlank="false" error="Please enter €0 to €100,000 · steps of €1." errorStyle="stop" errorTitle="Outside the allowed range" operator="between" prompt="Unit: €. Allowed: €0 to €100,000 · steps of €1." promptTitle="Your actual monthly repayment (o" showDropDown="false" showErrorMessage="true" showInputMessage="true" sqref="C10" type="decimal">
      <formula1>0</formula1>
      <formula2>100000</formula2>
    </dataValidation>
    <dataValidation allowBlank="false" error="Please enter €50,000 to €10,000,000 · steps of €1,000." errorStyle="stop" errorTitle="Outside the allowed range" operator="between" prompt="Unit: €. Allowed: €50,000 to €10,000,000 · steps of €1,000." promptTitle="Mortgage balance" showDropDown="false" showErrorMessage="true" showInputMessage="true" sqref="C6" type="decimal">
      <formula1>50000</formula1>
      <formula2>10000000</formula2>
    </dataValidation>
    <dataValidation allowBlank="false" error="Please enter 1% to 8% · steps of 0.05%." errorStyle="stop" errorTitle="Outside the allowed range" operator="between" prompt="Unit: %. Allowed: 1% to 8% · steps of 0.05%." promptTitle="Current rate" showDropDown="false" showErrorMessage="true" showInputMessage="true" sqref="C7" type="decimal">
      <formula1>0.01</formula1>
      <formula2>0.08</formula2>
    </dataValidation>
    <dataValidation allowBlank="false" error="Please enter 5 to 35 · steps of 1." errorStyle="stop" errorTitle="Outside the allowed range" operator="between" prompt="Unit: years. Allowed: 5 to 35 · steps of 1." promptTitle="Years left" showDropDown="false" showErrorMessage="true" showInputMessage="true" sqref="C8" type="whole">
      <formula1>5</formula1>
      <formula2>35</formula2>
    </dataValidation>
    <dataValidation allowBlank="false" error="Please enter -2% to 3% · steps of 0.25%." errorStyle="stop" errorTitle="Outside the allowed range" operator="between" prompt="Unit: %. Allowed: -2% to 3% · steps of 0.25%." promptTitle="Rate change" showDropDown="false" showErrorMessage="true" showInputMessage="true" sqref="C9" type="decimal">
      <formula1>-0.02</formula1>
      <formula2>0.03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384</v>
      </c>
      <c r="G1" s="2" t="s">
        <v>168</v>
      </c>
    </row>
    <row r="2" customFormat="false" ht="15" hidden="false" customHeight="false" outlineLevel="0" collapsed="false">
      <c r="B2" s="12" t="s">
        <v>385</v>
      </c>
      <c r="G2" s="2" t="s">
        <v>386</v>
      </c>
    </row>
    <row r="3" customFormat="false" ht="15" hidden="false" customHeight="false" outlineLevel="0" collapsed="false">
      <c r="B3" s="13" t="s">
        <v>387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244</v>
      </c>
      <c r="C6" s="17" t="n">
        <v>300000</v>
      </c>
      <c r="D6" s="18" t="s">
        <v>177</v>
      </c>
      <c r="E6" s="2" t="s">
        <v>245</v>
      </c>
      <c r="G6" s="19" t="s">
        <v>365</v>
      </c>
    </row>
    <row r="7" customFormat="false" ht="15" hidden="false" customHeight="false" outlineLevel="0" collapsed="false">
      <c r="B7" s="16" t="s">
        <v>247</v>
      </c>
      <c r="C7" s="21" t="n">
        <v>0.04</v>
      </c>
      <c r="D7" s="18" t="s">
        <v>192</v>
      </c>
      <c r="E7" s="2" t="s">
        <v>248</v>
      </c>
      <c r="G7" s="19" t="s">
        <v>326</v>
      </c>
    </row>
    <row r="8" customFormat="false" ht="15" hidden="false" customHeight="false" outlineLevel="0" collapsed="false">
      <c r="B8" s="16" t="s">
        <v>388</v>
      </c>
      <c r="C8" s="22" t="n">
        <v>25</v>
      </c>
      <c r="D8" s="18" t="s">
        <v>196</v>
      </c>
      <c r="E8" s="2" t="s">
        <v>251</v>
      </c>
      <c r="G8" s="19" t="s">
        <v>329</v>
      </c>
    </row>
    <row r="9" customFormat="false" ht="15" hidden="false" customHeight="false" outlineLevel="0" collapsed="false">
      <c r="B9" s="16" t="s">
        <v>389</v>
      </c>
      <c r="C9" s="22" t="n">
        <v>35</v>
      </c>
      <c r="D9" s="18" t="s">
        <v>196</v>
      </c>
      <c r="E9" s="2" t="s">
        <v>251</v>
      </c>
      <c r="G9" s="19" t="s">
        <v>390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23.85" hidden="false" customHeight="false" outlineLevel="0" collapsed="false">
      <c r="B12" s="12" t="s">
        <v>391</v>
      </c>
      <c r="C12" s="23" t="n">
        <f aca="false">ABS(Interest_B-Interest_A)</f>
        <v>82843.0174339777</v>
      </c>
      <c r="D12" s="36" t="str">
        <f aca="false">IF(Term_A=Term_B,"Both terms are the same.","The "&amp;MIN(Term_A,Term_B)&amp;"-year term costs more each month but less interest overall.")</f>
        <v>The 25-year term costs more each month but less interest overall.</v>
      </c>
      <c r="E12" s="24" t="s">
        <v>392</v>
      </c>
    </row>
    <row r="13" customFormat="false" ht="17.35" hidden="false" customHeight="false" outlineLevel="0" collapsed="false">
      <c r="B13" s="12" t="s">
        <v>393</v>
      </c>
      <c r="C13" s="23" t="n">
        <f aca="false">PMT(Interest_Rate/12,Term_A*12,-Loan_Amount)</f>
        <v>1583.51052089333</v>
      </c>
      <c r="D13" s="18" t="s">
        <v>177</v>
      </c>
      <c r="E13" s="24" t="s">
        <v>394</v>
      </c>
    </row>
    <row r="14" customFormat="false" ht="17.35" hidden="false" customHeight="false" outlineLevel="0" collapsed="false">
      <c r="B14" s="12" t="s">
        <v>395</v>
      </c>
      <c r="C14" s="23" t="n">
        <f aca="false">PMT(Interest_Rate/12,Term_B*12,-Loan_Amount)</f>
        <v>1328.32422309995</v>
      </c>
      <c r="D14" s="18" t="s">
        <v>177</v>
      </c>
      <c r="E14" s="24" t="s">
        <v>396</v>
      </c>
    </row>
    <row r="15" customFormat="false" ht="15" hidden="false" customHeight="false" outlineLevel="0" collapsed="false">
      <c r="B15" s="16" t="s">
        <v>397</v>
      </c>
      <c r="C15" s="25" t="n">
        <f aca="false">Monthly_A*Term_A*12-Loan_Amount</f>
        <v>175053.156267999</v>
      </c>
      <c r="D15" s="18" t="s">
        <v>177</v>
      </c>
      <c r="E15" s="24" t="s">
        <v>398</v>
      </c>
    </row>
    <row r="16" customFormat="false" ht="15" hidden="false" customHeight="false" outlineLevel="0" collapsed="false">
      <c r="B16" s="16" t="s">
        <v>399</v>
      </c>
      <c r="C16" s="25" t="n">
        <f aca="false">Monthly_B*Term_B*12-Loan_Amount</f>
        <v>257896.173701977</v>
      </c>
      <c r="D16" s="18" t="s">
        <v>177</v>
      </c>
      <c r="E16" s="24" t="s">
        <v>400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401</v>
      </c>
      <c r="C19" s="29"/>
      <c r="D19" s="29"/>
      <c r="E19" s="29"/>
    </row>
    <row r="20" customFormat="false" ht="13.5" hidden="false" customHeight="true" outlineLevel="0" collapsed="false">
      <c r="B20" s="29" t="s">
        <v>402</v>
      </c>
      <c r="C20" s="29"/>
      <c r="D20" s="29"/>
      <c r="E20" s="29"/>
    </row>
    <row r="21" customFormat="false" ht="13.5" hidden="false" customHeight="true" outlineLevel="0" collapsed="false">
      <c r="B21" s="30" t="s">
        <v>227</v>
      </c>
      <c r="C21" s="30"/>
      <c r="D21" s="30"/>
      <c r="E21" s="30"/>
    </row>
    <row r="22" customFormat="false" ht="13.5" hidden="false" customHeight="true" outlineLevel="0" collapsed="false">
      <c r="B22" s="29" t="s">
        <v>403</v>
      </c>
      <c r="C22" s="29"/>
      <c r="D22" s="29"/>
      <c r="E22" s="29"/>
    </row>
    <row r="23" customFormat="false" ht="13.5" hidden="false" customHeight="true" outlineLevel="0" collapsed="false">
      <c r="B23" s="29" t="s">
        <v>230</v>
      </c>
      <c r="C23" s="29"/>
      <c r="D23" s="29"/>
      <c r="E23" s="29"/>
    </row>
    <row r="25" customFormat="false" ht="15" hidden="false" customHeight="false" outlineLevel="0" collapsed="false">
      <c r="B25" s="14" t="s">
        <v>231</v>
      </c>
      <c r="C25" s="28"/>
      <c r="D25" s="28"/>
      <c r="E25" s="28"/>
    </row>
    <row r="26" customFormat="false" ht="15" hidden="false" customHeight="false" outlineLevel="0" collapsed="false">
      <c r="B26" s="16" t="s">
        <v>232</v>
      </c>
      <c r="C26" s="31" t="str">
        <f aca="false">"No goal"</f>
        <v>No goal</v>
      </c>
      <c r="E26" s="32" t="s">
        <v>383</v>
      </c>
    </row>
  </sheetData>
  <mergeCells count="5">
    <mergeCell ref="B19:E19"/>
    <mergeCell ref="B20:E20"/>
    <mergeCell ref="B21:E21"/>
    <mergeCell ref="B22:E22"/>
    <mergeCell ref="B23:E23"/>
  </mergeCells>
  <dataValidations count="4">
    <dataValidation allowBlank="false" error="Please enter €50,000 to €10,000,000 · steps of €1,000." errorStyle="stop" errorTitle="Outside the allowed range" operator="between" prompt="Unit: €. Allowed: €50,000 to €10,000,000 · steps of €1,000." promptTitle="Mortgage amount" showDropDown="false" showErrorMessage="true" showInputMessage="true" sqref="C6" type="decimal">
      <formula1>50000</formula1>
      <formula2>10000000</formula2>
    </dataValidation>
    <dataValidation allowBlank="false" error="Please enter 1% to 8% · steps of 0.05%." errorStyle="stop" errorTitle="Outside the allowed range" operator="between" prompt="Unit: %. Allowed: 1% to 8% · steps of 0.05%." promptTitle="Interest rate" showDropDown="false" showErrorMessage="true" showInputMessage="true" sqref="C7" type="decimal">
      <formula1>0.01</formula1>
      <formula2>0.08</formula2>
    </dataValidation>
    <dataValidation allowBlank="false" error="Please enter 5 to 35 · steps of 1." errorStyle="stop" errorTitle="Outside the allowed range" operator="between" prompt="Unit: years. Allowed: 5 to 35 · steps of 1." promptTitle="Term A" showDropDown="false" showErrorMessage="true" showInputMessage="true" sqref="C8" type="whole">
      <formula1>5</formula1>
      <formula2>35</formula2>
    </dataValidation>
    <dataValidation allowBlank="false" error="Please enter 5 to 35 · steps of 1." errorStyle="stop" errorTitle="Outside the allowed range" operator="between" prompt="Unit: years. Allowed: 5 to 35 · steps of 1." promptTitle="Term B" showDropDown="false" showErrorMessage="true" showInputMessage="true" sqref="C9" type="whole">
      <formula1>5</formula1>
      <formula2>35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404</v>
      </c>
      <c r="G1" s="2" t="s">
        <v>168</v>
      </c>
    </row>
    <row r="2" customFormat="false" ht="15" hidden="false" customHeight="false" outlineLevel="0" collapsed="false">
      <c r="B2" s="12" t="s">
        <v>405</v>
      </c>
      <c r="G2" s="2" t="s">
        <v>406</v>
      </c>
    </row>
    <row r="3" customFormat="false" ht="15" hidden="false" customHeight="false" outlineLevel="0" collapsed="false">
      <c r="B3" s="13" t="s">
        <v>407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408</v>
      </c>
      <c r="C6" s="17" t="n">
        <v>1800</v>
      </c>
      <c r="D6" s="18" t="s">
        <v>177</v>
      </c>
      <c r="E6" s="2" t="s">
        <v>409</v>
      </c>
      <c r="G6" s="19" t="s">
        <v>410</v>
      </c>
    </row>
    <row r="7" customFormat="false" ht="15" hidden="false" customHeight="false" outlineLevel="0" collapsed="false">
      <c r="B7" s="16" t="s">
        <v>292</v>
      </c>
      <c r="C7" s="17" t="n">
        <v>350000</v>
      </c>
      <c r="D7" s="18" t="s">
        <v>177</v>
      </c>
      <c r="E7" s="2" t="s">
        <v>293</v>
      </c>
      <c r="G7" s="19" t="s">
        <v>294</v>
      </c>
    </row>
    <row r="8" customFormat="false" ht="15" hidden="false" customHeight="false" outlineLevel="0" collapsed="false">
      <c r="B8" s="16" t="s">
        <v>411</v>
      </c>
      <c r="C8" s="17" t="n">
        <v>35000</v>
      </c>
      <c r="D8" s="18" t="s">
        <v>177</v>
      </c>
      <c r="E8" s="2" t="s">
        <v>412</v>
      </c>
      <c r="G8" s="19" t="s">
        <v>413</v>
      </c>
    </row>
    <row r="9" customFormat="false" ht="15" hidden="false" customHeight="false" outlineLevel="0" collapsed="false">
      <c r="B9" s="16" t="s">
        <v>414</v>
      </c>
      <c r="C9" s="21" t="n">
        <v>0.04</v>
      </c>
      <c r="D9" s="18" t="s">
        <v>192</v>
      </c>
      <c r="E9" s="2" t="s">
        <v>193</v>
      </c>
      <c r="G9" s="19" t="s">
        <v>194</v>
      </c>
    </row>
    <row r="10" customFormat="false" ht="15" hidden="false" customHeight="false" outlineLevel="0" collapsed="false">
      <c r="B10" s="16" t="s">
        <v>415</v>
      </c>
      <c r="C10" s="22" t="n">
        <v>10</v>
      </c>
      <c r="D10" s="18" t="s">
        <v>196</v>
      </c>
      <c r="E10" s="2" t="s">
        <v>416</v>
      </c>
      <c r="G10" s="19" t="s">
        <v>417</v>
      </c>
    </row>
    <row r="11" customFormat="false" ht="15" hidden="false" customHeight="false" outlineLevel="0" collapsed="false">
      <c r="B11" s="16" t="s">
        <v>418</v>
      </c>
      <c r="C11" s="21" t="n">
        <v>0.02</v>
      </c>
      <c r="D11" s="18" t="s">
        <v>192</v>
      </c>
      <c r="E11" s="2" t="s">
        <v>419</v>
      </c>
      <c r="G11" s="19" t="s">
        <v>420</v>
      </c>
    </row>
    <row r="13" customFormat="false" ht="15" hidden="false" customHeight="false" outlineLevel="0" collapsed="false">
      <c r="B13" s="14" t="s">
        <v>202</v>
      </c>
      <c r="C13" s="15" t="s">
        <v>203</v>
      </c>
      <c r="D13" s="15" t="s">
        <v>204</v>
      </c>
      <c r="E13" s="15" t="s">
        <v>205</v>
      </c>
    </row>
    <row r="14" customFormat="false" ht="17.35" hidden="false" customHeight="false" outlineLevel="0" collapsed="false">
      <c r="B14" s="12" t="s">
        <v>421</v>
      </c>
      <c r="C14" s="23" t="n">
        <f aca="false">Home_Value-Balance_After</f>
        <v>178478.575481686</v>
      </c>
      <c r="D14" s="18" t="s">
        <v>177</v>
      </c>
      <c r="E14" s="24" t="s">
        <v>422</v>
      </c>
    </row>
    <row r="15" customFormat="false" ht="17.35" hidden="false" customHeight="false" outlineLevel="0" collapsed="false">
      <c r="B15" s="12" t="s">
        <v>423</v>
      </c>
      <c r="C15" s="23" t="n">
        <f aca="false">Monthly_Rent*12*Years</f>
        <v>216000</v>
      </c>
      <c r="D15" s="18" t="s">
        <v>177</v>
      </c>
      <c r="E15" s="24" t="s">
        <v>424</v>
      </c>
    </row>
    <row r="16" customFormat="false" ht="17.35" hidden="false" customHeight="false" outlineLevel="0" collapsed="false">
      <c r="B16" s="12" t="s">
        <v>425</v>
      </c>
      <c r="C16" s="23" t="n">
        <f aca="false">Interest_Paid+Upkeep</f>
        <v>148632.453202423</v>
      </c>
      <c r="D16" s="18" t="s">
        <v>177</v>
      </c>
      <c r="E16" s="24" t="s">
        <v>426</v>
      </c>
    </row>
    <row r="17" customFormat="false" ht="15" hidden="false" customHeight="false" outlineLevel="0" collapsed="false">
      <c r="B17" s="16" t="s">
        <v>427</v>
      </c>
      <c r="C17" s="25" t="n">
        <f aca="false">Home_Price*(1+House_Growth)^Years</f>
        <v>426648.046998165</v>
      </c>
      <c r="D17" s="18" t="s">
        <v>177</v>
      </c>
      <c r="E17" s="24" t="s">
        <v>428</v>
      </c>
    </row>
    <row r="18" customFormat="false" ht="15" hidden="false" customHeight="false" outlineLevel="0" collapsed="false">
      <c r="B18" s="16" t="s">
        <v>429</v>
      </c>
      <c r="C18" s="25" t="n">
        <f aca="false">MAX(0,Home_Price-Deposit)</f>
        <v>315000</v>
      </c>
      <c r="D18" s="18" t="s">
        <v>177</v>
      </c>
      <c r="E18" s="24" t="s">
        <v>430</v>
      </c>
    </row>
    <row r="19" customFormat="false" ht="15" hidden="false" customHeight="false" outlineLevel="0" collapsed="false">
      <c r="B19" s="16" t="s">
        <v>431</v>
      </c>
      <c r="C19" s="25" t="n">
        <f aca="false">PMT(Mortgage_Rate/12,RentBuy_Term*12,-Loan)</f>
        <v>1503.8581807162</v>
      </c>
      <c r="D19" s="18" t="s">
        <v>177</v>
      </c>
      <c r="E19" s="24" t="s">
        <v>432</v>
      </c>
    </row>
    <row r="20" customFormat="false" ht="15" hidden="false" customHeight="false" outlineLevel="0" collapsed="false">
      <c r="B20" s="16" t="s">
        <v>433</v>
      </c>
      <c r="C20" s="25" t="n">
        <f aca="false">MAX(0,-FV(Mortgage_Rate/12,Years*12,-Monthly_Repayment,Loan))</f>
        <v>248169.471516479</v>
      </c>
      <c r="D20" s="18" t="s">
        <v>177</v>
      </c>
      <c r="E20" s="24" t="s">
        <v>434</v>
      </c>
    </row>
    <row r="21" customFormat="false" ht="15" hidden="false" customHeight="false" outlineLevel="0" collapsed="false">
      <c r="B21" s="16" t="s">
        <v>435</v>
      </c>
      <c r="C21" s="25" t="n">
        <f aca="false">Monthly_Repayment*Years*12-(Loan-Balance_After)</f>
        <v>113632.453202423</v>
      </c>
      <c r="D21" s="18" t="s">
        <v>177</v>
      </c>
      <c r="E21" s="24" t="s">
        <v>436</v>
      </c>
    </row>
    <row r="22" customFormat="false" ht="15" hidden="false" customHeight="false" outlineLevel="0" collapsed="false">
      <c r="B22" s="16" t="s">
        <v>437</v>
      </c>
      <c r="C22" s="25" t="n">
        <f aca="false">Home_Price*Upkeep_Rate*Years</f>
        <v>35000</v>
      </c>
      <c r="D22" s="18" t="s">
        <v>177</v>
      </c>
      <c r="E22" s="24" t="s">
        <v>438</v>
      </c>
    </row>
    <row r="24" customFormat="false" ht="15" hidden="false" customHeight="false" outlineLevel="0" collapsed="false">
      <c r="B24" s="14" t="s">
        <v>223</v>
      </c>
      <c r="C24" s="28"/>
      <c r="D24" s="28"/>
      <c r="E24" s="28"/>
    </row>
    <row r="25" customFormat="false" ht="13.5" hidden="false" customHeight="true" outlineLevel="0" collapsed="false">
      <c r="B25" s="29" t="s">
        <v>439</v>
      </c>
      <c r="C25" s="29"/>
      <c r="D25" s="29"/>
      <c r="E25" s="29"/>
    </row>
    <row r="26" customFormat="false" ht="13.5" hidden="false" customHeight="true" outlineLevel="0" collapsed="false">
      <c r="B26" s="29" t="s">
        <v>440</v>
      </c>
      <c r="C26" s="29"/>
      <c r="D26" s="29"/>
      <c r="E26" s="29"/>
    </row>
    <row r="27" customFormat="false" ht="27.75" hidden="false" customHeight="true" outlineLevel="0" collapsed="false">
      <c r="B27" s="29" t="s">
        <v>441</v>
      </c>
      <c r="C27" s="29"/>
      <c r="D27" s="29"/>
      <c r="E27" s="29"/>
    </row>
    <row r="28" customFormat="false" ht="13.5" hidden="false" customHeight="true" outlineLevel="0" collapsed="false">
      <c r="B28" s="30" t="s">
        <v>227</v>
      </c>
      <c r="C28" s="30"/>
      <c r="D28" s="30"/>
      <c r="E28" s="30"/>
    </row>
    <row r="29" customFormat="false" ht="13.5" hidden="false" customHeight="true" outlineLevel="0" collapsed="false">
      <c r="B29" s="29" t="s">
        <v>442</v>
      </c>
      <c r="C29" s="29"/>
      <c r="D29" s="29"/>
      <c r="E29" s="29"/>
    </row>
    <row r="30" customFormat="false" ht="13.5" hidden="false" customHeight="true" outlineLevel="0" collapsed="false">
      <c r="B30" s="29" t="s">
        <v>443</v>
      </c>
      <c r="C30" s="29"/>
      <c r="D30" s="29"/>
      <c r="E30" s="29"/>
    </row>
    <row r="32" customFormat="false" ht="15" hidden="false" customHeight="false" outlineLevel="0" collapsed="false">
      <c r="B32" s="14" t="s">
        <v>231</v>
      </c>
      <c r="C32" s="28"/>
      <c r="D32" s="28"/>
      <c r="E32" s="28"/>
    </row>
    <row r="33" customFormat="false" ht="15" hidden="false" customHeight="false" outlineLevel="0" collapsed="false">
      <c r="B33" s="16" t="s">
        <v>232</v>
      </c>
      <c r="C33" s="31" t="str">
        <f aca="false">"Buy a home (deposit goal)"</f>
        <v>Buy a home (deposit goal)</v>
      </c>
      <c r="E33" s="32" t="s">
        <v>233</v>
      </c>
    </row>
    <row r="34" customFormat="false" ht="15" hidden="false" customHeight="false" outlineLevel="0" collapsed="false">
      <c r="B34" s="16" t="s">
        <v>234</v>
      </c>
      <c r="C34" s="33" t="n">
        <f aca="false">Deposit</f>
        <v>35000</v>
      </c>
      <c r="E34" s="32" t="s">
        <v>444</v>
      </c>
    </row>
    <row r="35" customFormat="false" ht="15" hidden="false" customHeight="false" outlineLevel="0" collapsed="false">
      <c r="B35" s="16" t="s">
        <v>238</v>
      </c>
      <c r="C35" s="34" t="n">
        <f aca="false">Home_Goal_Years</f>
        <v>3</v>
      </c>
      <c r="E35" s="32" t="s">
        <v>239</v>
      </c>
    </row>
  </sheetData>
  <mergeCells count="6">
    <mergeCell ref="B25:E25"/>
    <mergeCell ref="B26:E26"/>
    <mergeCell ref="B27:E27"/>
    <mergeCell ref="B28:E28"/>
    <mergeCell ref="B29:E29"/>
    <mergeCell ref="B30:E30"/>
  </mergeCells>
  <dataValidations count="6">
    <dataValidation allowBlank="false" error="Please enter €100,000 to €10,000,000 · steps of €5,000." errorStyle="stop" errorTitle="Outside the allowed range" operator="between" prompt="Unit: €. Allowed: €100,000 to €10,000,000 · steps of €5,000." promptTitle="Home price" showDropDown="false" showErrorMessage="true" showInputMessage="true" sqref="C7" type="decimal">
      <formula1>100000</formula1>
      <formula2>10000000</formula2>
    </dataValidation>
    <dataValidation allowBlank="false" error="Please enter €500 to €50,000 · steps of €50." errorStyle="stop" errorTitle="Outside the allowed range" operator="between" prompt="Unit: €. Allowed: €500 to €50,000 · steps of €50." promptTitle="Monthly rent" showDropDown="false" showErrorMessage="true" showInputMessage="true" sqref="C6" type="decimal">
      <formula1>500</formula1>
      <formula2>50000</formula2>
    </dataValidation>
    <dataValidation allowBlank="false" error="Please enter at least 10% of the price and no more than the price." errorStyle="stop" errorTitle="Outside the allowed range" operator="between" prompt="Unit: €. Allowed: at least 10% of the price and no more than the price." promptTitle="Deposit" showDropDown="false" showErrorMessage="true" showInputMessage="true" sqref="C8" type="custom">
      <formula1>AND('C07 Rent vs buy'!Deposit&gt;=Min_Deposit_Pct*'C07 Rent vs buy'!Home_Price,'C07 Rent vs buy'!Deposit&lt;='C07 Rent vs buy'!Home_Price)</formula1>
      <formula2>0</formula2>
    </dataValidation>
    <dataValidation allowBlank="false" error="Please enter 1% to 8% · steps of 0.1%." errorStyle="stop" errorTitle="Outside the allowed range" operator="between" prompt="Unit: %. Allowed: 1% to 8% · steps of 0.1%." promptTitle="Mortgage rate" showDropDown="false" showErrorMessage="true" showInputMessage="true" sqref="C9" type="decimal">
      <formula1>0.01</formula1>
      <formula2>0.08</formula2>
    </dataValidation>
    <dataValidation allowBlank="false" error="Please enter 1 to 30 · steps of 1." errorStyle="stop" errorTitle="Outside the allowed range" operator="between" prompt="Unit: years. Allowed: 1 to 30 · steps of 1." promptTitle="Years to compare" showDropDown="false" showErrorMessage="true" showInputMessage="true" sqref="C10" type="whole">
      <formula1>1</formula1>
      <formula2>30</formula2>
    </dataValidation>
    <dataValidation allowBlank="false" error="Please enter 0% to 6% · steps of 0.5%." errorStyle="stop" errorTitle="Outside the allowed range" operator="between" prompt="Unit: %. Allowed: 0% to 6% · steps of 0.5%." promptTitle="House price growth a year" showDropDown="false" showErrorMessage="true" showInputMessage="true" sqref="C11" type="decimal">
      <formula1>0</formula1>
      <formula2>0.06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445</v>
      </c>
      <c r="G1" s="2" t="s">
        <v>446</v>
      </c>
    </row>
    <row r="2" customFormat="false" ht="15" hidden="false" customHeight="false" outlineLevel="0" collapsed="false">
      <c r="B2" s="12" t="s">
        <v>447</v>
      </c>
      <c r="G2" s="2" t="s">
        <v>448</v>
      </c>
    </row>
    <row r="3" customFormat="false" ht="15" hidden="false" customHeight="false" outlineLevel="0" collapsed="false">
      <c r="B3" s="13" t="s">
        <v>449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450</v>
      </c>
      <c r="C6" s="17" t="n">
        <v>15000</v>
      </c>
      <c r="D6" s="18" t="s">
        <v>177</v>
      </c>
      <c r="E6" s="2" t="s">
        <v>451</v>
      </c>
      <c r="G6" s="19" t="s">
        <v>452</v>
      </c>
    </row>
    <row r="7" customFormat="false" ht="15" hidden="false" customHeight="false" outlineLevel="0" collapsed="false">
      <c r="B7" s="16" t="s">
        <v>453</v>
      </c>
      <c r="C7" s="22" t="n">
        <v>3</v>
      </c>
      <c r="D7" s="18" t="s">
        <v>196</v>
      </c>
      <c r="E7" s="2" t="s">
        <v>416</v>
      </c>
      <c r="G7" s="19" t="s">
        <v>454</v>
      </c>
    </row>
    <row r="8" customFormat="false" ht="15" hidden="false" customHeight="false" outlineLevel="0" collapsed="false">
      <c r="B8" s="16" t="s">
        <v>236</v>
      </c>
      <c r="C8" s="17" t="n">
        <v>2000</v>
      </c>
      <c r="D8" s="18" t="s">
        <v>177</v>
      </c>
      <c r="E8" s="2" t="s">
        <v>299</v>
      </c>
      <c r="G8" s="19" t="s">
        <v>455</v>
      </c>
    </row>
    <row r="9" customFormat="false" ht="15" hidden="false" customHeight="false" outlineLevel="0" collapsed="false">
      <c r="B9" s="16" t="s">
        <v>456</v>
      </c>
      <c r="C9" s="21" t="n">
        <v>0.02</v>
      </c>
      <c r="D9" s="18" t="s">
        <v>192</v>
      </c>
      <c r="E9" s="2" t="s">
        <v>457</v>
      </c>
      <c r="G9" s="19" t="s">
        <v>420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458</v>
      </c>
      <c r="C12" s="23" t="n">
        <f aca="false">PMT(Monthly_Growth,Years*12,0,-Still_Needed)</f>
        <v>372.250796843964</v>
      </c>
      <c r="D12" s="18" t="s">
        <v>177</v>
      </c>
      <c r="E12" s="24" t="s">
        <v>459</v>
      </c>
    </row>
    <row r="13" customFormat="false" ht="17.35" hidden="false" customHeight="false" outlineLevel="0" collapsed="false">
      <c r="B13" s="12" t="s">
        <v>460</v>
      </c>
      <c r="C13" s="23" t="n">
        <f aca="false">Goal_Amount*(1+Inflation)^Years</f>
        <v>15918.12</v>
      </c>
      <c r="D13" s="18" t="s">
        <v>177</v>
      </c>
      <c r="E13" s="24" t="s">
        <v>461</v>
      </c>
    </row>
    <row r="14" customFormat="false" ht="15" hidden="false" customHeight="false" outlineLevel="0" collapsed="false">
      <c r="B14" s="16" t="s">
        <v>462</v>
      </c>
      <c r="C14" s="25" t="n">
        <f aca="false">Saved*(1+Growth_Rate)^Years</f>
        <v>2122.416</v>
      </c>
      <c r="D14" s="18" t="s">
        <v>177</v>
      </c>
      <c r="E14" s="24" t="s">
        <v>463</v>
      </c>
    </row>
    <row r="15" customFormat="false" ht="15" hidden="false" customHeight="false" outlineLevel="0" collapsed="false">
      <c r="B15" s="16" t="s">
        <v>464</v>
      </c>
      <c r="C15" s="25" t="n">
        <f aca="false">MAX(0,Future_Cost-Saved_Grows_To)</f>
        <v>13795.704</v>
      </c>
      <c r="D15" s="18" t="s">
        <v>177</v>
      </c>
      <c r="E15" s="24" t="s">
        <v>465</v>
      </c>
    </row>
    <row r="16" customFormat="false" ht="15" hidden="false" customHeight="false" outlineLevel="0" collapsed="false">
      <c r="B16" s="16" t="s">
        <v>466</v>
      </c>
      <c r="C16" s="37" t="n">
        <f aca="false">(1+Growth_Rate)^(1/12)-1</f>
        <v>0.00165158130192022</v>
      </c>
      <c r="D16" s="18"/>
      <c r="E16" s="24" t="s">
        <v>467</v>
      </c>
    </row>
    <row r="17" customFormat="false" ht="15" hidden="false" customHeight="false" outlineLevel="0" collapsed="false">
      <c r="B17" s="42" t="str">
        <f aca="false">"Before tax: deposit interest pays DIRT at "&amp;TEXT(DIRT,"0%")&amp;"; investment funds and life policies pay exit tax at "&amp;TEXT(Exit_Tax,"0%")&amp;" (plus 8-year deemed disposal). No tax is taken off here."</f>
        <v>Before tax: deposit interest pays DIRT at 33%; investment funds and life policies pay exit tax at 38% (plus 8-year deemed disposal). No tax is taken off here.</v>
      </c>
      <c r="C17" s="42"/>
      <c r="D17" s="42"/>
      <c r="E17" s="42"/>
    </row>
    <row r="19" customFormat="false" ht="15" hidden="false" customHeight="false" outlineLevel="0" collapsed="false">
      <c r="B19" s="14" t="s">
        <v>223</v>
      </c>
      <c r="C19" s="28"/>
      <c r="D19" s="28"/>
      <c r="E19" s="28"/>
    </row>
    <row r="20" customFormat="false" ht="13.5" hidden="false" customHeight="true" outlineLevel="0" collapsed="false">
      <c r="B20" s="29" t="s">
        <v>468</v>
      </c>
      <c r="C20" s="29"/>
      <c r="D20" s="29"/>
      <c r="E20" s="29"/>
    </row>
    <row r="21" customFormat="false" ht="13.5" hidden="false" customHeight="true" outlineLevel="0" collapsed="false">
      <c r="B21" s="29" t="s">
        <v>469</v>
      </c>
      <c r="C21" s="29"/>
      <c r="D21" s="29"/>
      <c r="E21" s="29"/>
    </row>
    <row r="22" customFormat="false" ht="13.5" hidden="false" customHeight="true" outlineLevel="0" collapsed="false">
      <c r="B22" s="29" t="s">
        <v>470</v>
      </c>
      <c r="C22" s="29"/>
      <c r="D22" s="29"/>
      <c r="E22" s="29"/>
    </row>
    <row r="23" customFormat="false" ht="13.5" hidden="false" customHeight="true" outlineLevel="0" collapsed="false">
      <c r="B23" s="30" t="s">
        <v>227</v>
      </c>
      <c r="C23" s="30"/>
      <c r="D23" s="30"/>
      <c r="E23" s="30"/>
    </row>
    <row r="24" customFormat="false" ht="13.5" hidden="false" customHeight="true" outlineLevel="0" collapsed="false">
      <c r="B24" s="29" t="s">
        <v>471</v>
      </c>
      <c r="C24" s="29"/>
      <c r="D24" s="29"/>
      <c r="E24" s="29"/>
    </row>
    <row r="25" customFormat="false" ht="13.5" hidden="false" customHeight="true" outlineLevel="0" collapsed="false">
      <c r="B25" s="29" t="s">
        <v>472</v>
      </c>
      <c r="C25" s="29"/>
      <c r="D25" s="29"/>
      <c r="E25" s="29"/>
    </row>
    <row r="27" customFormat="false" ht="15" hidden="false" customHeight="false" outlineLevel="0" collapsed="false">
      <c r="B27" s="14" t="s">
        <v>231</v>
      </c>
      <c r="C27" s="28"/>
      <c r="D27" s="28"/>
      <c r="E27" s="28"/>
    </row>
    <row r="28" customFormat="false" ht="15" hidden="false" customHeight="false" outlineLevel="0" collapsed="false">
      <c r="B28" s="16" t="s">
        <v>232</v>
      </c>
      <c r="C28" s="31" t="str">
        <f aca="false">"My goal (spend goal)"</f>
        <v>My goal (spend goal)</v>
      </c>
      <c r="E28" s="32" t="s">
        <v>473</v>
      </c>
    </row>
    <row r="29" customFormat="false" ht="15" hidden="false" customHeight="false" outlineLevel="0" collapsed="false">
      <c r="B29" s="16" t="s">
        <v>474</v>
      </c>
      <c r="C29" s="33" t="n">
        <f aca="false">Goal_Amount</f>
        <v>15000</v>
      </c>
      <c r="E29" s="32" t="s">
        <v>475</v>
      </c>
    </row>
    <row r="30" customFormat="false" ht="15" hidden="false" customHeight="false" outlineLevel="0" collapsed="false">
      <c r="B30" s="16" t="s">
        <v>236</v>
      </c>
      <c r="C30" s="33" t="n">
        <f aca="false">Saved</f>
        <v>2000</v>
      </c>
      <c r="E30" s="32" t="s">
        <v>317</v>
      </c>
    </row>
    <row r="31" customFormat="false" ht="15" hidden="false" customHeight="false" outlineLevel="0" collapsed="false">
      <c r="B31" s="16" t="s">
        <v>238</v>
      </c>
      <c r="C31" s="34" t="n">
        <f aca="false">Years</f>
        <v>3</v>
      </c>
      <c r="E31" s="32" t="s">
        <v>476</v>
      </c>
    </row>
  </sheetData>
  <mergeCells count="7">
    <mergeCell ref="B17:E17"/>
    <mergeCell ref="B20:E20"/>
    <mergeCell ref="B21:E21"/>
    <mergeCell ref="B22:E22"/>
    <mergeCell ref="B23:E23"/>
    <mergeCell ref="B24:E24"/>
    <mergeCell ref="B25:E25"/>
  </mergeCells>
  <dataValidations count="4">
    <dataValidation allowBlank="false" error="Please enter €500 to €5,000,000 · steps of €500." errorStyle="stop" errorTitle="Outside the allowed range" operator="between" prompt="Unit: €. Allowed: €500 to €5,000,000 · steps of €500." promptTitle="Goal amount (today's prices)" showDropDown="false" showErrorMessage="true" showInputMessage="true" sqref="C6" type="decimal">
      <formula1>500</formula1>
      <formula2>5000000</formula2>
    </dataValidation>
    <dataValidation allowBlank="false" error="Please enter 1 to 30 · steps of 1." errorStyle="stop" errorTitle="Outside the allowed range" operator="between" prompt="Unit: years. Allowed: 1 to 30 · steps of 1." promptTitle="Years until the goal" showDropDown="false" showErrorMessage="true" showInputMessage="true" sqref="C7" type="whole">
      <formula1>1</formula1>
      <formula2>30</formula2>
    </dataValidation>
    <dataValidation allowBlank="false" error="Please enter €0 to €2,000,000 · steps of €500." errorStyle="stop" errorTitle="Outside the allowed range" operator="between" prompt="Unit: €. Allowed: €0 to €2,000,000 · steps of €500." promptTitle="Already saved" showDropDown="false" showErrorMessage="true" showInputMessage="true" sqref="C8" type="decimal">
      <formula1>0</formula1>
      <formula2>2000000</formula2>
    </dataValidation>
    <dataValidation allowBlank="false" error="Please enter 0% to 7% · steps of 0.5%." errorStyle="stop" errorTitle="Outside the allowed range" operator="between" prompt="Unit: %. Allowed: 0% to 7% · steps of 0.5%." promptTitle="Growth / interest a year" showDropDown="false" showErrorMessage="true" showInputMessage="true" sqref="C9" type="decimal">
      <formula1>0</formula1>
      <formula2>0.07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477</v>
      </c>
      <c r="G1" s="2" t="s">
        <v>446</v>
      </c>
    </row>
    <row r="2" customFormat="false" ht="15" hidden="false" customHeight="false" outlineLevel="0" collapsed="false">
      <c r="B2" s="12" t="s">
        <v>478</v>
      </c>
      <c r="G2" s="2" t="s">
        <v>479</v>
      </c>
    </row>
    <row r="3" customFormat="false" ht="15" hidden="false" customHeight="false" outlineLevel="0" collapsed="false">
      <c r="B3" s="13" t="s">
        <v>480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481</v>
      </c>
      <c r="C6" s="17" t="n">
        <v>5000</v>
      </c>
      <c r="D6" s="18" t="s">
        <v>177</v>
      </c>
      <c r="E6" s="2" t="s">
        <v>299</v>
      </c>
      <c r="G6" s="19" t="s">
        <v>482</v>
      </c>
    </row>
    <row r="7" customFormat="false" ht="15" hidden="false" customHeight="false" outlineLevel="0" collapsed="false">
      <c r="B7" s="16" t="s">
        <v>483</v>
      </c>
      <c r="C7" s="17" t="n">
        <v>200</v>
      </c>
      <c r="D7" s="18" t="s">
        <v>177</v>
      </c>
      <c r="E7" s="2" t="s">
        <v>484</v>
      </c>
      <c r="G7" s="19" t="s">
        <v>332</v>
      </c>
    </row>
    <row r="8" customFormat="false" ht="15" hidden="false" customHeight="false" outlineLevel="0" collapsed="false">
      <c r="B8" s="16" t="s">
        <v>485</v>
      </c>
      <c r="C8" s="21" t="n">
        <v>0.04</v>
      </c>
      <c r="D8" s="18" t="s">
        <v>192</v>
      </c>
      <c r="E8" s="2" t="s">
        <v>486</v>
      </c>
      <c r="G8" s="19" t="s">
        <v>194</v>
      </c>
    </row>
    <row r="9" customFormat="false" ht="15" hidden="false" customHeight="false" outlineLevel="0" collapsed="false">
      <c r="B9" s="16" t="s">
        <v>487</v>
      </c>
      <c r="C9" s="22" t="n">
        <v>20</v>
      </c>
      <c r="D9" s="18" t="s">
        <v>196</v>
      </c>
      <c r="E9" s="2" t="s">
        <v>488</v>
      </c>
      <c r="G9" s="19" t="s">
        <v>489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490</v>
      </c>
      <c r="C12" s="23" t="n">
        <f aca="false">FV(Monthly_Growth,Years*12,-Monthly_Addition,-Starting_Amount)</f>
        <v>83723.9615385111</v>
      </c>
      <c r="D12" s="18" t="s">
        <v>177</v>
      </c>
      <c r="E12" s="24" t="s">
        <v>491</v>
      </c>
    </row>
    <row r="13" customFormat="false" ht="17.35" hidden="false" customHeight="false" outlineLevel="0" collapsed="false">
      <c r="B13" s="12" t="s">
        <v>492</v>
      </c>
      <c r="C13" s="23" t="n">
        <f aca="false">Grows_To/(1+Inflation)^Years</f>
        <v>56343.8260096596</v>
      </c>
      <c r="D13" s="18" t="s">
        <v>177</v>
      </c>
      <c r="E13" s="24" t="s">
        <v>493</v>
      </c>
    </row>
    <row r="14" customFormat="false" ht="15" hidden="false" customHeight="false" outlineLevel="0" collapsed="false">
      <c r="B14" s="16" t="s">
        <v>494</v>
      </c>
      <c r="C14" s="25" t="n">
        <f aca="false">Starting_Amount+Monthly_Addition*12*Years</f>
        <v>53000</v>
      </c>
      <c r="D14" s="18" t="s">
        <v>177</v>
      </c>
      <c r="E14" s="24" t="s">
        <v>495</v>
      </c>
    </row>
    <row r="15" customFormat="false" ht="15" hidden="false" customHeight="false" outlineLevel="0" collapsed="false">
      <c r="B15" s="16" t="s">
        <v>496</v>
      </c>
      <c r="C15" s="25" t="n">
        <f aca="false">Grows_To-Paid_In</f>
        <v>30723.9615385111</v>
      </c>
      <c r="D15" s="18" t="s">
        <v>177</v>
      </c>
      <c r="E15" s="24" t="s">
        <v>497</v>
      </c>
    </row>
    <row r="16" customFormat="false" ht="15" hidden="false" customHeight="false" outlineLevel="0" collapsed="false">
      <c r="B16" s="16" t="s">
        <v>466</v>
      </c>
      <c r="C16" s="37" t="n">
        <f aca="false">(1+Growth_Rate)^(1/12)-1</f>
        <v>0.00327373978219891</v>
      </c>
      <c r="D16" s="18"/>
      <c r="E16" s="24" t="s">
        <v>467</v>
      </c>
    </row>
    <row r="17" customFormat="false" ht="15" hidden="false" customHeight="false" outlineLevel="0" collapsed="false">
      <c r="B17" s="42" t="str">
        <f aca="false">"Before tax: deposit interest pays DIRT at "&amp;TEXT(DIRT,"0%")&amp;"; investment funds and life policies pay exit tax at "&amp;TEXT(Exit_Tax,"0%")&amp;" (plus 8-year deemed disposal). No tax is taken off here."</f>
        <v>Before tax: deposit interest pays DIRT at 33%; investment funds and life policies pay exit tax at 38% (plus 8-year deemed disposal). No tax is taken off here.</v>
      </c>
      <c r="C17" s="42"/>
      <c r="D17" s="42"/>
      <c r="E17" s="42"/>
    </row>
    <row r="19" customFormat="false" ht="15" hidden="false" customHeight="false" outlineLevel="0" collapsed="false">
      <c r="B19" s="14" t="s">
        <v>223</v>
      </c>
      <c r="C19" s="28"/>
      <c r="D19" s="28"/>
      <c r="E19" s="28"/>
    </row>
    <row r="20" customFormat="false" ht="27.75" hidden="false" customHeight="true" outlineLevel="0" collapsed="false">
      <c r="B20" s="29" t="s">
        <v>498</v>
      </c>
      <c r="C20" s="29"/>
      <c r="D20" s="29"/>
      <c r="E20" s="29"/>
    </row>
    <row r="21" customFormat="false" ht="13.5" hidden="false" customHeight="true" outlineLevel="0" collapsed="false">
      <c r="B21" s="29" t="s">
        <v>499</v>
      </c>
      <c r="C21" s="29"/>
      <c r="D21" s="29"/>
      <c r="E21" s="29"/>
    </row>
    <row r="22" customFormat="false" ht="13.5" hidden="false" customHeight="true" outlineLevel="0" collapsed="false">
      <c r="B22" s="30" t="s">
        <v>227</v>
      </c>
      <c r="C22" s="30"/>
      <c r="D22" s="30"/>
      <c r="E22" s="30"/>
    </row>
    <row r="23" customFormat="false" ht="13.5" hidden="false" customHeight="true" outlineLevel="0" collapsed="false">
      <c r="B23" s="29" t="s">
        <v>500</v>
      </c>
      <c r="C23" s="29"/>
      <c r="D23" s="29"/>
      <c r="E23" s="29"/>
    </row>
    <row r="24" customFormat="false" ht="13.5" hidden="false" customHeight="true" outlineLevel="0" collapsed="false">
      <c r="B24" s="29" t="s">
        <v>501</v>
      </c>
      <c r="C24" s="29"/>
      <c r="D24" s="29"/>
      <c r="E24" s="29"/>
    </row>
    <row r="26" customFormat="false" ht="15" hidden="false" customHeight="false" outlineLevel="0" collapsed="false">
      <c r="B26" s="14" t="s">
        <v>231</v>
      </c>
      <c r="C26" s="28"/>
      <c r="D26" s="28"/>
      <c r="E26" s="28"/>
    </row>
    <row r="27" customFormat="false" ht="15" hidden="false" customHeight="false" outlineLevel="0" collapsed="false">
      <c r="B27" s="16" t="s">
        <v>232</v>
      </c>
      <c r="C27" s="31" t="str">
        <f aca="false">"Grow my wealth (plan kind pot)"</f>
        <v>Grow my wealth (plan kind pot)</v>
      </c>
      <c r="E27" s="32" t="s">
        <v>502</v>
      </c>
    </row>
    <row r="28" customFormat="false" ht="15" hidden="false" customHeight="false" outlineLevel="0" collapsed="false">
      <c r="B28" s="16" t="s">
        <v>234</v>
      </c>
      <c r="C28" s="33" t="n">
        <f aca="false">ROUND(Value_Today,0)</f>
        <v>56344</v>
      </c>
      <c r="E28" s="32" t="s">
        <v>503</v>
      </c>
    </row>
    <row r="29" customFormat="false" ht="15" hidden="false" customHeight="false" outlineLevel="0" collapsed="false">
      <c r="B29" s="16" t="s">
        <v>238</v>
      </c>
      <c r="C29" s="34" t="n">
        <f aca="false">Years</f>
        <v>20</v>
      </c>
      <c r="E29" s="32" t="s">
        <v>476</v>
      </c>
    </row>
    <row r="30" customFormat="false" ht="13.5" hidden="false" customHeight="true" outlineLevel="0" collapsed="false">
      <c r="B30" s="39" t="s">
        <v>504</v>
      </c>
      <c r="C30" s="39"/>
      <c r="D30" s="39"/>
      <c r="E30" s="39"/>
    </row>
  </sheetData>
  <mergeCells count="7">
    <mergeCell ref="B17:E17"/>
    <mergeCell ref="B20:E20"/>
    <mergeCell ref="B21:E21"/>
    <mergeCell ref="B22:E22"/>
    <mergeCell ref="B23:E23"/>
    <mergeCell ref="B24:E24"/>
    <mergeCell ref="B30:E30"/>
  </mergeCells>
  <dataValidations count="4">
    <dataValidation allowBlank="false" error="Please enter €0 to €2,000,000 · steps of €500." errorStyle="stop" errorTitle="Outside the allowed range" operator="between" prompt="Unit: €. Allowed: €0 to €2,000,000 · steps of €500." promptTitle="Starting amount" showDropDown="false" showErrorMessage="true" showInputMessage="true" sqref="C6" type="decimal">
      <formula1>0</formula1>
      <formula2>2000000</formula2>
    </dataValidation>
    <dataValidation allowBlank="false" error="Please enter €0 to €30,000 · steps of €25." errorStyle="stop" errorTitle="Outside the allowed range" operator="between" prompt="Unit: €. Allowed: €0 to €30,000 · steps of €25." promptTitle="Monthly addition" showDropDown="false" showErrorMessage="true" showInputMessage="true" sqref="C7" type="decimal">
      <formula1>0</formula1>
      <formula2>30000</formula2>
    </dataValidation>
    <dataValidation allowBlank="false" error="Please enter 0% to 8% · steps of 0.5%." errorStyle="stop" errorTitle="Outside the allowed range" operator="between" prompt="Unit: %. Allowed: 0% to 8% · steps of 0.5%." promptTitle="Growth rate a year" showDropDown="false" showErrorMessage="true" showInputMessage="true" sqref="C8" type="decimal">
      <formula1>0</formula1>
      <formula2>0.08</formula2>
    </dataValidation>
    <dataValidation allowBlank="false" error="Please enter 1 to 40 · steps of 1." errorStyle="stop" errorTitle="Outside the allowed range" operator="between" prompt="Unit: years. Allowed: 1 to 40 · steps of 1." promptTitle="Years" showDropDown="false" showErrorMessage="true" showInputMessage="true" sqref="C9" type="whole">
      <formula1>1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505</v>
      </c>
      <c r="G1" s="2" t="s">
        <v>506</v>
      </c>
    </row>
    <row r="2" customFormat="false" ht="15" hidden="false" customHeight="false" outlineLevel="0" collapsed="false">
      <c r="B2" s="12" t="s">
        <v>507</v>
      </c>
      <c r="G2" s="2" t="s">
        <v>508</v>
      </c>
    </row>
    <row r="3" customFormat="false" ht="15" hidden="false" customHeight="false" outlineLevel="0" collapsed="false">
      <c r="B3" s="13" t="s">
        <v>509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510</v>
      </c>
      <c r="C6" s="17" t="n">
        <v>10000</v>
      </c>
      <c r="D6" s="18" t="s">
        <v>177</v>
      </c>
      <c r="E6" s="2" t="s">
        <v>511</v>
      </c>
      <c r="G6" s="19" t="s">
        <v>512</v>
      </c>
    </row>
    <row r="7" customFormat="false" ht="15" hidden="false" customHeight="false" outlineLevel="0" collapsed="false">
      <c r="B7" s="16" t="s">
        <v>513</v>
      </c>
      <c r="C7" s="21" t="n">
        <v>0.04</v>
      </c>
      <c r="D7" s="18" t="s">
        <v>192</v>
      </c>
      <c r="E7" s="2" t="s">
        <v>486</v>
      </c>
      <c r="G7" s="19" t="s">
        <v>194</v>
      </c>
    </row>
    <row r="8" customFormat="false" ht="15" hidden="false" customHeight="false" outlineLevel="0" collapsed="false">
      <c r="B8" s="16" t="s">
        <v>487</v>
      </c>
      <c r="C8" s="22" t="n">
        <v>15</v>
      </c>
      <c r="D8" s="18" t="s">
        <v>196</v>
      </c>
      <c r="E8" s="2" t="s">
        <v>488</v>
      </c>
      <c r="G8" s="19" t="s">
        <v>514</v>
      </c>
    </row>
    <row r="9" customFormat="false" ht="15" hidden="false" customHeight="false" outlineLevel="0" collapsed="false">
      <c r="B9" s="16" t="s">
        <v>515</v>
      </c>
      <c r="C9" s="21" t="n">
        <v>0</v>
      </c>
      <c r="D9" s="18" t="s">
        <v>192</v>
      </c>
      <c r="E9" s="2" t="s">
        <v>516</v>
      </c>
      <c r="G9" s="19" t="s">
        <v>258</v>
      </c>
    </row>
    <row r="10" customFormat="false" ht="15" hidden="false" customHeight="false" outlineLevel="0" collapsed="false">
      <c r="B10" s="16" t="s">
        <v>517</v>
      </c>
      <c r="C10" s="20" t="s">
        <v>518</v>
      </c>
      <c r="D10" s="18" t="s">
        <v>188</v>
      </c>
      <c r="E10" s="2" t="s">
        <v>189</v>
      </c>
      <c r="G10" s="19" t="s">
        <v>519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520</v>
      </c>
      <c r="C13" s="23" t="n">
        <f aca="false">IF(Adjust_For_Inflation="Yes",Value_Today,Grows_To)</f>
        <v>18009.4350550692</v>
      </c>
      <c r="D13" s="18" t="s">
        <v>177</v>
      </c>
      <c r="E13" s="24" t="s">
        <v>521</v>
      </c>
    </row>
    <row r="14" customFormat="false" ht="15" hidden="false" customHeight="false" outlineLevel="0" collapsed="false">
      <c r="B14" s="16" t="s">
        <v>522</v>
      </c>
      <c r="C14" s="25" t="n">
        <f aca="false">Amount*(1+Growth_After_Fees)^Years</f>
        <v>18009.4350550692</v>
      </c>
      <c r="D14" s="18" t="s">
        <v>177</v>
      </c>
      <c r="E14" s="24" t="s">
        <v>523</v>
      </c>
    </row>
    <row r="15" customFormat="false" ht="15" hidden="false" customHeight="false" outlineLevel="0" collapsed="false">
      <c r="B15" s="16" t="s">
        <v>492</v>
      </c>
      <c r="C15" s="25" t="n">
        <f aca="false">Grows_To/(1+Inflation)^Years</f>
        <v>13381.275524688</v>
      </c>
      <c r="D15" s="18" t="s">
        <v>177</v>
      </c>
      <c r="E15" s="24" t="s">
        <v>493</v>
      </c>
    </row>
    <row r="16" customFormat="false" ht="15" hidden="false" customHeight="false" outlineLevel="0" collapsed="false">
      <c r="B16" s="16" t="s">
        <v>524</v>
      </c>
      <c r="C16" s="25" t="n">
        <f aca="false">Amount*(1+Growth_After_Fees)^MAX(0,Years-Wait_Years)</f>
        <v>14802.4428491834</v>
      </c>
      <c r="D16" s="18" t="s">
        <v>177</v>
      </c>
      <c r="E16" s="24" t="s">
        <v>525</v>
      </c>
    </row>
    <row r="17" customFormat="false" ht="17.35" hidden="false" customHeight="false" outlineLevel="0" collapsed="false">
      <c r="B17" s="12" t="s">
        <v>526</v>
      </c>
      <c r="C17" s="23" t="n">
        <f aca="false">IF(Adjust_For_Inflation="Yes",(Grows_To-Value_Start_Later)/(1+Inflation)^Years,Grows_To-Value_Start_Later)</f>
        <v>3206.99220588572</v>
      </c>
      <c r="D17" s="18" t="s">
        <v>177</v>
      </c>
      <c r="E17" s="24" t="s">
        <v>527</v>
      </c>
    </row>
    <row r="18" customFormat="false" ht="15" hidden="false" customHeight="false" outlineLevel="0" collapsed="false">
      <c r="B18" s="16" t="s">
        <v>528</v>
      </c>
      <c r="C18" s="25" t="n">
        <f aca="false">Amount*(1+Growth_Rate)^Years-Grows_To</f>
        <v>0</v>
      </c>
      <c r="D18" s="18" t="s">
        <v>177</v>
      </c>
      <c r="E18" s="24" t="s">
        <v>529</v>
      </c>
    </row>
    <row r="19" customFormat="false" ht="15" hidden="false" customHeight="false" outlineLevel="0" collapsed="false">
      <c r="B19" s="16" t="s">
        <v>530</v>
      </c>
      <c r="C19" s="37" t="n">
        <f aca="false">(1+Growth_Rate)*(1-Yearly_Fees)-1</f>
        <v>0.04</v>
      </c>
      <c r="D19" s="18"/>
      <c r="E19" s="24" t="s">
        <v>531</v>
      </c>
    </row>
    <row r="20" customFormat="false" ht="15" hidden="false" customHeight="false" outlineLevel="0" collapsed="false">
      <c r="B20" s="16" t="s">
        <v>532</v>
      </c>
      <c r="C20" s="37" t="n">
        <f aca="false">(1+Growth_After_Fees)/(1+Inflation)-1</f>
        <v>0.0196078431372548</v>
      </c>
      <c r="D20" s="18"/>
      <c r="E20" s="24" t="s">
        <v>533</v>
      </c>
    </row>
    <row r="21" customFormat="false" ht="15" hidden="false" customHeight="false" outlineLevel="0" collapsed="false">
      <c r="B21" s="42" t="str">
        <f aca="false">"Before tax: deposit interest pays DIRT at "&amp;TEXT(DIRT,"0%")&amp;"; investment funds and life policies pay exit tax at "&amp;TEXT(Exit_Tax,"0%")&amp;" (plus 8-year deemed disposal). No tax is taken off here."</f>
        <v>Before tax: deposit interest pays DIRT at 33%; investment funds and life policies pay exit tax at 38% (plus 8-year deemed disposal). No tax is taken off here.</v>
      </c>
      <c r="C21" s="42"/>
      <c r="D21" s="42"/>
      <c r="E21" s="42"/>
    </row>
    <row r="23" customFormat="false" ht="15" hidden="false" customHeight="false" outlineLevel="0" collapsed="false">
      <c r="B23" s="14" t="s">
        <v>223</v>
      </c>
      <c r="C23" s="28"/>
      <c r="D23" s="28"/>
      <c r="E23" s="28"/>
    </row>
    <row r="24" customFormat="false" ht="13.5" hidden="false" customHeight="true" outlineLevel="0" collapsed="false">
      <c r="B24" s="29" t="s">
        <v>534</v>
      </c>
      <c r="C24" s="29"/>
      <c r="D24" s="29"/>
      <c r="E24" s="29"/>
    </row>
    <row r="25" customFormat="false" ht="13.5" hidden="false" customHeight="true" outlineLevel="0" collapsed="false">
      <c r="B25" s="29" t="s">
        <v>535</v>
      </c>
      <c r="C25" s="29"/>
      <c r="D25" s="29"/>
      <c r="E25" s="29"/>
    </row>
    <row r="26" customFormat="false" ht="13.5" hidden="false" customHeight="true" outlineLevel="0" collapsed="false">
      <c r="B26" s="29" t="s">
        <v>536</v>
      </c>
      <c r="C26" s="29"/>
      <c r="D26" s="29"/>
      <c r="E26" s="29"/>
    </row>
    <row r="27" customFormat="false" ht="13.5" hidden="false" customHeight="true" outlineLevel="0" collapsed="false">
      <c r="B27" s="30" t="s">
        <v>227</v>
      </c>
      <c r="C27" s="30"/>
      <c r="D27" s="30"/>
      <c r="E27" s="30"/>
    </row>
    <row r="28" customFormat="false" ht="13.5" hidden="false" customHeight="true" outlineLevel="0" collapsed="false">
      <c r="B28" s="29" t="s">
        <v>537</v>
      </c>
      <c r="C28" s="29"/>
      <c r="D28" s="29"/>
      <c r="E28" s="29"/>
    </row>
    <row r="29" customFormat="false" ht="13.5" hidden="false" customHeight="true" outlineLevel="0" collapsed="false">
      <c r="B29" s="29" t="s">
        <v>538</v>
      </c>
      <c r="C29" s="29"/>
      <c r="D29" s="29"/>
      <c r="E29" s="29"/>
    </row>
    <row r="31" customFormat="false" ht="15" hidden="false" customHeight="false" outlineLevel="0" collapsed="false">
      <c r="B31" s="14" t="s">
        <v>231</v>
      </c>
      <c r="C31" s="28"/>
      <c r="D31" s="28"/>
      <c r="E31" s="28"/>
    </row>
    <row r="32" customFormat="false" ht="15" hidden="false" customHeight="false" outlineLevel="0" collapsed="false">
      <c r="B32" s="16" t="s">
        <v>232</v>
      </c>
      <c r="C32" s="31" t="str">
        <f aca="false">"Grow my wealth (plan kind pot)"</f>
        <v>Grow my wealth (plan kind pot)</v>
      </c>
      <c r="E32" s="32" t="s">
        <v>502</v>
      </c>
    </row>
    <row r="33" customFormat="false" ht="15" hidden="false" customHeight="false" outlineLevel="0" collapsed="false">
      <c r="B33" s="16" t="s">
        <v>234</v>
      </c>
      <c r="C33" s="33" t="n">
        <f aca="false">ROUND(Value_Today,0)</f>
        <v>13381</v>
      </c>
      <c r="E33" s="32" t="s">
        <v>503</v>
      </c>
    </row>
    <row r="34" customFormat="false" ht="15" hidden="false" customHeight="false" outlineLevel="0" collapsed="false">
      <c r="B34" s="16" t="s">
        <v>238</v>
      </c>
      <c r="C34" s="34" t="n">
        <f aca="false">Years</f>
        <v>15</v>
      </c>
      <c r="E34" s="32" t="s">
        <v>476</v>
      </c>
    </row>
    <row r="35" customFormat="false" ht="13.5" hidden="false" customHeight="true" outlineLevel="0" collapsed="false">
      <c r="B35" s="39" t="s">
        <v>539</v>
      </c>
      <c r="C35" s="39"/>
      <c r="D35" s="39"/>
      <c r="E35" s="39"/>
    </row>
  </sheetData>
  <mergeCells count="8">
    <mergeCell ref="B21:E21"/>
    <mergeCell ref="B24:E24"/>
    <mergeCell ref="B25:E25"/>
    <mergeCell ref="B26:E26"/>
    <mergeCell ref="B27:E27"/>
    <mergeCell ref="B28:E28"/>
    <mergeCell ref="B29:E29"/>
    <mergeCell ref="B35:E35"/>
  </mergeCells>
  <dataValidations count="5">
    <dataValidation allowBlank="false" error="Please enter 1 to 40 · steps of 1." errorStyle="stop" errorTitle="Outside the allowed range" operator="between" prompt="Unit: years. Allowed: 1 to 40 · steps of 1." promptTitle="Years" showDropDown="false" showErrorMessage="true" showInputMessage="true" sqref="C8" type="whole">
      <formula1>1</formula1>
      <formula2>40</formula2>
    </dataValidation>
    <dataValidation allowBlank="false" error="Please enter €500 to €5,000,000 · steps of €100." errorStyle="stop" errorTitle="Outside the allowed range" operator="between" prompt="Unit: €. Allowed: €500 to €5,000,000 · steps of €100." promptTitle="Amount" showDropDown="false" showErrorMessage="true" showInputMessage="true" sqref="C6" type="decimal">
      <formula1>500</formula1>
      <formula2>5000000</formula2>
    </dataValidation>
    <dataValidation allowBlank="false" error="Please enter 0% to 8% · steps of 0.5%." errorStyle="stop" errorTitle="Outside the allowed range" operator="between" prompt="Unit: %. Allowed: 0% to 8% · steps of 0.5%." promptTitle="Growth rate a year (before fees)" showDropDown="false" showErrorMessage="true" showInputMessage="true" sqref="C7" type="decimal">
      <formula1>0</formula1>
      <formula2>0.08</formula2>
    </dataValidation>
    <dataValidation allowBlank="false" error="Please enter 0% to 3% · steps of 0.05%." errorStyle="stop" errorTitle="Outside the allowed range" operator="between" prompt="Unit: %. Allowed: 0% to 3% · steps of 0.05%." promptTitle="Yearly fees" showDropDown="false" showErrorMessage="true" showInputMessage="true" sqref="C9" type="decimal">
      <formula1>0</formula1>
      <formula2>0.03</formula2>
    </dataValidation>
    <dataValidation allowBlank="false" error="Please enter Yes or No." errorStyle="stop" errorTitle="Outside the allowed range" operator="between" prompt="Unit: Yes / No. Allowed: Yes or No." promptTitle="Show in today's money?" showDropDown="false" showErrorMessage="true" showInputMessage="true" sqref="C1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540</v>
      </c>
      <c r="G1" s="2" t="s">
        <v>446</v>
      </c>
    </row>
    <row r="2" customFormat="false" ht="15" hidden="false" customHeight="false" outlineLevel="0" collapsed="false">
      <c r="B2" s="12" t="s">
        <v>541</v>
      </c>
      <c r="G2" s="2" t="s">
        <v>542</v>
      </c>
    </row>
    <row r="3" customFormat="false" ht="15" hidden="false" customHeight="false" outlineLevel="0" collapsed="false">
      <c r="B3" s="13" t="s">
        <v>543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9.4" hidden="false" customHeight="false" outlineLevel="0" collapsed="false">
      <c r="B6" s="16" t="s">
        <v>544</v>
      </c>
      <c r="C6" s="17" t="n">
        <v>2500</v>
      </c>
      <c r="D6" s="18" t="s">
        <v>177</v>
      </c>
      <c r="E6" s="2" t="s">
        <v>545</v>
      </c>
      <c r="G6" s="19" t="s">
        <v>546</v>
      </c>
    </row>
    <row r="7" customFormat="false" ht="15" hidden="false" customHeight="false" outlineLevel="0" collapsed="false">
      <c r="B7" s="16" t="s">
        <v>547</v>
      </c>
      <c r="C7" s="22" t="n">
        <v>6</v>
      </c>
      <c r="D7" s="18" t="s">
        <v>548</v>
      </c>
      <c r="E7" s="2" t="s">
        <v>549</v>
      </c>
      <c r="G7" s="19" t="s">
        <v>550</v>
      </c>
    </row>
    <row r="8" customFormat="false" ht="15" hidden="false" customHeight="false" outlineLevel="0" collapsed="false">
      <c r="B8" s="16" t="s">
        <v>551</v>
      </c>
      <c r="C8" s="17" t="n">
        <v>6250</v>
      </c>
      <c r="D8" s="18" t="s">
        <v>177</v>
      </c>
      <c r="E8" s="2" t="s">
        <v>552</v>
      </c>
      <c r="G8" s="19" t="s">
        <v>553</v>
      </c>
    </row>
    <row r="10" customFormat="false" ht="15" hidden="false" customHeight="false" outlineLevel="0" collapsed="false">
      <c r="B10" s="14" t="s">
        <v>202</v>
      </c>
      <c r="C10" s="15" t="s">
        <v>203</v>
      </c>
      <c r="D10" s="15" t="s">
        <v>204</v>
      </c>
      <c r="E10" s="15" t="s">
        <v>205</v>
      </c>
    </row>
    <row r="11" customFormat="false" ht="17.35" hidden="false" customHeight="false" outlineLevel="0" collapsed="false">
      <c r="B11" s="12" t="s">
        <v>554</v>
      </c>
      <c r="C11" s="43" t="n">
        <f aca="false">Savings/Essential_Spending</f>
        <v>2.5</v>
      </c>
      <c r="D11" s="18" t="s">
        <v>548</v>
      </c>
      <c r="E11" s="24" t="s">
        <v>555</v>
      </c>
    </row>
    <row r="12" customFormat="false" ht="17.35" hidden="false" customHeight="false" outlineLevel="0" collapsed="false">
      <c r="B12" s="12" t="s">
        <v>556</v>
      </c>
      <c r="C12" s="23" t="n">
        <f aca="false">Essential_Spending*Months_Wanted</f>
        <v>15000</v>
      </c>
      <c r="D12" s="18" t="s">
        <v>177</v>
      </c>
      <c r="E12" s="24" t="s">
        <v>557</v>
      </c>
    </row>
    <row r="13" customFormat="false" ht="17.35" hidden="false" customHeight="false" outlineLevel="0" collapsed="false">
      <c r="B13" s="12" t="s">
        <v>558</v>
      </c>
      <c r="C13" s="23" t="n">
        <f aca="false">MAX(0,Target-Savings)</f>
        <v>8750</v>
      </c>
      <c r="D13" s="18" t="s">
        <v>177</v>
      </c>
      <c r="E13" s="24" t="s">
        <v>559</v>
      </c>
    </row>
    <row r="15" customFormat="false" ht="15" hidden="false" customHeight="false" outlineLevel="0" collapsed="false">
      <c r="B15" s="14" t="s">
        <v>223</v>
      </c>
      <c r="C15" s="28"/>
      <c r="D15" s="28"/>
      <c r="E15" s="28"/>
    </row>
    <row r="16" customFormat="false" ht="13.5" hidden="false" customHeight="true" outlineLevel="0" collapsed="false">
      <c r="B16" s="29" t="s">
        <v>560</v>
      </c>
      <c r="C16" s="29"/>
      <c r="D16" s="29"/>
      <c r="E16" s="29"/>
    </row>
    <row r="17" customFormat="false" ht="13.5" hidden="false" customHeight="true" outlineLevel="0" collapsed="false">
      <c r="B17" s="30" t="s">
        <v>227</v>
      </c>
      <c r="C17" s="30"/>
      <c r="D17" s="30"/>
      <c r="E17" s="30"/>
    </row>
    <row r="18" customFormat="false" ht="13.5" hidden="false" customHeight="true" outlineLevel="0" collapsed="false">
      <c r="B18" s="29" t="s">
        <v>561</v>
      </c>
      <c r="C18" s="29"/>
      <c r="D18" s="29"/>
      <c r="E18" s="29"/>
    </row>
    <row r="20" customFormat="false" ht="15" hidden="false" customHeight="false" outlineLevel="0" collapsed="false">
      <c r="B20" s="14" t="s">
        <v>231</v>
      </c>
      <c r="C20" s="28"/>
      <c r="D20" s="28"/>
      <c r="E20" s="28"/>
    </row>
    <row r="21" customFormat="false" ht="15" hidden="false" customHeight="false" outlineLevel="0" collapsed="false">
      <c r="B21" s="16" t="s">
        <v>232</v>
      </c>
      <c r="C21" s="31" t="str">
        <f aca="false">IF(Still_To_Build&gt;0,"Safety net (plan kind safety: a reserve, not a spend)","No goal (cushion already in place)")</f>
        <v>Safety net (plan kind safety: a reserve, not a spend)</v>
      </c>
      <c r="E21" s="32" t="s">
        <v>562</v>
      </c>
    </row>
    <row r="22" customFormat="false" ht="15" hidden="false" customHeight="false" outlineLevel="0" collapsed="false">
      <c r="B22" s="16" t="s">
        <v>234</v>
      </c>
      <c r="C22" s="33" t="n">
        <f aca="false">IF(Still_To_Build&gt;0,ROUND(Target,0),"—")</f>
        <v>15000</v>
      </c>
      <c r="E22" s="32" t="s">
        <v>563</v>
      </c>
    </row>
    <row r="23" customFormat="false" ht="15" hidden="false" customHeight="false" outlineLevel="0" collapsed="false">
      <c r="B23" s="16" t="s">
        <v>236</v>
      </c>
      <c r="C23" s="33" t="n">
        <f aca="false">Savings</f>
        <v>6250</v>
      </c>
      <c r="E23" s="32" t="s">
        <v>564</v>
      </c>
    </row>
    <row r="24" customFormat="false" ht="15" hidden="false" customHeight="false" outlineLevel="0" collapsed="false">
      <c r="B24" s="16" t="s">
        <v>238</v>
      </c>
      <c r="C24" s="34" t="n">
        <f aca="false">Safety_Goal_Years</f>
        <v>2</v>
      </c>
      <c r="E24" s="32" t="s">
        <v>565</v>
      </c>
    </row>
  </sheetData>
  <mergeCells count="3">
    <mergeCell ref="B16:E16"/>
    <mergeCell ref="B17:E17"/>
    <mergeCell ref="B18:E18"/>
  </mergeCells>
  <dataValidations count="3">
    <dataValidation allowBlank="false" error="Please enter €500 to €100,000 · steps of €100." errorStyle="stop" errorTitle="Outside the allowed range" operator="between" prompt="Unit: €. Allowed: €500 to €100,000 · steps of €100." promptTitle="Essential monthly spending" showDropDown="false" showErrorMessage="true" showInputMessage="true" sqref="C6" type="decimal">
      <formula1>500</formula1>
      <formula2>100000</formula2>
    </dataValidation>
    <dataValidation allowBlank="false" error="Please enter 1 to 12 · steps of 1." errorStyle="stop" errorTitle="Outside the allowed range" operator="between" prompt="Unit: months. Allowed: 1 to 12 · steps of 1." promptTitle="Months you want covered" showDropDown="false" showErrorMessage="true" showInputMessage="true" sqref="C7" type="whole">
      <formula1>1</formula1>
      <formula2>12</formula2>
    </dataValidation>
    <dataValidation allowBlank="false" error="Please enter €0 to €1,000,000 · steps of €250." errorStyle="stop" errorTitle="Outside the allowed range" operator="between" prompt="Unit: €. Allowed: €0 to €1,000,000 · steps of €250." promptTitle="Easy-access savings" showDropDown="false" showErrorMessage="true" showInputMessage="true" sqref="C8" type="decimal">
      <formula1>0</formula1>
      <formula2>1000000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566</v>
      </c>
      <c r="G1" s="2" t="s">
        <v>567</v>
      </c>
    </row>
    <row r="2" customFormat="false" ht="15" hidden="false" customHeight="false" outlineLevel="0" collapsed="false">
      <c r="B2" s="12" t="s">
        <v>568</v>
      </c>
      <c r="G2" s="2" t="s">
        <v>569</v>
      </c>
    </row>
    <row r="3" customFormat="false" ht="15" hidden="false" customHeight="false" outlineLevel="0" collapsed="false">
      <c r="B3" s="13" t="s">
        <v>570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571</v>
      </c>
      <c r="C6" s="22" t="n">
        <v>40</v>
      </c>
      <c r="D6" s="18" t="s">
        <v>572</v>
      </c>
      <c r="E6" s="2" t="s">
        <v>573</v>
      </c>
      <c r="G6" s="19" t="s">
        <v>574</v>
      </c>
    </row>
    <row r="7" customFormat="false" ht="15" hidden="false" customHeight="false" outlineLevel="0" collapsed="false">
      <c r="B7" s="16" t="s">
        <v>575</v>
      </c>
      <c r="C7" s="22" t="n">
        <v>65</v>
      </c>
      <c r="D7" s="18" t="s">
        <v>572</v>
      </c>
      <c r="E7" s="2" t="s">
        <v>576</v>
      </c>
      <c r="G7" s="19" t="s">
        <v>577</v>
      </c>
    </row>
    <row r="8" customFormat="false" ht="15" hidden="false" customHeight="false" outlineLevel="0" collapsed="false">
      <c r="B8" s="16" t="s">
        <v>578</v>
      </c>
      <c r="C8" s="17" t="n">
        <v>60000</v>
      </c>
      <c r="D8" s="18" t="s">
        <v>177</v>
      </c>
      <c r="E8" s="2" t="s">
        <v>579</v>
      </c>
      <c r="G8" s="19" t="s">
        <v>580</v>
      </c>
    </row>
    <row r="9" customFormat="false" ht="15" hidden="false" customHeight="false" outlineLevel="0" collapsed="false">
      <c r="B9" s="16" t="s">
        <v>581</v>
      </c>
      <c r="C9" s="17" t="n">
        <v>500</v>
      </c>
      <c r="D9" s="18" t="s">
        <v>177</v>
      </c>
      <c r="E9" s="2" t="s">
        <v>582</v>
      </c>
      <c r="G9" s="19" t="s">
        <v>583</v>
      </c>
    </row>
    <row r="10" customFormat="false" ht="15" hidden="false" customHeight="false" outlineLevel="0" collapsed="false">
      <c r="B10" s="16" t="s">
        <v>584</v>
      </c>
      <c r="C10" s="17" t="n">
        <v>40000</v>
      </c>
      <c r="D10" s="18" t="s">
        <v>177</v>
      </c>
      <c r="E10" s="2" t="s">
        <v>585</v>
      </c>
      <c r="G10" s="19" t="s">
        <v>586</v>
      </c>
    </row>
    <row r="11" customFormat="false" ht="19.4" hidden="false" customHeight="false" outlineLevel="0" collapsed="false">
      <c r="B11" s="16" t="s">
        <v>587</v>
      </c>
      <c r="C11" s="17" t="n">
        <v>15000</v>
      </c>
      <c r="D11" s="18" t="s">
        <v>177</v>
      </c>
      <c r="E11" s="2" t="s">
        <v>588</v>
      </c>
      <c r="G11" s="19" t="s">
        <v>589</v>
      </c>
    </row>
    <row r="12" customFormat="false" ht="15" hidden="false" customHeight="false" outlineLevel="0" collapsed="false">
      <c r="B12" s="16" t="s">
        <v>590</v>
      </c>
      <c r="C12" s="21" t="n">
        <v>0.045</v>
      </c>
      <c r="D12" s="18" t="s">
        <v>192</v>
      </c>
      <c r="E12" s="2" t="s">
        <v>591</v>
      </c>
      <c r="G12" s="19" t="s">
        <v>592</v>
      </c>
    </row>
    <row r="13" customFormat="false" ht="15" hidden="false" customHeight="false" outlineLevel="0" collapsed="false">
      <c r="B13" s="16" t="s">
        <v>593</v>
      </c>
      <c r="C13" s="22" t="n">
        <v>0</v>
      </c>
      <c r="D13" s="18" t="s">
        <v>196</v>
      </c>
      <c r="E13" s="2" t="s">
        <v>594</v>
      </c>
      <c r="G13" s="19" t="s">
        <v>595</v>
      </c>
    </row>
    <row r="14" customFormat="false" ht="15" hidden="false" customHeight="false" outlineLevel="0" collapsed="false">
      <c r="B14" s="16" t="s">
        <v>596</v>
      </c>
      <c r="C14" s="17" t="n">
        <v>0</v>
      </c>
      <c r="D14" s="18" t="s">
        <v>177</v>
      </c>
      <c r="E14" s="2" t="s">
        <v>305</v>
      </c>
      <c r="G14" s="19" t="s">
        <v>201</v>
      </c>
    </row>
    <row r="15" customFormat="false" ht="15" hidden="false" customHeight="false" outlineLevel="0" collapsed="false">
      <c r="B15" s="16" t="s">
        <v>597</v>
      </c>
      <c r="C15" s="17" t="n">
        <v>0</v>
      </c>
      <c r="D15" s="18" t="s">
        <v>177</v>
      </c>
      <c r="E15" s="2" t="s">
        <v>598</v>
      </c>
      <c r="G15" s="19" t="s">
        <v>201</v>
      </c>
    </row>
    <row r="17" customFormat="false" ht="15" hidden="false" customHeight="false" outlineLevel="0" collapsed="false">
      <c r="B17" s="14" t="s">
        <v>202</v>
      </c>
      <c r="C17" s="15" t="s">
        <v>203</v>
      </c>
      <c r="D17" s="15" t="s">
        <v>204</v>
      </c>
      <c r="E17" s="15" t="s">
        <v>205</v>
      </c>
    </row>
    <row r="18" customFormat="false" ht="17.35" hidden="false" customHeight="false" outlineLevel="0" collapsed="false">
      <c r="B18" s="12" t="s">
        <v>599</v>
      </c>
      <c r="C18" s="23" t="n">
        <f aca="false">Target_Today-Fund_Today</f>
        <v>304525.019029174</v>
      </c>
      <c r="D18" s="36" t="str">
        <f aca="false">IF(Gap_Today&gt;0,"Gap of "&amp;TEXT(Gap_Today,"€#,##0")&amp;" in today's money","On track: no gap")</f>
        <v>Gap of €304,525 in today's money</v>
      </c>
      <c r="E18" s="24" t="s">
        <v>600</v>
      </c>
    </row>
    <row r="19" customFormat="false" ht="17.35" hidden="false" customHeight="false" outlineLevel="0" collapsed="false">
      <c r="B19" s="12" t="s">
        <v>601</v>
      </c>
      <c r="C19" s="23" t="n">
        <f aca="false">Pension_Today*(1+Growth_Rate)^Years_To_Retirement+Contributions_Grow_To</f>
        <v>525773.174856708</v>
      </c>
      <c r="D19" s="18" t="s">
        <v>177</v>
      </c>
      <c r="E19" s="24" t="s">
        <v>602</v>
      </c>
    </row>
    <row r="20" customFormat="false" ht="17.35" hidden="false" customHeight="false" outlineLevel="0" collapsed="false">
      <c r="B20" s="12" t="s">
        <v>603</v>
      </c>
      <c r="C20" s="23" t="n">
        <f aca="false">Projected_Fund/(1+Inflation)^Years_To_Retirement</f>
        <v>320474.980970826</v>
      </c>
      <c r="D20" s="18" t="s">
        <v>177</v>
      </c>
      <c r="E20" s="24" t="s">
        <v>604</v>
      </c>
    </row>
    <row r="21" customFormat="false" ht="17.35" hidden="false" customHeight="false" outlineLevel="0" collapsed="false">
      <c r="B21" s="12" t="s">
        <v>605</v>
      </c>
      <c r="C21" s="23" t="n">
        <f aca="false">MAX(0,Desired_Income-Spend_Less-Other_Income)*Retire_Multiple</f>
        <v>625000</v>
      </c>
      <c r="D21" s="18" t="s">
        <v>177</v>
      </c>
      <c r="E21" s="24" t="s">
        <v>606</v>
      </c>
    </row>
    <row r="22" customFormat="false" ht="15" hidden="false" customHeight="false" outlineLevel="0" collapsed="false">
      <c r="B22" s="16" t="s">
        <v>607</v>
      </c>
      <c r="C22" s="40" t="n">
        <f aca="false">MAX(1,Retirement_Age+Retire_Later-Age)</f>
        <v>25</v>
      </c>
      <c r="D22" s="18" t="s">
        <v>196</v>
      </c>
      <c r="E22" s="24" t="s">
        <v>608</v>
      </c>
    </row>
    <row r="23" customFormat="false" ht="15" hidden="false" customHeight="false" outlineLevel="0" collapsed="false">
      <c r="B23" s="16" t="s">
        <v>609</v>
      </c>
      <c r="C23" s="25" t="n">
        <f aca="false">Monthly_Contribution+Save_More</f>
        <v>500</v>
      </c>
      <c r="D23" s="18" t="s">
        <v>177</v>
      </c>
      <c r="E23" s="24" t="s">
        <v>610</v>
      </c>
    </row>
    <row r="24" customFormat="false" ht="22.35" hidden="false" customHeight="false" outlineLevel="0" collapsed="false">
      <c r="B24" s="16" t="s">
        <v>611</v>
      </c>
      <c r="C24" s="25" t="n">
        <f aca="false">IF(Growth_Rate=Wage,12*Contribution*Years_To_Retirement*(1+Growth_Rate)^(Years_To_Retirement-1),12*Contribution*((1+Growth_Rate)^Years_To_Retirement-(1+Wage)^Years_To_Retirement)/(Growth_Rate-Wage))</f>
        <v>345447.107464483</v>
      </c>
      <c r="D24" s="18" t="s">
        <v>177</v>
      </c>
      <c r="E24" s="24" t="s">
        <v>612</v>
      </c>
    </row>
    <row r="25" customFormat="false" ht="15" hidden="false" customHeight="false" outlineLevel="0" collapsed="false">
      <c r="B25" s="16" t="s">
        <v>613</v>
      </c>
      <c r="C25" s="38" t="n">
        <f aca="false">Wage</f>
        <v>0.025</v>
      </c>
      <c r="D25" s="18" t="s">
        <v>192</v>
      </c>
      <c r="E25" s="24" t="s">
        <v>614</v>
      </c>
    </row>
    <row r="27" customFormat="false" ht="15" hidden="false" customHeight="false" outlineLevel="0" collapsed="false">
      <c r="B27" s="14" t="s">
        <v>223</v>
      </c>
      <c r="C27" s="28"/>
      <c r="D27" s="28"/>
      <c r="E27" s="28"/>
    </row>
    <row r="28" customFormat="false" ht="27.75" hidden="false" customHeight="true" outlineLevel="0" collapsed="false">
      <c r="B28" s="29" t="s">
        <v>615</v>
      </c>
      <c r="C28" s="29"/>
      <c r="D28" s="29"/>
      <c r="E28" s="29"/>
    </row>
    <row r="29" customFormat="false" ht="27.75" hidden="false" customHeight="true" outlineLevel="0" collapsed="false">
      <c r="B29" s="29" t="s">
        <v>616</v>
      </c>
      <c r="C29" s="29"/>
      <c r="D29" s="29"/>
      <c r="E29" s="29"/>
    </row>
    <row r="30" customFormat="false" ht="13.5" hidden="false" customHeight="true" outlineLevel="0" collapsed="false">
      <c r="B30" s="29" t="s">
        <v>617</v>
      </c>
      <c r="C30" s="29"/>
      <c r="D30" s="29"/>
      <c r="E30" s="29"/>
    </row>
    <row r="31" customFormat="false" ht="13.5" hidden="false" customHeight="true" outlineLevel="0" collapsed="false">
      <c r="B31" s="30" t="s">
        <v>227</v>
      </c>
      <c r="C31" s="30"/>
      <c r="D31" s="30"/>
      <c r="E31" s="30"/>
    </row>
    <row r="32" customFormat="false" ht="13.5" hidden="false" customHeight="true" outlineLevel="0" collapsed="false">
      <c r="B32" s="29" t="s">
        <v>618</v>
      </c>
      <c r="C32" s="29"/>
      <c r="D32" s="29"/>
      <c r="E32" s="29"/>
    </row>
    <row r="33" customFormat="false" ht="27.75" hidden="false" customHeight="true" outlineLevel="0" collapsed="false">
      <c r="B33" s="29" t="s">
        <v>619</v>
      </c>
      <c r="C33" s="29"/>
      <c r="D33" s="29"/>
      <c r="E33" s="29"/>
    </row>
    <row r="34" customFormat="false" ht="13.5" hidden="false" customHeight="true" outlineLevel="0" collapsed="false">
      <c r="B34" s="29" t="s">
        <v>620</v>
      </c>
      <c r="C34" s="29"/>
      <c r="D34" s="29"/>
      <c r="E34" s="29"/>
    </row>
    <row r="36" customFormat="false" ht="15" hidden="false" customHeight="false" outlineLevel="0" collapsed="false">
      <c r="B36" s="14" t="s">
        <v>231</v>
      </c>
      <c r="C36" s="28"/>
      <c r="D36" s="28"/>
      <c r="E36" s="28"/>
    </row>
    <row r="37" customFormat="false" ht="15" hidden="false" customHeight="false" outlineLevel="0" collapsed="false">
      <c r="B37" s="16" t="s">
        <v>232</v>
      </c>
      <c r="C37" s="31" t="str">
        <f aca="false">"Update your retirement goal (no new goal)"</f>
        <v>Update your retirement goal (no new goal)</v>
      </c>
      <c r="E37" s="32" t="s">
        <v>621</v>
      </c>
    </row>
    <row r="38" customFormat="false" ht="15" hidden="false" customHeight="false" outlineLevel="0" collapsed="false">
      <c r="B38" s="16" t="s">
        <v>622</v>
      </c>
      <c r="C38" s="33" t="n">
        <f aca="false">Desired_Income-Spend_Less</f>
        <v>40000</v>
      </c>
      <c r="E38" s="32" t="s">
        <v>623</v>
      </c>
    </row>
    <row r="39" customFormat="false" ht="15" hidden="false" customHeight="false" outlineLevel="0" collapsed="false">
      <c r="B39" s="16" t="s">
        <v>624</v>
      </c>
      <c r="C39" s="34" t="n">
        <f aca="false">Retirement_Age+Retire_Later</f>
        <v>65</v>
      </c>
      <c r="E39" s="32" t="s">
        <v>625</v>
      </c>
    </row>
    <row r="40" customFormat="false" ht="13.5" hidden="false" customHeight="true" outlineLevel="0" collapsed="false">
      <c r="B40" s="39" t="s">
        <v>626</v>
      </c>
      <c r="C40" s="39"/>
      <c r="D40" s="39"/>
      <c r="E40" s="39"/>
    </row>
  </sheetData>
  <mergeCells count="8">
    <mergeCell ref="B28:E28"/>
    <mergeCell ref="B29:E29"/>
    <mergeCell ref="B30:E30"/>
    <mergeCell ref="B31:E31"/>
    <mergeCell ref="B32:E32"/>
    <mergeCell ref="B33:E33"/>
    <mergeCell ref="B34:E34"/>
    <mergeCell ref="B40:E40"/>
  </mergeCells>
  <dataValidations count="10">
    <dataValidation allowBlank="false" error="Please enter 20 to 70 · steps of 1." errorStyle="stop" errorTitle="Outside the allowed range" operator="between" prompt="Unit: age. Allowed: 20 to 70 · steps of 1." promptTitle="Your age" showDropDown="false" showErrorMessage="true" showInputMessage="true" sqref="C6" type="whole">
      <formula1>20</formula1>
      <formula2>70</formula2>
    </dataValidation>
    <dataValidation allowBlank="false" error="Please enter 50 to 75 · steps of 1." errorStyle="stop" errorTitle="Outside the allowed range" operator="between" prompt="Unit: age. Allowed: 50 to 75 · steps of 1." promptTitle="Target retirement age" showDropDown="false" showErrorMessage="true" showInputMessage="true" sqref="C7" type="whole">
      <formula1>50</formula1>
      <formula2>75</formula2>
    </dataValidation>
    <dataValidation allowBlank="false" error="Please enter €0 to €15,000,000 · steps of €1,000." errorStyle="stop" errorTitle="Outside the allowed range" operator="between" prompt="Unit: €. Allowed: €0 to €15,000,000 · steps of €1,000." promptTitle="Pension value today" showDropDown="false" showErrorMessage="true" showInputMessage="true" sqref="C8" type="decimal">
      <formula1>0</formula1>
      <formula2>15000000</formula2>
    </dataValidation>
    <dataValidation allowBlank="false" error="Please enter €0 to €50,000 · steps of €10." errorStyle="stop" errorTitle="Outside the allowed range" operator="between" prompt="Unit: €. Allowed: €0 to €50,000 · steps of €10." promptTitle="Monthly contributions (you + emp" showDropDown="false" showErrorMessage="true" showInputMessage="true" sqref="C9" type="decimal">
      <formula1>0</formula1>
      <formula2>50000</formula2>
    </dataValidation>
    <dataValidation allowBlank="false" error="Please enter €10,000 to €1,500,000 · steps of €1,000." errorStyle="stop" errorTitle="Outside the allowed range" operator="between" prompt="Unit: €. Allowed: €10,000 to €1,500,000 · steps of €1,000." promptTitle="Desired yearly income in retirem" showDropDown="false" showErrorMessage="true" showInputMessage="true" sqref="C10" type="decimal">
      <formula1>10000</formula1>
      <formula2>1500000</formula2>
    </dataValidation>
    <dataValidation allowBlank="false" error="Please enter €0 to €500,000 · steps of €500." errorStyle="stop" errorTitle="Outside the allowed range" operator="between" prompt="Unit: €. Allowed: €0 to €500,000 · steps of €500." promptTitle="Other yearly income, e.g. State " showDropDown="false" showErrorMessage="true" showInputMessage="true" sqref="C11" type="decimal">
      <formula1>0</formula1>
      <formula2>500000</formula2>
    </dataValidation>
    <dataValidation allowBlank="false" error="Please enter 1% to 7% · steps of 0.25%." errorStyle="stop" errorTitle="Outside the allowed range" operator="between" prompt="Unit: %. Allowed: 1% to 7% · steps of 0.25%." promptTitle="Growth after charges a year" showDropDown="false" showErrorMessage="true" showInputMessage="true" sqref="C12" type="decimal">
      <formula1>0.01</formula1>
      <formula2>0.07</formula2>
    </dataValidation>
    <dataValidation allowBlank="false" error="Please enter 0 to 5 · steps of 1." errorStyle="stop" errorTitle="Outside the allowed range" operator="between" prompt="Unit: years. Allowed: 0 to 5 · steps of 1." promptTitle="What if: retire later by" showDropDown="false" showErrorMessage="true" showInputMessage="true" sqref="C13" type="whole">
      <formula1>0</formula1>
      <formula2>5</formula2>
    </dataValidation>
    <dataValidation allowBlank="false" error="Please enter €0 to €15,000 · steps of €50." errorStyle="stop" errorTitle="Outside the allowed range" operator="between" prompt="Unit: €. Allowed: €0 to €15,000 · steps of €50." promptTitle="What if: save more each month" showDropDown="false" showErrorMessage="true" showInputMessage="true" sqref="C14" type="decimal">
      <formula1>0</formula1>
      <formula2>15000</formula2>
    </dataValidation>
    <dataValidation allowBlank="false" error="Please enter €0 to €200,000 · steps of €500." errorStyle="stop" errorTitle="Outside the allowed range" operator="between" prompt="Unit: €. Allowed: €0 to €200,000 · steps of €500." promptTitle="What if: spend less in retiremen" showDropDown="false" showErrorMessage="true" showInputMessage="true" sqref="C15" type="decimal">
      <formula1>0</formula1>
      <formula2>200000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627</v>
      </c>
      <c r="G1" s="2" t="s">
        <v>567</v>
      </c>
    </row>
    <row r="2" customFormat="false" ht="15" hidden="false" customHeight="false" outlineLevel="0" collapsed="false">
      <c r="B2" s="12" t="s">
        <v>628</v>
      </c>
      <c r="G2" s="2" t="s">
        <v>629</v>
      </c>
    </row>
    <row r="3" customFormat="false" ht="15" hidden="false" customHeight="false" outlineLevel="0" collapsed="false">
      <c r="B3" s="13" t="s">
        <v>630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631</v>
      </c>
      <c r="C6" s="17" t="n">
        <v>60000</v>
      </c>
      <c r="D6" s="18" t="s">
        <v>177</v>
      </c>
      <c r="E6" s="2" t="s">
        <v>178</v>
      </c>
      <c r="G6" s="19" t="s">
        <v>179</v>
      </c>
    </row>
    <row r="7" customFormat="false" ht="15" hidden="false" customHeight="false" outlineLevel="0" collapsed="false">
      <c r="B7" s="16" t="s">
        <v>632</v>
      </c>
      <c r="C7" s="21" t="n">
        <v>0.02</v>
      </c>
      <c r="D7" s="18" t="s">
        <v>192</v>
      </c>
      <c r="E7" s="2" t="s">
        <v>633</v>
      </c>
      <c r="G7" s="19" t="s">
        <v>420</v>
      </c>
    </row>
    <row r="8" customFormat="false" ht="15" hidden="false" customHeight="false" outlineLevel="0" collapsed="false">
      <c r="B8" s="16" t="s">
        <v>607</v>
      </c>
      <c r="C8" s="22" t="n">
        <v>25</v>
      </c>
      <c r="D8" s="18" t="s">
        <v>196</v>
      </c>
      <c r="E8" s="2" t="s">
        <v>634</v>
      </c>
      <c r="G8" s="19" t="s">
        <v>635</v>
      </c>
    </row>
    <row r="9" customFormat="false" ht="15" hidden="false" customHeight="false" outlineLevel="0" collapsed="false">
      <c r="B9" s="16" t="s">
        <v>636</v>
      </c>
      <c r="C9" s="21" t="n">
        <v>0.045</v>
      </c>
      <c r="D9" s="18" t="s">
        <v>192</v>
      </c>
      <c r="E9" s="2" t="s">
        <v>637</v>
      </c>
      <c r="G9" s="19" t="s">
        <v>638</v>
      </c>
    </row>
    <row r="10" customFormat="false" ht="15" hidden="false" customHeight="false" outlineLevel="0" collapsed="false">
      <c r="B10" s="16" t="s">
        <v>639</v>
      </c>
      <c r="C10" s="44" t="n">
        <v>0.4</v>
      </c>
      <c r="D10" s="18" t="s">
        <v>640</v>
      </c>
      <c r="E10" s="2" t="s">
        <v>641</v>
      </c>
      <c r="G10" s="19" t="s">
        <v>642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643</v>
      </c>
      <c r="C13" s="23" t="n">
        <f aca="false">FV((1+Growth_Rate)^(1/12)-1,Years*12,-Extra_Per_Month)</f>
        <v>54572.4754132493</v>
      </c>
      <c r="D13" s="18" t="s">
        <v>177</v>
      </c>
      <c r="E13" s="24" t="s">
        <v>644</v>
      </c>
    </row>
    <row r="14" customFormat="false" ht="17.35" hidden="false" customHeight="false" outlineLevel="0" collapsed="false">
      <c r="B14" s="12" t="s">
        <v>492</v>
      </c>
      <c r="C14" s="23" t="n">
        <f aca="false">Grows_To/(1+Inflation)^Years</f>
        <v>33263.608445521</v>
      </c>
      <c r="D14" s="18" t="s">
        <v>177</v>
      </c>
      <c r="E14" s="24" t="s">
        <v>493</v>
      </c>
    </row>
    <row r="15" customFormat="false" ht="15" hidden="false" customHeight="false" outlineLevel="0" collapsed="false">
      <c r="B15" s="16" t="s">
        <v>645</v>
      </c>
      <c r="C15" s="25" t="n">
        <f aca="false">Salary*Increase_Pct/12</f>
        <v>100</v>
      </c>
      <c r="D15" s="18" t="s">
        <v>177</v>
      </c>
      <c r="E15" s="24" t="s">
        <v>646</v>
      </c>
    </row>
    <row r="16" customFormat="false" ht="15" hidden="false" customHeight="false" outlineLevel="0" collapsed="false">
      <c r="B16" s="16" t="s">
        <v>647</v>
      </c>
      <c r="C16" s="25" t="n">
        <f aca="false">Extra_Per_Month*(1-Tax_Rate)</f>
        <v>60</v>
      </c>
      <c r="D16" s="18" t="s">
        <v>177</v>
      </c>
      <c r="E16" s="24" t="s">
        <v>648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649</v>
      </c>
      <c r="C19" s="29"/>
      <c r="D19" s="29"/>
      <c r="E19" s="29"/>
    </row>
    <row r="20" customFormat="false" ht="13.5" hidden="false" customHeight="true" outlineLevel="0" collapsed="false">
      <c r="B20" s="29" t="s">
        <v>650</v>
      </c>
      <c r="C20" s="29"/>
      <c r="D20" s="29"/>
      <c r="E20" s="29"/>
    </row>
    <row r="21" customFormat="false" ht="13.5" hidden="false" customHeight="true" outlineLevel="0" collapsed="false">
      <c r="B21" s="30" t="s">
        <v>227</v>
      </c>
      <c r="C21" s="30"/>
      <c r="D21" s="30"/>
      <c r="E21" s="30"/>
    </row>
    <row r="22" customFormat="false" ht="13.5" hidden="false" customHeight="true" outlineLevel="0" collapsed="false">
      <c r="B22" s="29" t="s">
        <v>651</v>
      </c>
      <c r="C22" s="29"/>
      <c r="D22" s="29"/>
      <c r="E22" s="29"/>
    </row>
    <row r="23" customFormat="false" ht="13.5" hidden="false" customHeight="true" outlineLevel="0" collapsed="false">
      <c r="B23" s="29" t="s">
        <v>652</v>
      </c>
      <c r="C23" s="29"/>
      <c r="D23" s="29"/>
      <c r="E23" s="29"/>
    </row>
    <row r="25" customFormat="false" ht="15" hidden="false" customHeight="false" outlineLevel="0" collapsed="false">
      <c r="B25" s="14" t="s">
        <v>231</v>
      </c>
      <c r="C25" s="28"/>
      <c r="D25" s="28"/>
      <c r="E25" s="28"/>
    </row>
    <row r="26" customFormat="false" ht="15" hidden="false" customHeight="false" outlineLevel="0" collapsed="false">
      <c r="B26" s="16" t="s">
        <v>232</v>
      </c>
      <c r="C26" s="31" t="str">
        <f aca="false">"No goal: raise the plan's pension contribution instead"</f>
        <v>No goal: raise the plan's pension contribution instead</v>
      </c>
      <c r="E26" s="32" t="s">
        <v>653</v>
      </c>
    </row>
    <row r="27" customFormat="false" ht="15" hidden="false" customHeight="false" outlineLevel="0" collapsed="false">
      <c r="B27" s="16" t="s">
        <v>654</v>
      </c>
      <c r="C27" s="33" t="n">
        <f aca="false">Extra_Per_Month</f>
        <v>100</v>
      </c>
      <c r="E27" s="32" t="s">
        <v>655</v>
      </c>
    </row>
    <row r="28" customFormat="false" ht="13.5" hidden="false" customHeight="true" outlineLevel="0" collapsed="false">
      <c r="B28" s="39" t="s">
        <v>656</v>
      </c>
      <c r="C28" s="39"/>
      <c r="D28" s="39"/>
      <c r="E28" s="39"/>
    </row>
  </sheetData>
  <mergeCells count="6">
    <mergeCell ref="B19:E19"/>
    <mergeCell ref="B20:E20"/>
    <mergeCell ref="B21:E21"/>
    <mergeCell ref="B22:E22"/>
    <mergeCell ref="B23:E23"/>
    <mergeCell ref="B28:E28"/>
  </mergeCells>
  <dataValidations count="5">
    <dataValidation allowBlank="false" error="Please enter €15,000 to €2,500,000 · steps of €1,000." errorStyle="stop" errorTitle="Outside the allowed range" operator="between" prompt="Unit: €. Allowed: €15,000 to €2,500,000 · steps of €1,000." promptTitle="Salary" showDropDown="false" showErrorMessage="true" showInputMessage="true" sqref="C6" type="decimal">
      <formula1>15000</formula1>
      <formula2>2500000</formula2>
    </dataValidation>
    <dataValidation allowBlank="false" error="Please enter 0.5% to 10% · steps of 0.5%." errorStyle="stop" errorTitle="Outside the allowed range" operator="between" prompt="Unit: %. Allowed: 0.5% to 10% · steps of 0.5%." promptTitle="Increase contributions by (% of " showDropDown="false" showErrorMessage="true" showInputMessage="true" sqref="C7" type="decimal">
      <formula1>0.005</formula1>
      <formula2>0.1</formula2>
    </dataValidation>
    <dataValidation allowBlank="false" error="Please enter 1 to 45 · steps of 1." errorStyle="stop" errorTitle="Outside the allowed range" operator="between" prompt="Unit: years. Allowed: 1 to 45 · steps of 1." promptTitle="Years to retirement" showDropDown="false" showErrorMessage="true" showInputMessage="true" sqref="C8" type="whole">
      <formula1>1</formula1>
      <formula2>45</formula2>
    </dataValidation>
    <dataValidation allowBlank="false" error="Please enter 1% to 7% · steps of 0.5%." errorStyle="stop" errorTitle="Outside the allowed range" operator="between" prompt="Unit: %. Allowed: 1% to 7% · steps of 0.5%." promptTitle="Growth assumption a year" showDropDown="false" showErrorMessage="true" showInputMessage="true" sqref="C9" type="decimal">
      <formula1>0.01</formula1>
      <formula2>0.07</formula2>
    </dataValidation>
    <dataValidation allowBlank="false" error="Please enter 20% or 40%." errorStyle="stop" errorTitle="Outside the allowed range" operator="between" prompt="Unit: 20% or 40%. Allowed: 20% or 40%." promptTitle="Your tax rate (0.2 = 20%, 0.4 = " showDropDown="false" showErrorMessage="true" showInputMessage="true" sqref="C10" type="list">
      <formula1>"0.2,0.4"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657</v>
      </c>
      <c r="G1" s="2" t="s">
        <v>567</v>
      </c>
    </row>
    <row r="2" customFormat="false" ht="15" hidden="false" customHeight="false" outlineLevel="0" collapsed="false">
      <c r="B2" s="12" t="s">
        <v>658</v>
      </c>
      <c r="G2" s="2" t="s">
        <v>659</v>
      </c>
    </row>
    <row r="3" customFormat="false" ht="15" hidden="false" customHeight="false" outlineLevel="0" collapsed="false">
      <c r="B3" s="13" t="s">
        <v>660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661</v>
      </c>
      <c r="C6" s="17" t="n">
        <v>200</v>
      </c>
      <c r="D6" s="18" t="s">
        <v>177</v>
      </c>
      <c r="E6" s="2" t="s">
        <v>662</v>
      </c>
      <c r="G6" s="19" t="s">
        <v>332</v>
      </c>
    </row>
    <row r="7" customFormat="false" ht="15" hidden="false" customHeight="false" outlineLevel="0" collapsed="false">
      <c r="B7" s="16" t="s">
        <v>607</v>
      </c>
      <c r="C7" s="22" t="n">
        <v>15</v>
      </c>
      <c r="D7" s="18" t="s">
        <v>196</v>
      </c>
      <c r="E7" s="2" t="s">
        <v>488</v>
      </c>
      <c r="G7" s="19" t="s">
        <v>663</v>
      </c>
    </row>
    <row r="8" customFormat="false" ht="15" hidden="false" customHeight="false" outlineLevel="0" collapsed="false">
      <c r="B8" s="16" t="s">
        <v>636</v>
      </c>
      <c r="C8" s="21" t="n">
        <v>0.045</v>
      </c>
      <c r="D8" s="18" t="s">
        <v>192</v>
      </c>
      <c r="E8" s="2" t="s">
        <v>637</v>
      </c>
      <c r="G8" s="19" t="s">
        <v>638</v>
      </c>
    </row>
    <row r="9" customFormat="false" ht="15" hidden="false" customHeight="false" outlineLevel="0" collapsed="false">
      <c r="B9" s="16" t="s">
        <v>639</v>
      </c>
      <c r="C9" s="44" t="n">
        <v>0.4</v>
      </c>
      <c r="D9" s="18" t="s">
        <v>640</v>
      </c>
      <c r="E9" s="2" t="s">
        <v>641</v>
      </c>
      <c r="G9" s="19" t="s">
        <v>642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664</v>
      </c>
      <c r="C12" s="23" t="n">
        <f aca="false">FV((1+Growth_Rate)^(1/12)-1,Years*12,-AVC_Per_Month)</f>
        <v>50902.3647855043</v>
      </c>
      <c r="D12" s="18" t="s">
        <v>177</v>
      </c>
      <c r="E12" s="24" t="s">
        <v>665</v>
      </c>
    </row>
    <row r="13" customFormat="false" ht="17.35" hidden="false" customHeight="false" outlineLevel="0" collapsed="false">
      <c r="B13" s="12" t="s">
        <v>492</v>
      </c>
      <c r="C13" s="23" t="n">
        <f aca="false">Grows_To/(1+Inflation)^Years</f>
        <v>37821.2068268785</v>
      </c>
      <c r="D13" s="18" t="s">
        <v>177</v>
      </c>
      <c r="E13" s="24" t="s">
        <v>493</v>
      </c>
    </row>
    <row r="14" customFormat="false" ht="15" hidden="false" customHeight="false" outlineLevel="0" collapsed="false">
      <c r="B14" s="16" t="s">
        <v>494</v>
      </c>
      <c r="C14" s="25" t="n">
        <f aca="false">AVC_Per_Month*12*Years</f>
        <v>36000</v>
      </c>
      <c r="D14" s="18" t="s">
        <v>177</v>
      </c>
      <c r="E14" s="24" t="s">
        <v>666</v>
      </c>
    </row>
    <row r="15" customFormat="false" ht="15" hidden="false" customHeight="false" outlineLevel="0" collapsed="false">
      <c r="B15" s="16" t="s">
        <v>667</v>
      </c>
      <c r="C15" s="25" t="n">
        <f aca="false">AVC_Per_Month*(1-Tax_Rate)*12*Years</f>
        <v>21600</v>
      </c>
      <c r="D15" s="18" t="s">
        <v>177</v>
      </c>
      <c r="E15" s="24" t="s">
        <v>668</v>
      </c>
    </row>
    <row r="16" customFormat="false" ht="15" hidden="false" customHeight="false" outlineLevel="0" collapsed="false">
      <c r="B16" s="16" t="s">
        <v>669</v>
      </c>
      <c r="C16" s="25" t="n">
        <f aca="false">AVC_Per_Month*(1-Tax_Rate)</f>
        <v>120</v>
      </c>
      <c r="D16" s="18" t="s">
        <v>177</v>
      </c>
      <c r="E16" s="24" t="s">
        <v>670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671</v>
      </c>
      <c r="C19" s="29"/>
      <c r="D19" s="29"/>
      <c r="E19" s="29"/>
    </row>
    <row r="20" customFormat="false" ht="13.5" hidden="false" customHeight="true" outlineLevel="0" collapsed="false">
      <c r="B20" s="30" t="s">
        <v>227</v>
      </c>
      <c r="C20" s="30"/>
      <c r="D20" s="30"/>
      <c r="E20" s="30"/>
    </row>
    <row r="21" customFormat="false" ht="13.5" hidden="false" customHeight="true" outlineLevel="0" collapsed="false">
      <c r="B21" s="29" t="s">
        <v>651</v>
      </c>
      <c r="C21" s="29"/>
      <c r="D21" s="29"/>
      <c r="E21" s="29"/>
    </row>
    <row r="22" customFormat="false" ht="13.5" hidden="false" customHeight="true" outlineLevel="0" collapsed="false">
      <c r="B22" s="29" t="s">
        <v>672</v>
      </c>
      <c r="C22" s="29"/>
      <c r="D22" s="29"/>
      <c r="E22" s="29"/>
    </row>
    <row r="24" customFormat="false" ht="15" hidden="false" customHeight="false" outlineLevel="0" collapsed="false">
      <c r="B24" s="14" t="s">
        <v>231</v>
      </c>
      <c r="C24" s="28"/>
      <c r="D24" s="28"/>
      <c r="E24" s="28"/>
    </row>
    <row r="25" customFormat="false" ht="15" hidden="false" customHeight="false" outlineLevel="0" collapsed="false">
      <c r="B25" s="16" t="s">
        <v>232</v>
      </c>
      <c r="C25" s="31" t="str">
        <f aca="false">"No goal: raise the plan's pension contribution instead"</f>
        <v>No goal: raise the plan's pension contribution instead</v>
      </c>
      <c r="E25" s="32" t="s">
        <v>653</v>
      </c>
    </row>
    <row r="26" customFormat="false" ht="15" hidden="false" customHeight="false" outlineLevel="0" collapsed="false">
      <c r="B26" s="16" t="s">
        <v>654</v>
      </c>
      <c r="C26" s="33" t="n">
        <f aca="false">AVC_Per_Month</f>
        <v>200</v>
      </c>
      <c r="E26" s="32" t="s">
        <v>673</v>
      </c>
    </row>
  </sheetData>
  <mergeCells count="4">
    <mergeCell ref="B19:E19"/>
    <mergeCell ref="B20:E20"/>
    <mergeCell ref="B21:E21"/>
    <mergeCell ref="B22:E22"/>
  </mergeCells>
  <dataValidations count="4">
    <dataValidation allowBlank="false" error="Please enter 1% to 7% · steps of 0.5%." errorStyle="stop" errorTitle="Outside the allowed range" operator="between" prompt="Unit: %. Allowed: 1% to 7% · steps of 0.5%." promptTitle="Growth assumption a year" showDropDown="false" showErrorMessage="true" showInputMessage="true" sqref="C8" type="decimal">
      <formula1>0.01</formula1>
      <formula2>0.07</formula2>
    </dataValidation>
    <dataValidation allowBlank="false" error="Please enter €25 to €20,000 · steps of €25." errorStyle="stop" errorTitle="Outside the allowed range" operator="between" prompt="Unit: €. Allowed: €25 to €20,000 · steps of €25." promptTitle="AVC per month" showDropDown="false" showErrorMessage="true" showInputMessage="true" sqref="C6" type="decimal">
      <formula1>25</formula1>
      <formula2>20000</formula2>
    </dataValidation>
    <dataValidation allowBlank="false" error="Please enter 1 to 40 · steps of 1." errorStyle="stop" errorTitle="Outside the allowed range" operator="between" prompt="Unit: years. Allowed: 1 to 40 · steps of 1." promptTitle="Years to retirement" showDropDown="false" showErrorMessage="true" showInputMessage="true" sqref="C7" type="whole">
      <formula1>1</formula1>
      <formula2>40</formula2>
    </dataValidation>
    <dataValidation allowBlank="false" error="Please enter 20% or 40%." errorStyle="stop" errorTitle="Outside the allowed range" operator="between" prompt="Unit: 20% or 40%. Allowed: 20% or 40%." promptTitle="Your tax rate (0.2 = 20%, 0.4 = " showDropDown="false" showErrorMessage="true" showInputMessage="true" sqref="C9" type="list">
      <formula1>"0.2,0.4"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674</v>
      </c>
      <c r="G1" s="2" t="s">
        <v>567</v>
      </c>
    </row>
    <row r="2" customFormat="false" ht="15" hidden="false" customHeight="false" outlineLevel="0" collapsed="false">
      <c r="B2" s="12" t="s">
        <v>675</v>
      </c>
      <c r="G2" s="2" t="s">
        <v>676</v>
      </c>
    </row>
    <row r="3" customFormat="false" ht="15" hidden="false" customHeight="false" outlineLevel="0" collapsed="false">
      <c r="B3" s="13" t="s">
        <v>677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678</v>
      </c>
      <c r="C6" s="17" t="n">
        <v>400000</v>
      </c>
      <c r="D6" s="18" t="s">
        <v>177</v>
      </c>
      <c r="E6" s="2" t="s">
        <v>679</v>
      </c>
      <c r="G6" s="19" t="s">
        <v>680</v>
      </c>
    </row>
    <row r="7" customFormat="false" ht="15" hidden="false" customHeight="false" outlineLevel="0" collapsed="false">
      <c r="B7" s="16" t="s">
        <v>681</v>
      </c>
      <c r="C7" s="17" t="n">
        <v>24000</v>
      </c>
      <c r="D7" s="18" t="s">
        <v>177</v>
      </c>
      <c r="E7" s="2" t="s">
        <v>682</v>
      </c>
      <c r="G7" s="19" t="s">
        <v>683</v>
      </c>
    </row>
    <row r="8" customFormat="false" ht="15" hidden="false" customHeight="false" outlineLevel="0" collapsed="false">
      <c r="B8" s="16" t="s">
        <v>636</v>
      </c>
      <c r="C8" s="21" t="n">
        <v>0.03</v>
      </c>
      <c r="D8" s="18" t="s">
        <v>192</v>
      </c>
      <c r="E8" s="2" t="s">
        <v>457</v>
      </c>
      <c r="G8" s="19" t="s">
        <v>684</v>
      </c>
    </row>
    <row r="10" customFormat="false" ht="15" hidden="false" customHeight="false" outlineLevel="0" collapsed="false">
      <c r="B10" s="14" t="s">
        <v>202</v>
      </c>
      <c r="C10" s="15" t="s">
        <v>203</v>
      </c>
      <c r="D10" s="15" t="s">
        <v>204</v>
      </c>
      <c r="E10" s="15" t="s">
        <v>205</v>
      </c>
    </row>
    <row r="11" customFormat="false" ht="17.35" hidden="false" customHeight="false" outlineLevel="0" collapsed="false">
      <c r="B11" s="12" t="s">
        <v>685</v>
      </c>
      <c r="C11" s="35" t="n">
        <f aca="false">SUM(W_paid)</f>
        <v>18</v>
      </c>
      <c r="D11" s="36" t="str">
        <f aca="false">IF(Years_Lasting&gt;=Cap_Years,Cap_Years&amp;"+ years",Years_Lasting&amp;IF(Years_Lasting=1," year"," years"))</f>
        <v>18 years</v>
      </c>
      <c r="E11" s="24" t="s">
        <v>686</v>
      </c>
    </row>
    <row r="12" customFormat="false" ht="15" hidden="false" customHeight="false" outlineLevel="0" collapsed="false">
      <c r="B12" s="16" t="s">
        <v>687</v>
      </c>
      <c r="C12" s="45" t="n">
        <f aca="false">Yearly_Withdrawal/Retirement_Savings</f>
        <v>0.06</v>
      </c>
      <c r="D12" s="18" t="s">
        <v>192</v>
      </c>
      <c r="E12" s="24" t="s">
        <v>688</v>
      </c>
    </row>
    <row r="13" customFormat="false" ht="15" hidden="false" customHeight="false" outlineLevel="0" collapsed="false">
      <c r="B13" s="14" t="s">
        <v>689</v>
      </c>
      <c r="C13" s="28"/>
      <c r="D13" s="28"/>
      <c r="E13" s="28"/>
    </row>
    <row r="14" customFormat="false" ht="27.75" hidden="false" customHeight="true" outlineLevel="0" collapsed="false">
      <c r="B14" s="46" t="s">
        <v>690</v>
      </c>
      <c r="C14" s="46" t="s">
        <v>691</v>
      </c>
      <c r="D14" s="46" t="s">
        <v>692</v>
      </c>
      <c r="E14" s="46" t="s">
        <v>693</v>
      </c>
      <c r="F14" s="46" t="s">
        <v>694</v>
      </c>
    </row>
    <row r="15" customFormat="false" ht="15" hidden="false" customHeight="false" outlineLevel="0" collapsed="false">
      <c r="B15" s="47" t="n">
        <v>1</v>
      </c>
      <c r="C15" s="48" t="n">
        <f aca="false">Yearly_Withdrawal</f>
        <v>24000</v>
      </c>
      <c r="D15" s="48" t="n">
        <f aca="false">Retirement_Savings</f>
        <v>400000</v>
      </c>
      <c r="E15" s="47" t="n">
        <f aca="false">IF(D15&gt;=C15,1,0)</f>
        <v>1</v>
      </c>
      <c r="F15" s="48" t="n">
        <f aca="false">IF(E15=1,(D15-C15)*(1+Growth_Rate),0)</f>
        <v>387280</v>
      </c>
    </row>
    <row r="16" customFormat="false" ht="15" hidden="false" customHeight="false" outlineLevel="0" collapsed="false">
      <c r="B16" s="47" t="n">
        <v>2</v>
      </c>
      <c r="C16" s="48" t="n">
        <f aca="false">C15*(1+Inflation)</f>
        <v>24480</v>
      </c>
      <c r="D16" s="48" t="n">
        <f aca="false">F15</f>
        <v>387280</v>
      </c>
      <c r="E16" s="47" t="n">
        <f aca="false">IF(D16&gt;=C16,1,0)</f>
        <v>1</v>
      </c>
      <c r="F16" s="48" t="n">
        <f aca="false">IF(E16=1,(D16-C16)*(1+Growth_Rate),0)</f>
        <v>373684</v>
      </c>
    </row>
    <row r="17" customFormat="false" ht="15" hidden="false" customHeight="false" outlineLevel="0" collapsed="false">
      <c r="B17" s="47" t="n">
        <v>3</v>
      </c>
      <c r="C17" s="48" t="n">
        <f aca="false">C16*(1+Inflation)</f>
        <v>24969.6</v>
      </c>
      <c r="D17" s="48" t="n">
        <f aca="false">F16</f>
        <v>373684</v>
      </c>
      <c r="E17" s="47" t="n">
        <f aca="false">IF(D17&gt;=C17,1,0)</f>
        <v>1</v>
      </c>
      <c r="F17" s="48" t="n">
        <f aca="false">IF(E17=1,(D17-C17)*(1+Growth_Rate),0)</f>
        <v>359175.832</v>
      </c>
    </row>
    <row r="18" customFormat="false" ht="15" hidden="false" customHeight="false" outlineLevel="0" collapsed="false">
      <c r="B18" s="47" t="n">
        <v>4</v>
      </c>
      <c r="C18" s="48" t="n">
        <f aca="false">C17*(1+Inflation)</f>
        <v>25468.992</v>
      </c>
      <c r="D18" s="48" t="n">
        <f aca="false">F17</f>
        <v>359175.832</v>
      </c>
      <c r="E18" s="47" t="n">
        <f aca="false">IF(D18&gt;=C18,1,0)</f>
        <v>1</v>
      </c>
      <c r="F18" s="48" t="n">
        <f aca="false">IF(E18=1,(D18-C18)*(1+Growth_Rate),0)</f>
        <v>343718.0452</v>
      </c>
    </row>
    <row r="19" customFormat="false" ht="15" hidden="false" customHeight="false" outlineLevel="0" collapsed="false">
      <c r="B19" s="47" t="n">
        <v>5</v>
      </c>
      <c r="C19" s="48" t="n">
        <f aca="false">C18*(1+Inflation)</f>
        <v>25978.37184</v>
      </c>
      <c r="D19" s="48" t="n">
        <f aca="false">F18</f>
        <v>343718.0452</v>
      </c>
      <c r="E19" s="47" t="n">
        <f aca="false">IF(D19&gt;=C19,1,0)</f>
        <v>1</v>
      </c>
      <c r="F19" s="48" t="n">
        <f aca="false">IF(E19=1,(D19-C19)*(1+Growth_Rate),0)</f>
        <v>327271.8635608</v>
      </c>
    </row>
    <row r="20" customFormat="false" ht="15" hidden="false" customHeight="false" outlineLevel="0" collapsed="false">
      <c r="B20" s="47" t="n">
        <v>6</v>
      </c>
      <c r="C20" s="48" t="n">
        <f aca="false">C19*(1+Inflation)</f>
        <v>26497.9392768</v>
      </c>
      <c r="D20" s="48" t="n">
        <f aca="false">F19</f>
        <v>327271.8635608</v>
      </c>
      <c r="E20" s="47" t="n">
        <f aca="false">IF(D20&gt;=C20,1,0)</f>
        <v>1</v>
      </c>
      <c r="F20" s="48" t="n">
        <f aca="false">IF(E20=1,(D20-C20)*(1+Growth_Rate),0)</f>
        <v>309797.14201252</v>
      </c>
    </row>
    <row r="21" customFormat="false" ht="15" hidden="false" customHeight="false" outlineLevel="0" collapsed="false">
      <c r="B21" s="47" t="n">
        <v>7</v>
      </c>
      <c r="C21" s="48" t="n">
        <f aca="false">C20*(1+Inflation)</f>
        <v>27027.898062336</v>
      </c>
      <c r="D21" s="48" t="n">
        <f aca="false">F20</f>
        <v>309797.14201252</v>
      </c>
      <c r="E21" s="47" t="n">
        <f aca="false">IF(D21&gt;=C21,1,0)</f>
        <v>1</v>
      </c>
      <c r="F21" s="48" t="n">
        <f aca="false">IF(E21=1,(D21-C21)*(1+Growth_Rate),0)</f>
        <v>291252.32126869</v>
      </c>
    </row>
    <row r="22" customFormat="false" ht="15" hidden="false" customHeight="false" outlineLevel="0" collapsed="false">
      <c r="B22" s="47" t="n">
        <v>8</v>
      </c>
      <c r="C22" s="48" t="n">
        <f aca="false">C21*(1+Inflation)</f>
        <v>27568.4560235827</v>
      </c>
      <c r="D22" s="48" t="n">
        <f aca="false">F21</f>
        <v>291252.32126869</v>
      </c>
      <c r="E22" s="47" t="n">
        <f aca="false">IF(D22&gt;=C22,1,0)</f>
        <v>1</v>
      </c>
      <c r="F22" s="48" t="n">
        <f aca="false">IF(E22=1,(D22-C22)*(1+Growth_Rate),0)</f>
        <v>271594.38120246</v>
      </c>
    </row>
    <row r="23" customFormat="false" ht="15" hidden="false" customHeight="false" outlineLevel="0" collapsed="false">
      <c r="B23" s="47" t="n">
        <v>9</v>
      </c>
      <c r="C23" s="48" t="n">
        <f aca="false">C22*(1+Inflation)</f>
        <v>28119.8251440544</v>
      </c>
      <c r="D23" s="48" t="n">
        <f aca="false">F22</f>
        <v>271594.38120246</v>
      </c>
      <c r="E23" s="47" t="n">
        <f aca="false">IF(D23&gt;=C23,1,0)</f>
        <v>1</v>
      </c>
      <c r="F23" s="48" t="n">
        <f aca="false">IF(E23=1,(D23-C23)*(1+Growth_Rate),0)</f>
        <v>250778.792740158</v>
      </c>
    </row>
    <row r="24" customFormat="false" ht="15" hidden="false" customHeight="false" outlineLevel="0" collapsed="false">
      <c r="B24" s="47" t="n">
        <v>10</v>
      </c>
      <c r="C24" s="48" t="n">
        <f aca="false">C23*(1+Inflation)</f>
        <v>28682.2216469355</v>
      </c>
      <c r="D24" s="48" t="n">
        <f aca="false">F23</f>
        <v>250778.792740158</v>
      </c>
      <c r="E24" s="47" t="n">
        <f aca="false">IF(D24&gt;=C24,1,0)</f>
        <v>1</v>
      </c>
      <c r="F24" s="48" t="n">
        <f aca="false">IF(E24=1,(D24-C24)*(1+Growth_Rate),0)</f>
        <v>228759.468226019</v>
      </c>
    </row>
    <row r="25" customFormat="false" ht="15" hidden="false" customHeight="false" outlineLevel="0" collapsed="false">
      <c r="B25" s="47" t="n">
        <v>11</v>
      </c>
      <c r="C25" s="48" t="n">
        <f aca="false">C24*(1+Inflation)</f>
        <v>29255.8660798742</v>
      </c>
      <c r="D25" s="48" t="n">
        <f aca="false">F24</f>
        <v>228759.468226019</v>
      </c>
      <c r="E25" s="47" t="n">
        <f aca="false">IF(D25&gt;=C25,1,0)</f>
        <v>1</v>
      </c>
      <c r="F25" s="48" t="n">
        <f aca="false">IF(E25=1,(D25-C25)*(1+Growth_Rate),0)</f>
        <v>205488.710210529</v>
      </c>
    </row>
    <row r="26" customFormat="false" ht="15" hidden="false" customHeight="false" outlineLevel="0" collapsed="false">
      <c r="B26" s="47" t="n">
        <v>12</v>
      </c>
      <c r="C26" s="48" t="n">
        <f aca="false">C25*(1+Inflation)</f>
        <v>29840.9834014717</v>
      </c>
      <c r="D26" s="48" t="n">
        <f aca="false">F25</f>
        <v>205488.710210529</v>
      </c>
      <c r="E26" s="47" t="n">
        <f aca="false">IF(D26&gt;=C26,1,0)</f>
        <v>1</v>
      </c>
      <c r="F26" s="48" t="n">
        <f aca="false">IF(E26=1,(D26-C26)*(1+Growth_Rate),0)</f>
        <v>180917.158613329</v>
      </c>
    </row>
    <row r="27" customFormat="false" ht="15" hidden="false" customHeight="false" outlineLevel="0" collapsed="false">
      <c r="B27" s="47" t="n">
        <v>13</v>
      </c>
      <c r="C27" s="48" t="n">
        <f aca="false">C26*(1+Inflation)</f>
        <v>30437.8030695011</v>
      </c>
      <c r="D27" s="48" t="n">
        <f aca="false">F26</f>
        <v>180917.158613329</v>
      </c>
      <c r="E27" s="47" t="n">
        <f aca="false">IF(D27&gt;=C27,1,0)</f>
        <v>1</v>
      </c>
      <c r="F27" s="48" t="n">
        <f aca="false">IF(E27=1,(D27-C27)*(1+Growth_Rate),0)</f>
        <v>154993.736210143</v>
      </c>
    </row>
    <row r="28" customFormat="false" ht="15" hidden="false" customHeight="false" outlineLevel="0" collapsed="false">
      <c r="B28" s="47" t="n">
        <v>14</v>
      </c>
      <c r="C28" s="48" t="n">
        <f aca="false">C27*(1+Inflation)</f>
        <v>31046.5591308911</v>
      </c>
      <c r="D28" s="48" t="n">
        <f aca="false">F27</f>
        <v>154993.736210143</v>
      </c>
      <c r="E28" s="47" t="n">
        <f aca="false">IF(D28&gt;=C28,1,0)</f>
        <v>1</v>
      </c>
      <c r="F28" s="48" t="n">
        <f aca="false">IF(E28=1,(D28-C28)*(1+Growth_Rate),0)</f>
        <v>127665.592391629</v>
      </c>
    </row>
    <row r="29" customFormat="false" ht="15" hidden="false" customHeight="false" outlineLevel="0" collapsed="false">
      <c r="B29" s="47" t="n">
        <v>15</v>
      </c>
      <c r="C29" s="48" t="n">
        <f aca="false">C28*(1+Inflation)</f>
        <v>31667.4903135089</v>
      </c>
      <c r="D29" s="48" t="n">
        <f aca="false">F28</f>
        <v>127665.592391629</v>
      </c>
      <c r="E29" s="47" t="n">
        <f aca="false">IF(D29&gt;=C29,1,0)</f>
        <v>1</v>
      </c>
      <c r="F29" s="48" t="n">
        <f aca="false">IF(E29=1,(D29-C29)*(1+Growth_Rate),0)</f>
        <v>98878.0451404641</v>
      </c>
    </row>
    <row r="30" customFormat="false" ht="15" hidden="false" customHeight="false" outlineLevel="0" collapsed="false">
      <c r="B30" s="47" t="n">
        <v>16</v>
      </c>
      <c r="C30" s="48" t="n">
        <f aca="false">C29*(1+Inflation)</f>
        <v>32300.8401197791</v>
      </c>
      <c r="D30" s="48" t="n">
        <f aca="false">F29</f>
        <v>98878.0451404641</v>
      </c>
      <c r="E30" s="47" t="n">
        <f aca="false">IF(D30&gt;=C30,1,0)</f>
        <v>1</v>
      </c>
      <c r="F30" s="48" t="n">
        <f aca="false">IF(E30=1,(D30-C30)*(1+Growth_Rate),0)</f>
        <v>68574.5211713056</v>
      </c>
    </row>
    <row r="31" customFormat="false" ht="15" hidden="false" customHeight="false" outlineLevel="0" collapsed="false">
      <c r="B31" s="47" t="n">
        <v>17</v>
      </c>
      <c r="C31" s="48" t="n">
        <f aca="false">C30*(1+Inflation)</f>
        <v>32946.8569221747</v>
      </c>
      <c r="D31" s="48" t="n">
        <f aca="false">F30</f>
        <v>68574.5211713056</v>
      </c>
      <c r="E31" s="47" t="n">
        <f aca="false">IF(D31&gt;=C31,1,0)</f>
        <v>1</v>
      </c>
      <c r="F31" s="48" t="n">
        <f aca="false">IF(E31=1,(D31-C31)*(1+Growth_Rate),0)</f>
        <v>36696.4941766048</v>
      </c>
    </row>
    <row r="32" customFormat="false" ht="15" hidden="false" customHeight="false" outlineLevel="0" collapsed="false">
      <c r="B32" s="47" t="n">
        <v>18</v>
      </c>
      <c r="C32" s="48" t="n">
        <f aca="false">C31*(1+Inflation)</f>
        <v>33605.7940606182</v>
      </c>
      <c r="D32" s="48" t="n">
        <f aca="false">F31</f>
        <v>36696.4941766048</v>
      </c>
      <c r="E32" s="47" t="n">
        <f aca="false">IF(D32&gt;=C32,1,0)</f>
        <v>1</v>
      </c>
      <c r="F32" s="48" t="n">
        <f aca="false">IF(E32=1,(D32-C32)*(1+Growth_Rate),0)</f>
        <v>3183.42111946617</v>
      </c>
    </row>
    <row r="33" customFormat="false" ht="15" hidden="false" customHeight="false" outlineLevel="0" collapsed="false">
      <c r="B33" s="47" t="n">
        <v>19</v>
      </c>
      <c r="C33" s="48" t="n">
        <f aca="false">C32*(1+Inflation)</f>
        <v>34277.9099418306</v>
      </c>
      <c r="D33" s="48" t="n">
        <f aca="false">F32</f>
        <v>3183.42111946617</v>
      </c>
      <c r="E33" s="47" t="n">
        <f aca="false">IF(D33&gt;=C33,1,0)</f>
        <v>0</v>
      </c>
      <c r="F33" s="48" t="n">
        <f aca="false">IF(E33=1,(D33-C33)*(1+Growth_Rate),0)</f>
        <v>0</v>
      </c>
    </row>
    <row r="34" customFormat="false" ht="15" hidden="false" customHeight="false" outlineLevel="0" collapsed="false">
      <c r="B34" s="47" t="n">
        <v>20</v>
      </c>
      <c r="C34" s="48" t="n">
        <f aca="false">C33*(1+Inflation)</f>
        <v>34963.4681406672</v>
      </c>
      <c r="D34" s="48" t="n">
        <f aca="false">F33</f>
        <v>0</v>
      </c>
      <c r="E34" s="47" t="n">
        <f aca="false">IF(D34&gt;=C34,1,0)</f>
        <v>0</v>
      </c>
      <c r="F34" s="48" t="n">
        <f aca="false">IF(E34=1,(D34-C34)*(1+Growth_Rate),0)</f>
        <v>0</v>
      </c>
    </row>
    <row r="35" customFormat="false" ht="15" hidden="false" customHeight="false" outlineLevel="0" collapsed="false">
      <c r="B35" s="47" t="n">
        <v>21</v>
      </c>
      <c r="C35" s="48" t="n">
        <f aca="false">C34*(1+Inflation)</f>
        <v>35662.7375034805</v>
      </c>
      <c r="D35" s="48" t="n">
        <f aca="false">F34</f>
        <v>0</v>
      </c>
      <c r="E35" s="47" t="n">
        <f aca="false">IF(D35&gt;=C35,1,0)</f>
        <v>0</v>
      </c>
      <c r="F35" s="48" t="n">
        <f aca="false">IF(E35=1,(D35-C35)*(1+Growth_Rate),0)</f>
        <v>0</v>
      </c>
    </row>
    <row r="36" customFormat="false" ht="15" hidden="false" customHeight="false" outlineLevel="0" collapsed="false">
      <c r="B36" s="47" t="n">
        <v>22</v>
      </c>
      <c r="C36" s="48" t="n">
        <f aca="false">C35*(1+Inflation)</f>
        <v>36375.9922535501</v>
      </c>
      <c r="D36" s="48" t="n">
        <f aca="false">F35</f>
        <v>0</v>
      </c>
      <c r="E36" s="47" t="n">
        <f aca="false">IF(D36&gt;=C36,1,0)</f>
        <v>0</v>
      </c>
      <c r="F36" s="48" t="n">
        <f aca="false">IF(E36=1,(D36-C36)*(1+Growth_Rate),0)</f>
        <v>0</v>
      </c>
    </row>
    <row r="37" customFormat="false" ht="15" hidden="false" customHeight="false" outlineLevel="0" collapsed="false">
      <c r="B37" s="47" t="n">
        <v>23</v>
      </c>
      <c r="C37" s="48" t="n">
        <f aca="false">C36*(1+Inflation)</f>
        <v>37103.5120986211</v>
      </c>
      <c r="D37" s="48" t="n">
        <f aca="false">F36</f>
        <v>0</v>
      </c>
      <c r="E37" s="47" t="n">
        <f aca="false">IF(D37&gt;=C37,1,0)</f>
        <v>0</v>
      </c>
      <c r="F37" s="48" t="n">
        <f aca="false">IF(E37=1,(D37-C37)*(1+Growth_Rate),0)</f>
        <v>0</v>
      </c>
    </row>
    <row r="38" customFormat="false" ht="15" hidden="false" customHeight="false" outlineLevel="0" collapsed="false">
      <c r="B38" s="47" t="n">
        <v>24</v>
      </c>
      <c r="C38" s="48" t="n">
        <f aca="false">C37*(1+Inflation)</f>
        <v>37845.5823405936</v>
      </c>
      <c r="D38" s="48" t="n">
        <f aca="false">F37</f>
        <v>0</v>
      </c>
      <c r="E38" s="47" t="n">
        <f aca="false">IF(D38&gt;=C38,1,0)</f>
        <v>0</v>
      </c>
      <c r="F38" s="48" t="n">
        <f aca="false">IF(E38=1,(D38-C38)*(1+Growth_Rate),0)</f>
        <v>0</v>
      </c>
    </row>
    <row r="39" customFormat="false" ht="15" hidden="false" customHeight="false" outlineLevel="0" collapsed="false">
      <c r="B39" s="47" t="n">
        <v>25</v>
      </c>
      <c r="C39" s="48" t="n">
        <f aca="false">C38*(1+Inflation)</f>
        <v>38602.4939874054</v>
      </c>
      <c r="D39" s="48" t="n">
        <f aca="false">F38</f>
        <v>0</v>
      </c>
      <c r="E39" s="47" t="n">
        <f aca="false">IF(D39&gt;=C39,1,0)</f>
        <v>0</v>
      </c>
      <c r="F39" s="48" t="n">
        <f aca="false">IF(E39=1,(D39-C39)*(1+Growth_Rate),0)</f>
        <v>0</v>
      </c>
    </row>
    <row r="40" customFormat="false" ht="15" hidden="false" customHeight="false" outlineLevel="0" collapsed="false">
      <c r="B40" s="47" t="n">
        <v>26</v>
      </c>
      <c r="C40" s="48" t="n">
        <f aca="false">C39*(1+Inflation)</f>
        <v>39374.5438671535</v>
      </c>
      <c r="D40" s="48" t="n">
        <f aca="false">F39</f>
        <v>0</v>
      </c>
      <c r="E40" s="47" t="n">
        <f aca="false">IF(D40&gt;=C40,1,0)</f>
        <v>0</v>
      </c>
      <c r="F40" s="48" t="n">
        <f aca="false">IF(E40=1,(D40-C40)*(1+Growth_Rate),0)</f>
        <v>0</v>
      </c>
    </row>
    <row r="41" customFormat="false" ht="15" hidden="false" customHeight="false" outlineLevel="0" collapsed="false">
      <c r="B41" s="47" t="n">
        <v>27</v>
      </c>
      <c r="C41" s="48" t="n">
        <f aca="false">C40*(1+Inflation)</f>
        <v>40162.0347444966</v>
      </c>
      <c r="D41" s="48" t="n">
        <f aca="false">F40</f>
        <v>0</v>
      </c>
      <c r="E41" s="47" t="n">
        <f aca="false">IF(D41&gt;=C41,1,0)</f>
        <v>0</v>
      </c>
      <c r="F41" s="48" t="n">
        <f aca="false">IF(E41=1,(D41-C41)*(1+Growth_Rate),0)</f>
        <v>0</v>
      </c>
    </row>
    <row r="42" customFormat="false" ht="15" hidden="false" customHeight="false" outlineLevel="0" collapsed="false">
      <c r="B42" s="47" t="n">
        <v>28</v>
      </c>
      <c r="C42" s="48" t="n">
        <f aca="false">C41*(1+Inflation)</f>
        <v>40965.2754393865</v>
      </c>
      <c r="D42" s="48" t="n">
        <f aca="false">F41</f>
        <v>0</v>
      </c>
      <c r="E42" s="47" t="n">
        <f aca="false">IF(D42&gt;=C42,1,0)</f>
        <v>0</v>
      </c>
      <c r="F42" s="48" t="n">
        <f aca="false">IF(E42=1,(D42-C42)*(1+Growth_Rate),0)</f>
        <v>0</v>
      </c>
    </row>
    <row r="43" customFormat="false" ht="15" hidden="false" customHeight="false" outlineLevel="0" collapsed="false">
      <c r="B43" s="47" t="n">
        <v>29</v>
      </c>
      <c r="C43" s="48" t="n">
        <f aca="false">C42*(1+Inflation)</f>
        <v>41784.5809481743</v>
      </c>
      <c r="D43" s="48" t="n">
        <f aca="false">F42</f>
        <v>0</v>
      </c>
      <c r="E43" s="47" t="n">
        <f aca="false">IF(D43&gt;=C43,1,0)</f>
        <v>0</v>
      </c>
      <c r="F43" s="48" t="n">
        <f aca="false">IF(E43=1,(D43-C43)*(1+Growth_Rate),0)</f>
        <v>0</v>
      </c>
    </row>
    <row r="44" customFormat="false" ht="15" hidden="false" customHeight="false" outlineLevel="0" collapsed="false">
      <c r="B44" s="47" t="n">
        <v>30</v>
      </c>
      <c r="C44" s="48" t="n">
        <f aca="false">C43*(1+Inflation)</f>
        <v>42620.2725671378</v>
      </c>
      <c r="D44" s="48" t="n">
        <f aca="false">F43</f>
        <v>0</v>
      </c>
      <c r="E44" s="47" t="n">
        <f aca="false">IF(D44&gt;=C44,1,0)</f>
        <v>0</v>
      </c>
      <c r="F44" s="48" t="n">
        <f aca="false">IF(E44=1,(D44-C44)*(1+Growth_Rate),0)</f>
        <v>0</v>
      </c>
    </row>
    <row r="45" customFormat="false" ht="15" hidden="false" customHeight="false" outlineLevel="0" collapsed="false">
      <c r="B45" s="47" t="n">
        <v>31</v>
      </c>
      <c r="C45" s="48" t="n">
        <f aca="false">C44*(1+Inflation)</f>
        <v>43472.6780184805</v>
      </c>
      <c r="D45" s="48" t="n">
        <f aca="false">F44</f>
        <v>0</v>
      </c>
      <c r="E45" s="47" t="n">
        <f aca="false">IF(D45&gt;=C45,1,0)</f>
        <v>0</v>
      </c>
      <c r="F45" s="48" t="n">
        <f aca="false">IF(E45=1,(D45-C45)*(1+Growth_Rate),0)</f>
        <v>0</v>
      </c>
    </row>
    <row r="46" customFormat="false" ht="15" hidden="false" customHeight="false" outlineLevel="0" collapsed="false">
      <c r="B46" s="47" t="n">
        <v>32</v>
      </c>
      <c r="C46" s="48" t="n">
        <f aca="false">C45*(1+Inflation)</f>
        <v>44342.1315788501</v>
      </c>
      <c r="D46" s="48" t="n">
        <f aca="false">F45</f>
        <v>0</v>
      </c>
      <c r="E46" s="47" t="n">
        <f aca="false">IF(D46&gt;=C46,1,0)</f>
        <v>0</v>
      </c>
      <c r="F46" s="48" t="n">
        <f aca="false">IF(E46=1,(D46-C46)*(1+Growth_Rate),0)</f>
        <v>0</v>
      </c>
    </row>
    <row r="47" customFormat="false" ht="15" hidden="false" customHeight="false" outlineLevel="0" collapsed="false">
      <c r="B47" s="47" t="n">
        <v>33</v>
      </c>
      <c r="C47" s="48" t="n">
        <f aca="false">C46*(1+Inflation)</f>
        <v>45228.9742104271</v>
      </c>
      <c r="D47" s="48" t="n">
        <f aca="false">F46</f>
        <v>0</v>
      </c>
      <c r="E47" s="47" t="n">
        <f aca="false">IF(D47&gt;=C47,1,0)</f>
        <v>0</v>
      </c>
      <c r="F47" s="48" t="n">
        <f aca="false">IF(E47=1,(D47-C47)*(1+Growth_Rate),0)</f>
        <v>0</v>
      </c>
    </row>
    <row r="48" customFormat="false" ht="15" hidden="false" customHeight="false" outlineLevel="0" collapsed="false">
      <c r="B48" s="47" t="n">
        <v>34</v>
      </c>
      <c r="C48" s="48" t="n">
        <f aca="false">C47*(1+Inflation)</f>
        <v>46133.5536946357</v>
      </c>
      <c r="D48" s="48" t="n">
        <f aca="false">F47</f>
        <v>0</v>
      </c>
      <c r="E48" s="47" t="n">
        <f aca="false">IF(D48&gt;=C48,1,0)</f>
        <v>0</v>
      </c>
      <c r="F48" s="48" t="n">
        <f aca="false">IF(E48=1,(D48-C48)*(1+Growth_Rate),0)</f>
        <v>0</v>
      </c>
    </row>
    <row r="49" customFormat="false" ht="15" hidden="false" customHeight="false" outlineLevel="0" collapsed="false">
      <c r="B49" s="47" t="n">
        <v>35</v>
      </c>
      <c r="C49" s="48" t="n">
        <f aca="false">C48*(1+Inflation)</f>
        <v>47056.2247685284</v>
      </c>
      <c r="D49" s="48" t="n">
        <f aca="false">F48</f>
        <v>0</v>
      </c>
      <c r="E49" s="47" t="n">
        <f aca="false">IF(D49&gt;=C49,1,0)</f>
        <v>0</v>
      </c>
      <c r="F49" s="48" t="n">
        <f aca="false">IF(E49=1,(D49-C49)*(1+Growth_Rate),0)</f>
        <v>0</v>
      </c>
    </row>
    <row r="50" customFormat="false" ht="15" hidden="false" customHeight="false" outlineLevel="0" collapsed="false">
      <c r="B50" s="47" t="n">
        <v>36</v>
      </c>
      <c r="C50" s="48" t="n">
        <f aca="false">C49*(1+Inflation)</f>
        <v>47997.349263899</v>
      </c>
      <c r="D50" s="48" t="n">
        <f aca="false">F49</f>
        <v>0</v>
      </c>
      <c r="E50" s="47" t="n">
        <f aca="false">IF(D50&gt;=C50,1,0)</f>
        <v>0</v>
      </c>
      <c r="F50" s="48" t="n">
        <f aca="false">IF(E50=1,(D50-C50)*(1+Growth_Rate),0)</f>
        <v>0</v>
      </c>
    </row>
    <row r="51" customFormat="false" ht="15" hidden="false" customHeight="false" outlineLevel="0" collapsed="false">
      <c r="B51" s="47" t="n">
        <v>37</v>
      </c>
      <c r="C51" s="48" t="n">
        <f aca="false">C50*(1+Inflation)</f>
        <v>48957.2962491769</v>
      </c>
      <c r="D51" s="48" t="n">
        <f aca="false">F50</f>
        <v>0</v>
      </c>
      <c r="E51" s="47" t="n">
        <f aca="false">IF(D51&gt;=C51,1,0)</f>
        <v>0</v>
      </c>
      <c r="F51" s="48" t="n">
        <f aca="false">IF(E51=1,(D51-C51)*(1+Growth_Rate),0)</f>
        <v>0</v>
      </c>
    </row>
    <row r="52" customFormat="false" ht="15" hidden="false" customHeight="false" outlineLevel="0" collapsed="false">
      <c r="B52" s="47" t="n">
        <v>38</v>
      </c>
      <c r="C52" s="48" t="n">
        <f aca="false">C51*(1+Inflation)</f>
        <v>49936.4421741605</v>
      </c>
      <c r="D52" s="48" t="n">
        <f aca="false">F51</f>
        <v>0</v>
      </c>
      <c r="E52" s="47" t="n">
        <f aca="false">IF(D52&gt;=C52,1,0)</f>
        <v>0</v>
      </c>
      <c r="F52" s="48" t="n">
        <f aca="false">IF(E52=1,(D52-C52)*(1+Growth_Rate),0)</f>
        <v>0</v>
      </c>
    </row>
    <row r="53" customFormat="false" ht="15" hidden="false" customHeight="false" outlineLevel="0" collapsed="false">
      <c r="B53" s="47" t="n">
        <v>39</v>
      </c>
      <c r="C53" s="48" t="n">
        <f aca="false">C52*(1+Inflation)</f>
        <v>50935.1710176437</v>
      </c>
      <c r="D53" s="48" t="n">
        <f aca="false">F52</f>
        <v>0</v>
      </c>
      <c r="E53" s="47" t="n">
        <f aca="false">IF(D53&gt;=C53,1,0)</f>
        <v>0</v>
      </c>
      <c r="F53" s="48" t="n">
        <f aca="false">IF(E53=1,(D53-C53)*(1+Growth_Rate),0)</f>
        <v>0</v>
      </c>
    </row>
    <row r="54" customFormat="false" ht="15" hidden="false" customHeight="false" outlineLevel="0" collapsed="false">
      <c r="B54" s="47" t="n">
        <v>40</v>
      </c>
      <c r="C54" s="48" t="n">
        <f aca="false">C53*(1+Inflation)</f>
        <v>51953.8744379966</v>
      </c>
      <c r="D54" s="48" t="n">
        <f aca="false">F53</f>
        <v>0</v>
      </c>
      <c r="E54" s="47" t="n">
        <f aca="false">IF(D54&gt;=C54,1,0)</f>
        <v>0</v>
      </c>
      <c r="F54" s="48" t="n">
        <f aca="false">IF(E54=1,(D54-C54)*(1+Growth_Rate),0)</f>
        <v>0</v>
      </c>
    </row>
    <row r="55" customFormat="false" ht="15" hidden="false" customHeight="false" outlineLevel="0" collapsed="false">
      <c r="B55" s="47" t="n">
        <v>41</v>
      </c>
      <c r="C55" s="48" t="n">
        <f aca="false">C54*(1+Inflation)</f>
        <v>52992.9519267565</v>
      </c>
      <c r="D55" s="48" t="n">
        <f aca="false">F54</f>
        <v>0</v>
      </c>
      <c r="E55" s="47" t="n">
        <f aca="false">IF(D55&gt;=C55,1,0)</f>
        <v>0</v>
      </c>
      <c r="F55" s="48" t="n">
        <f aca="false">IF(E55=1,(D55-C55)*(1+Growth_Rate),0)</f>
        <v>0</v>
      </c>
    </row>
    <row r="56" customFormat="false" ht="15" hidden="false" customHeight="false" outlineLevel="0" collapsed="false">
      <c r="B56" s="47" t="n">
        <v>42</v>
      </c>
      <c r="C56" s="48" t="n">
        <f aca="false">C55*(1+Inflation)</f>
        <v>54052.8109652916</v>
      </c>
      <c r="D56" s="48" t="n">
        <f aca="false">F55</f>
        <v>0</v>
      </c>
      <c r="E56" s="47" t="n">
        <f aca="false">IF(D56&gt;=C56,1,0)</f>
        <v>0</v>
      </c>
      <c r="F56" s="48" t="n">
        <f aca="false">IF(E56=1,(D56-C56)*(1+Growth_Rate),0)</f>
        <v>0</v>
      </c>
    </row>
    <row r="57" customFormat="false" ht="15" hidden="false" customHeight="false" outlineLevel="0" collapsed="false">
      <c r="B57" s="47" t="n">
        <v>43</v>
      </c>
      <c r="C57" s="48" t="n">
        <f aca="false">C56*(1+Inflation)</f>
        <v>55133.8671845975</v>
      </c>
      <c r="D57" s="48" t="n">
        <f aca="false">F56</f>
        <v>0</v>
      </c>
      <c r="E57" s="47" t="n">
        <f aca="false">IF(D57&gt;=C57,1,0)</f>
        <v>0</v>
      </c>
      <c r="F57" s="48" t="n">
        <f aca="false">IF(E57=1,(D57-C57)*(1+Growth_Rate),0)</f>
        <v>0</v>
      </c>
    </row>
    <row r="58" customFormat="false" ht="15" hidden="false" customHeight="false" outlineLevel="0" collapsed="false">
      <c r="B58" s="47" t="n">
        <v>44</v>
      </c>
      <c r="C58" s="48" t="n">
        <f aca="false">C57*(1+Inflation)</f>
        <v>56236.5445282894</v>
      </c>
      <c r="D58" s="48" t="n">
        <f aca="false">F57</f>
        <v>0</v>
      </c>
      <c r="E58" s="47" t="n">
        <f aca="false">IF(D58&gt;=C58,1,0)</f>
        <v>0</v>
      </c>
      <c r="F58" s="48" t="n">
        <f aca="false">IF(E58=1,(D58-C58)*(1+Growth_Rate),0)</f>
        <v>0</v>
      </c>
    </row>
    <row r="59" customFormat="false" ht="15" hidden="false" customHeight="false" outlineLevel="0" collapsed="false">
      <c r="B59" s="47" t="n">
        <v>45</v>
      </c>
      <c r="C59" s="48" t="n">
        <f aca="false">C58*(1+Inflation)</f>
        <v>57361.2754188552</v>
      </c>
      <c r="D59" s="48" t="n">
        <f aca="false">F58</f>
        <v>0</v>
      </c>
      <c r="E59" s="47" t="n">
        <f aca="false">IF(D59&gt;=C59,1,0)</f>
        <v>0</v>
      </c>
      <c r="F59" s="48" t="n">
        <f aca="false">IF(E59=1,(D59-C59)*(1+Growth_Rate),0)</f>
        <v>0</v>
      </c>
    </row>
    <row r="60" customFormat="false" ht="15" hidden="false" customHeight="false" outlineLevel="0" collapsed="false">
      <c r="B60" s="47" t="n">
        <v>46</v>
      </c>
      <c r="C60" s="48" t="n">
        <f aca="false">C59*(1+Inflation)</f>
        <v>58508.5009272323</v>
      </c>
      <c r="D60" s="48" t="n">
        <f aca="false">F59</f>
        <v>0</v>
      </c>
      <c r="E60" s="47" t="n">
        <f aca="false">IF(D60&gt;=C60,1,0)</f>
        <v>0</v>
      </c>
      <c r="F60" s="48" t="n">
        <f aca="false">IF(E60=1,(D60-C60)*(1+Growth_Rate),0)</f>
        <v>0</v>
      </c>
    </row>
    <row r="61" customFormat="false" ht="15" hidden="false" customHeight="false" outlineLevel="0" collapsed="false">
      <c r="B61" s="47" t="n">
        <v>47</v>
      </c>
      <c r="C61" s="48" t="n">
        <f aca="false">C60*(1+Inflation)</f>
        <v>59678.6709457769</v>
      </c>
      <c r="D61" s="48" t="n">
        <f aca="false">F60</f>
        <v>0</v>
      </c>
      <c r="E61" s="47" t="n">
        <f aca="false">IF(D61&gt;=C61,1,0)</f>
        <v>0</v>
      </c>
      <c r="F61" s="48" t="n">
        <f aca="false">IF(E61=1,(D61-C61)*(1+Growth_Rate),0)</f>
        <v>0</v>
      </c>
    </row>
    <row r="62" customFormat="false" ht="15" hidden="false" customHeight="false" outlineLevel="0" collapsed="false">
      <c r="B62" s="47" t="n">
        <v>48</v>
      </c>
      <c r="C62" s="48" t="n">
        <f aca="false">C61*(1+Inflation)</f>
        <v>60872.2443646925</v>
      </c>
      <c r="D62" s="48" t="n">
        <f aca="false">F61</f>
        <v>0</v>
      </c>
      <c r="E62" s="47" t="n">
        <f aca="false">IF(D62&gt;=C62,1,0)</f>
        <v>0</v>
      </c>
      <c r="F62" s="48" t="n">
        <f aca="false">IF(E62=1,(D62-C62)*(1+Growth_Rate),0)</f>
        <v>0</v>
      </c>
    </row>
    <row r="63" customFormat="false" ht="15" hidden="false" customHeight="false" outlineLevel="0" collapsed="false">
      <c r="B63" s="47" t="n">
        <v>49</v>
      </c>
      <c r="C63" s="48" t="n">
        <f aca="false">C62*(1+Inflation)</f>
        <v>62089.6892519863</v>
      </c>
      <c r="D63" s="48" t="n">
        <f aca="false">F62</f>
        <v>0</v>
      </c>
      <c r="E63" s="47" t="n">
        <f aca="false">IF(D63&gt;=C63,1,0)</f>
        <v>0</v>
      </c>
      <c r="F63" s="48" t="n">
        <f aca="false">IF(E63=1,(D63-C63)*(1+Growth_Rate),0)</f>
        <v>0</v>
      </c>
    </row>
    <row r="64" customFormat="false" ht="15" hidden="false" customHeight="false" outlineLevel="0" collapsed="false">
      <c r="B64" s="47" t="n">
        <v>50</v>
      </c>
      <c r="C64" s="48" t="n">
        <f aca="false">C63*(1+Inflation)</f>
        <v>63331.4830370261</v>
      </c>
      <c r="D64" s="48" t="n">
        <f aca="false">F63</f>
        <v>0</v>
      </c>
      <c r="E64" s="47" t="n">
        <f aca="false">IF(D64&gt;=C64,1,0)</f>
        <v>0</v>
      </c>
      <c r="F64" s="48" t="n">
        <f aca="false">IF(E64=1,(D64-C64)*(1+Growth_Rate),0)</f>
        <v>0</v>
      </c>
    </row>
    <row r="65" customFormat="false" ht="15" hidden="false" customHeight="false" outlineLevel="0" collapsed="false">
      <c r="B65" s="47" t="n">
        <v>51</v>
      </c>
      <c r="C65" s="48" t="n">
        <f aca="false">C64*(1+Inflation)</f>
        <v>64598.1126977666</v>
      </c>
      <c r="D65" s="48" t="n">
        <f aca="false">F64</f>
        <v>0</v>
      </c>
      <c r="E65" s="47" t="n">
        <f aca="false">IF(D65&gt;=C65,1,0)</f>
        <v>0</v>
      </c>
      <c r="F65" s="48" t="n">
        <f aca="false">IF(E65=1,(D65-C65)*(1+Growth_Rate),0)</f>
        <v>0</v>
      </c>
    </row>
    <row r="66" customFormat="false" ht="15" hidden="false" customHeight="false" outlineLevel="0" collapsed="false">
      <c r="B66" s="47" t="n">
        <v>52</v>
      </c>
      <c r="C66" s="48" t="n">
        <f aca="false">C65*(1+Inflation)</f>
        <v>65890.0749517219</v>
      </c>
      <c r="D66" s="48" t="n">
        <f aca="false">F65</f>
        <v>0</v>
      </c>
      <c r="E66" s="47" t="n">
        <f aca="false">IF(D66&gt;=C66,1,0)</f>
        <v>0</v>
      </c>
      <c r="F66" s="48" t="n">
        <f aca="false">IF(E66=1,(D66-C66)*(1+Growth_Rate),0)</f>
        <v>0</v>
      </c>
    </row>
    <row r="67" customFormat="false" ht="15" hidden="false" customHeight="false" outlineLevel="0" collapsed="false">
      <c r="B67" s="47" t="n">
        <v>53</v>
      </c>
      <c r="C67" s="48" t="n">
        <f aca="false">C66*(1+Inflation)</f>
        <v>67207.8764507564</v>
      </c>
      <c r="D67" s="48" t="n">
        <f aca="false">F66</f>
        <v>0</v>
      </c>
      <c r="E67" s="47" t="n">
        <f aca="false">IF(D67&gt;=C67,1,0)</f>
        <v>0</v>
      </c>
      <c r="F67" s="48" t="n">
        <f aca="false">IF(E67=1,(D67-C67)*(1+Growth_Rate),0)</f>
        <v>0</v>
      </c>
    </row>
    <row r="68" customFormat="false" ht="15" hidden="false" customHeight="false" outlineLevel="0" collapsed="false">
      <c r="B68" s="47" t="n">
        <v>54</v>
      </c>
      <c r="C68" s="48" t="n">
        <f aca="false">C67*(1+Inflation)</f>
        <v>68552.0339797715</v>
      </c>
      <c r="D68" s="48" t="n">
        <f aca="false">F67</f>
        <v>0</v>
      </c>
      <c r="E68" s="47" t="n">
        <f aca="false">IF(D68&gt;=C68,1,0)</f>
        <v>0</v>
      </c>
      <c r="F68" s="48" t="n">
        <f aca="false">IF(E68=1,(D68-C68)*(1+Growth_Rate),0)</f>
        <v>0</v>
      </c>
    </row>
    <row r="69" customFormat="false" ht="15" hidden="false" customHeight="false" outlineLevel="0" collapsed="false">
      <c r="B69" s="47" t="n">
        <v>55</v>
      </c>
      <c r="C69" s="48" t="n">
        <f aca="false">C68*(1+Inflation)</f>
        <v>69923.0746593669</v>
      </c>
      <c r="D69" s="48" t="n">
        <f aca="false">F68</f>
        <v>0</v>
      </c>
      <c r="E69" s="47" t="n">
        <f aca="false">IF(D69&gt;=C69,1,0)</f>
        <v>0</v>
      </c>
      <c r="F69" s="48" t="n">
        <f aca="false">IF(E69=1,(D69-C69)*(1+Growth_Rate),0)</f>
        <v>0</v>
      </c>
    </row>
    <row r="70" customFormat="false" ht="15" hidden="false" customHeight="false" outlineLevel="0" collapsed="false">
      <c r="B70" s="47" t="n">
        <v>56</v>
      </c>
      <c r="C70" s="48" t="n">
        <f aca="false">C69*(1+Inflation)</f>
        <v>71321.5361525543</v>
      </c>
      <c r="D70" s="48" t="n">
        <f aca="false">F69</f>
        <v>0</v>
      </c>
      <c r="E70" s="47" t="n">
        <f aca="false">IF(D70&gt;=C70,1,0)</f>
        <v>0</v>
      </c>
      <c r="F70" s="48" t="n">
        <f aca="false">IF(E70=1,(D70-C70)*(1+Growth_Rate),0)</f>
        <v>0</v>
      </c>
    </row>
    <row r="71" customFormat="false" ht="15" hidden="false" customHeight="false" outlineLevel="0" collapsed="false">
      <c r="B71" s="47" t="n">
        <v>57</v>
      </c>
      <c r="C71" s="48" t="n">
        <f aca="false">C70*(1+Inflation)</f>
        <v>72747.9668756053</v>
      </c>
      <c r="D71" s="48" t="n">
        <f aca="false">F70</f>
        <v>0</v>
      </c>
      <c r="E71" s="47" t="n">
        <f aca="false">IF(D71&gt;=C71,1,0)</f>
        <v>0</v>
      </c>
      <c r="F71" s="48" t="n">
        <f aca="false">IF(E71=1,(D71-C71)*(1+Growth_Rate),0)</f>
        <v>0</v>
      </c>
    </row>
    <row r="72" customFormat="false" ht="15" hidden="false" customHeight="false" outlineLevel="0" collapsed="false">
      <c r="B72" s="47" t="n">
        <v>58</v>
      </c>
      <c r="C72" s="48" t="n">
        <f aca="false">C71*(1+Inflation)</f>
        <v>74202.9262131175</v>
      </c>
      <c r="D72" s="48" t="n">
        <f aca="false">F71</f>
        <v>0</v>
      </c>
      <c r="E72" s="47" t="n">
        <f aca="false">IF(D72&gt;=C72,1,0)</f>
        <v>0</v>
      </c>
      <c r="F72" s="48" t="n">
        <f aca="false">IF(E72=1,(D72-C72)*(1+Growth_Rate),0)</f>
        <v>0</v>
      </c>
    </row>
    <row r="73" customFormat="false" ht="15" hidden="false" customHeight="false" outlineLevel="0" collapsed="false">
      <c r="B73" s="47" t="n">
        <v>59</v>
      </c>
      <c r="C73" s="48" t="n">
        <f aca="false">C72*(1+Inflation)</f>
        <v>75686.9847373798</v>
      </c>
      <c r="D73" s="48" t="n">
        <f aca="false">F72</f>
        <v>0</v>
      </c>
      <c r="E73" s="47" t="n">
        <f aca="false">IF(D73&gt;=C73,1,0)</f>
        <v>0</v>
      </c>
      <c r="F73" s="48" t="n">
        <f aca="false">IF(E73=1,(D73-C73)*(1+Growth_Rate),0)</f>
        <v>0</v>
      </c>
    </row>
    <row r="74" customFormat="false" ht="15" hidden="false" customHeight="false" outlineLevel="0" collapsed="false">
      <c r="B74" s="47" t="n">
        <v>60</v>
      </c>
      <c r="C74" s="48" t="n">
        <f aca="false">C73*(1+Inflation)</f>
        <v>77200.7244321274</v>
      </c>
      <c r="D74" s="48" t="n">
        <f aca="false">F73</f>
        <v>0</v>
      </c>
      <c r="E74" s="47" t="n">
        <f aca="false">IF(D74&gt;=C74,1,0)</f>
        <v>0</v>
      </c>
      <c r="F74" s="48" t="n">
        <f aca="false">IF(E74=1,(D74-C74)*(1+Growth_Rate),0)</f>
        <v>0</v>
      </c>
    </row>
    <row r="77" customFormat="false" ht="15" hidden="false" customHeight="false" outlineLevel="0" collapsed="false">
      <c r="B77" s="14" t="s">
        <v>223</v>
      </c>
      <c r="C77" s="28"/>
      <c r="D77" s="28"/>
      <c r="E77" s="28"/>
    </row>
    <row r="78" customFormat="false" ht="13.5" hidden="false" customHeight="true" outlineLevel="0" collapsed="false">
      <c r="B78" s="29" t="s">
        <v>695</v>
      </c>
      <c r="C78" s="29"/>
      <c r="D78" s="29"/>
      <c r="E78" s="29"/>
    </row>
    <row r="79" customFormat="false" ht="13.5" hidden="false" customHeight="true" outlineLevel="0" collapsed="false">
      <c r="B79" s="29" t="s">
        <v>696</v>
      </c>
      <c r="C79" s="29"/>
      <c r="D79" s="29"/>
      <c r="E79" s="29"/>
    </row>
    <row r="80" customFormat="false" ht="13.5" hidden="false" customHeight="true" outlineLevel="0" collapsed="false">
      <c r="B80" s="30" t="s">
        <v>227</v>
      </c>
      <c r="C80" s="30"/>
      <c r="D80" s="30"/>
      <c r="E80" s="30"/>
    </row>
    <row r="81" customFormat="false" ht="13.5" hidden="false" customHeight="true" outlineLevel="0" collapsed="false">
      <c r="B81" s="29" t="s">
        <v>697</v>
      </c>
      <c r="C81" s="29"/>
      <c r="D81" s="29"/>
      <c r="E81" s="29"/>
    </row>
    <row r="82" customFormat="false" ht="13.5" hidden="false" customHeight="true" outlineLevel="0" collapsed="false">
      <c r="B82" s="29" t="s">
        <v>698</v>
      </c>
      <c r="C82" s="29"/>
      <c r="D82" s="29"/>
      <c r="E82" s="29"/>
    </row>
    <row r="83" customFormat="false" ht="13.5" hidden="false" customHeight="true" outlineLevel="0" collapsed="false">
      <c r="B83" s="29" t="s">
        <v>699</v>
      </c>
      <c r="C83" s="29"/>
      <c r="D83" s="29"/>
      <c r="E83" s="29"/>
    </row>
    <row r="85" customFormat="false" ht="15" hidden="false" customHeight="false" outlineLevel="0" collapsed="false">
      <c r="B85" s="14" t="s">
        <v>231</v>
      </c>
      <c r="C85" s="28"/>
      <c r="D85" s="28"/>
      <c r="E85" s="28"/>
    </row>
    <row r="86" customFormat="false" ht="15" hidden="false" customHeight="false" outlineLevel="0" collapsed="false">
      <c r="B86" s="16" t="s">
        <v>232</v>
      </c>
      <c r="C86" s="31" t="str">
        <f aca="false">"No goal"</f>
        <v>No goal</v>
      </c>
      <c r="E86" s="32" t="s">
        <v>383</v>
      </c>
    </row>
  </sheetData>
  <mergeCells count="6">
    <mergeCell ref="B78:E78"/>
    <mergeCell ref="B79:E79"/>
    <mergeCell ref="B80:E80"/>
    <mergeCell ref="B81:E81"/>
    <mergeCell ref="B82:E82"/>
    <mergeCell ref="B83:E83"/>
  </mergeCells>
  <dataValidations count="3">
    <dataValidation allowBlank="false" error="Please enter €10,000 to €30,000,000 · steps of €10,000." errorStyle="stop" errorTitle="Outside the allowed range" operator="between" prompt="Unit: €. Allowed: €10,000 to €30,000,000 · steps of €10,000." promptTitle="Retirement savings" showDropDown="false" showErrorMessage="true" showInputMessage="true" sqref="C6" type="decimal">
      <formula1>10000</formula1>
      <formula2>30000000</formula2>
    </dataValidation>
    <dataValidation allowBlank="false" error="Please enter €1,000 to €2,000,000 · steps of €1,000." errorStyle="stop" errorTitle="Outside the allowed range" operator="between" prompt="Unit: €. Allowed: €1,000 to €2,000,000 · steps of €1,000." promptTitle="Yearly withdrawal (first year)" showDropDown="false" showErrorMessage="true" showInputMessage="true" sqref="C7" type="decimal">
      <formula1>1000</formula1>
      <formula2>2000000</formula2>
    </dataValidation>
    <dataValidation allowBlank="false" error="Please enter 0% to 7% · steps of 0.5%." errorStyle="stop" errorTitle="Outside the allowed range" operator="between" prompt="Unit: %. Allowed: 0% to 7% · steps of 0.5%." promptTitle="Growth assumption a year" showDropDown="false" showErrorMessage="true" showInputMessage="true" sqref="C8" type="decimal">
      <formula1>0</formula1>
      <formula2>0.07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700</v>
      </c>
      <c r="G1" s="2" t="s">
        <v>567</v>
      </c>
    </row>
    <row r="2" customFormat="false" ht="15" hidden="false" customHeight="false" outlineLevel="0" collapsed="false">
      <c r="B2" s="12" t="s">
        <v>701</v>
      </c>
      <c r="G2" s="2" t="s">
        <v>702</v>
      </c>
    </row>
    <row r="3" customFormat="false" ht="15" hidden="false" customHeight="false" outlineLevel="0" collapsed="false">
      <c r="B3" s="13" t="s">
        <v>703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678</v>
      </c>
      <c r="C6" s="17" t="n">
        <v>400000</v>
      </c>
      <c r="D6" s="18" t="s">
        <v>177</v>
      </c>
      <c r="E6" s="2" t="s">
        <v>679</v>
      </c>
      <c r="G6" s="19" t="s">
        <v>680</v>
      </c>
    </row>
    <row r="7" customFormat="false" ht="15" hidden="false" customHeight="false" outlineLevel="0" collapsed="false">
      <c r="B7" s="16" t="s">
        <v>681</v>
      </c>
      <c r="C7" s="17" t="n">
        <v>20000</v>
      </c>
      <c r="D7" s="18" t="s">
        <v>177</v>
      </c>
      <c r="E7" s="2" t="s">
        <v>682</v>
      </c>
      <c r="G7" s="19" t="s">
        <v>704</v>
      </c>
    </row>
    <row r="9" customFormat="false" ht="15" hidden="false" customHeight="false" outlineLevel="0" collapsed="false">
      <c r="B9" s="14" t="s">
        <v>202</v>
      </c>
      <c r="C9" s="15" t="s">
        <v>203</v>
      </c>
      <c r="D9" s="15" t="s">
        <v>204</v>
      </c>
      <c r="E9" s="15" t="s">
        <v>205</v>
      </c>
    </row>
    <row r="10" customFormat="false" ht="17.35" hidden="false" customHeight="false" outlineLevel="0" collapsed="false">
      <c r="B10" s="12" t="s">
        <v>705</v>
      </c>
      <c r="C10" s="35" t="n">
        <f aca="false">SUM(W_b_paid)</f>
        <v>25</v>
      </c>
      <c r="D10" s="36" t="str">
        <f aca="false">IF(Years_Balanced&gt;=Cap_Years,Cap_Years&amp;"+ years",Years_Balanced&amp;IF(Years_Balanced=1," year"," years"))</f>
        <v>25 years</v>
      </c>
      <c r="E10" s="24" t="s">
        <v>706</v>
      </c>
    </row>
    <row r="11" customFormat="false" ht="15" hidden="false" customHeight="false" outlineLevel="0" collapsed="false">
      <c r="B11" s="16" t="s">
        <v>707</v>
      </c>
      <c r="C11" s="40" t="n">
        <f aca="false">SUM(W_c_paid)</f>
        <v>20</v>
      </c>
      <c r="D11" s="41" t="str">
        <f aca="false">IF(Years_Cautious&gt;=Cap_Years,Cap_Years&amp;"+ years",Years_Cautious&amp;IF(Years_Cautious=1," year"," years"))</f>
        <v>20 years</v>
      </c>
      <c r="E11" s="24" t="s">
        <v>708</v>
      </c>
    </row>
    <row r="12" customFormat="false" ht="15" hidden="false" customHeight="false" outlineLevel="0" collapsed="false">
      <c r="B12" s="16" t="s">
        <v>709</v>
      </c>
      <c r="C12" s="40" t="n">
        <f aca="false">SUM(W_g_paid)</f>
        <v>36</v>
      </c>
      <c r="D12" s="41" t="str">
        <f aca="false">IF(Years_Growth&gt;=Cap_Years,Cap_Years&amp;"+ years",Years_Growth&amp;IF(Years_Growth=1," year"," years"))</f>
        <v>36 years</v>
      </c>
      <c r="E12" s="24" t="s">
        <v>710</v>
      </c>
    </row>
    <row r="13" customFormat="false" ht="15" hidden="false" customHeight="false" outlineLevel="0" collapsed="false">
      <c r="B13" s="14" t="s">
        <v>711</v>
      </c>
      <c r="C13" s="28"/>
      <c r="D13" s="28"/>
      <c r="E13" s="28"/>
    </row>
    <row r="14" customFormat="false" ht="27.75" hidden="false" customHeight="true" outlineLevel="0" collapsed="false">
      <c r="B14" s="46" t="s">
        <v>690</v>
      </c>
      <c r="C14" s="46" t="s">
        <v>712</v>
      </c>
      <c r="D14" s="46" t="s">
        <v>713</v>
      </c>
      <c r="E14" s="46" t="s">
        <v>714</v>
      </c>
      <c r="F14" s="46" t="s">
        <v>715</v>
      </c>
      <c r="G14" s="46" t="s">
        <v>716</v>
      </c>
      <c r="H14" s="46" t="s">
        <v>717</v>
      </c>
      <c r="I14" s="46" t="s">
        <v>718</v>
      </c>
    </row>
    <row r="15" customFormat="false" ht="15" hidden="false" customHeight="false" outlineLevel="0" collapsed="false">
      <c r="B15" s="47" t="n">
        <v>1</v>
      </c>
      <c r="C15" s="48" t="n">
        <f aca="false">Yearly_Withdrawal</f>
        <v>20000</v>
      </c>
      <c r="D15" s="48" t="n">
        <f aca="false">Retirement_Savings</f>
        <v>400000</v>
      </c>
      <c r="E15" s="47" t="n">
        <f aca="false">IF(D15&gt;=C15,1,0)</f>
        <v>1</v>
      </c>
      <c r="F15" s="48" t="n">
        <f aca="false">Retirement_Savings</f>
        <v>400000</v>
      </c>
      <c r="G15" s="47" t="n">
        <f aca="false">IF(F15&gt;=C15,1,0)</f>
        <v>1</v>
      </c>
      <c r="H15" s="48" t="n">
        <f aca="false">Retirement_Savings</f>
        <v>400000</v>
      </c>
      <c r="I15" s="47" t="n">
        <f aca="false">IF(H15&gt;=C15,1,0)</f>
        <v>1</v>
      </c>
    </row>
    <row r="16" customFormat="false" ht="15" hidden="false" customHeight="false" outlineLevel="0" collapsed="false">
      <c r="B16" s="47" t="n">
        <v>2</v>
      </c>
      <c r="C16" s="48" t="n">
        <f aca="false">C15*(1+Inflation)</f>
        <v>20400</v>
      </c>
      <c r="D16" s="48" t="n">
        <f aca="false">IF(E15=1,(D15-C15)*(1+DD_Cautious),0)</f>
        <v>387600</v>
      </c>
      <c r="E16" s="47" t="n">
        <f aca="false">IF(D16&gt;=C16,1,0)</f>
        <v>1</v>
      </c>
      <c r="F16" s="48" t="n">
        <f aca="false">IF(G15=1,(F15-C15)*(1+DD_Balanced),0)</f>
        <v>395200</v>
      </c>
      <c r="G16" s="47" t="n">
        <f aca="false">IF(F16&gt;=C16,1,0)</f>
        <v>1</v>
      </c>
      <c r="H16" s="48" t="n">
        <f aca="false">IF(I15=1,(H15-C15)*(1+DD_Growth),0)</f>
        <v>402800</v>
      </c>
      <c r="I16" s="47" t="n">
        <f aca="false">IF(H16&gt;=C16,1,0)</f>
        <v>1</v>
      </c>
    </row>
    <row r="17" customFormat="false" ht="15" hidden="false" customHeight="false" outlineLevel="0" collapsed="false">
      <c r="B17" s="47" t="n">
        <v>3</v>
      </c>
      <c r="C17" s="48" t="n">
        <f aca="false">C16*(1+Inflation)</f>
        <v>20808</v>
      </c>
      <c r="D17" s="48" t="n">
        <f aca="false">IF(E16=1,(D16-C16)*(1+DD_Cautious),0)</f>
        <v>374544</v>
      </c>
      <c r="E17" s="47" t="n">
        <f aca="false">IF(D17&gt;=C17,1,0)</f>
        <v>1</v>
      </c>
      <c r="F17" s="48" t="n">
        <f aca="false">IF(G16=1,(F16-C16)*(1+DD_Balanced),0)</f>
        <v>389792</v>
      </c>
      <c r="G17" s="47" t="n">
        <f aca="false">IF(F17&gt;=C17,1,0)</f>
        <v>1</v>
      </c>
      <c r="H17" s="48" t="n">
        <f aca="false">IF(I16=1,(H16-C16)*(1+DD_Growth),0)</f>
        <v>405344</v>
      </c>
      <c r="I17" s="47" t="n">
        <f aca="false">IF(H17&gt;=C17,1,0)</f>
        <v>1</v>
      </c>
    </row>
    <row r="18" customFormat="false" ht="15" hidden="false" customHeight="false" outlineLevel="0" collapsed="false">
      <c r="B18" s="47" t="n">
        <v>4</v>
      </c>
      <c r="C18" s="48" t="n">
        <f aca="false">C17*(1+Inflation)</f>
        <v>21224.16</v>
      </c>
      <c r="D18" s="48" t="n">
        <f aca="false">IF(E17=1,(D17-C17)*(1+DD_Cautious),0)</f>
        <v>360810.72</v>
      </c>
      <c r="E18" s="47" t="n">
        <f aca="false">IF(D18&gt;=C18,1,0)</f>
        <v>1</v>
      </c>
      <c r="F18" s="48" t="n">
        <f aca="false">IF(G17=1,(F17-C17)*(1+DD_Balanced),0)</f>
        <v>383743.36</v>
      </c>
      <c r="G18" s="47" t="n">
        <f aca="false">IF(F18&gt;=C18,1,0)</f>
        <v>1</v>
      </c>
      <c r="H18" s="48" t="n">
        <f aca="false">IF(I17=1,(H17-C17)*(1+DD_Growth),0)</f>
        <v>407608.16</v>
      </c>
      <c r="I18" s="47" t="n">
        <f aca="false">IF(H18&gt;=C18,1,0)</f>
        <v>1</v>
      </c>
    </row>
    <row r="19" customFormat="false" ht="15" hidden="false" customHeight="false" outlineLevel="0" collapsed="false">
      <c r="B19" s="47" t="n">
        <v>5</v>
      </c>
      <c r="C19" s="48" t="n">
        <f aca="false">C18*(1+Inflation)</f>
        <v>21648.6432</v>
      </c>
      <c r="D19" s="48" t="n">
        <f aca="false">IF(E18=1,(D18-C18)*(1+DD_Cautious),0)</f>
        <v>346378.2912</v>
      </c>
      <c r="E19" s="47" t="n">
        <f aca="false">IF(D19&gt;=C19,1,0)</f>
        <v>1</v>
      </c>
      <c r="F19" s="48" t="n">
        <f aca="false">IF(G18=1,(F18-C18)*(1+DD_Balanced),0)</f>
        <v>377019.968</v>
      </c>
      <c r="G19" s="47" t="n">
        <f aca="false">IF(F19&gt;=C19,1,0)</f>
        <v>1</v>
      </c>
      <c r="H19" s="48" t="n">
        <f aca="false">IF(I18=1,(H18-C18)*(1+DD_Growth),0)</f>
        <v>409567.04</v>
      </c>
      <c r="I19" s="47" t="n">
        <f aca="false">IF(H19&gt;=C19,1,0)</f>
        <v>1</v>
      </c>
    </row>
    <row r="20" customFormat="false" ht="15" hidden="false" customHeight="false" outlineLevel="0" collapsed="false">
      <c r="B20" s="47" t="n">
        <v>6</v>
      </c>
      <c r="C20" s="48" t="n">
        <f aca="false">C19*(1+Inflation)</f>
        <v>22081.616064</v>
      </c>
      <c r="D20" s="48" t="n">
        <f aca="false">IF(E19=1,(D19-C19)*(1+DD_Cautious),0)</f>
        <v>331224.24096</v>
      </c>
      <c r="E20" s="47" t="n">
        <f aca="false">IF(D20&gt;=C20,1,0)</f>
        <v>1</v>
      </c>
      <c r="F20" s="48" t="n">
        <f aca="false">IF(G19=1,(F19-C19)*(1+DD_Balanced),0)</f>
        <v>369586.177792</v>
      </c>
      <c r="G20" s="47" t="n">
        <f aca="false">IF(F20&gt;=C20,1,0)</f>
        <v>1</v>
      </c>
      <c r="H20" s="48" t="n">
        <f aca="false">IF(I19=1,(H19-C19)*(1+DD_Growth),0)</f>
        <v>411193.500608</v>
      </c>
      <c r="I20" s="47" t="n">
        <f aca="false">IF(H20&gt;=C20,1,0)</f>
        <v>1</v>
      </c>
    </row>
    <row r="21" customFormat="false" ht="15" hidden="false" customHeight="false" outlineLevel="0" collapsed="false">
      <c r="B21" s="47" t="n">
        <v>7</v>
      </c>
      <c r="C21" s="48" t="n">
        <f aca="false">C20*(1+Inflation)</f>
        <v>22523.24838528</v>
      </c>
      <c r="D21" s="48" t="n">
        <f aca="false">IF(E20=1,(D20-C20)*(1+DD_Cautious),0)</f>
        <v>315325.47739392</v>
      </c>
      <c r="E21" s="47" t="n">
        <f aca="false">IF(D21&gt;=C21,1,0)</f>
        <v>1</v>
      </c>
      <c r="F21" s="48" t="n">
        <f aca="false">IF(G20=1,(F20-C20)*(1+DD_Balanced),0)</f>
        <v>361404.74419712</v>
      </c>
      <c r="G21" s="47" t="n">
        <f aca="false">IF(F21&gt;=C21,1,0)</f>
        <v>1</v>
      </c>
      <c r="H21" s="48" t="n">
        <f aca="false">IF(I20=1,(H20-C20)*(1+DD_Growth),0)</f>
        <v>412458.59761664</v>
      </c>
      <c r="I21" s="47" t="n">
        <f aca="false">IF(H21&gt;=C21,1,0)</f>
        <v>1</v>
      </c>
    </row>
    <row r="22" customFormat="false" ht="15" hidden="false" customHeight="false" outlineLevel="0" collapsed="false">
      <c r="B22" s="47" t="n">
        <v>8</v>
      </c>
      <c r="C22" s="48" t="n">
        <f aca="false">C21*(1+Inflation)</f>
        <v>22973.7133529856</v>
      </c>
      <c r="D22" s="48" t="n">
        <f aca="false">IF(E21=1,(D21-C21)*(1+DD_Cautious),0)</f>
        <v>298658.273588813</v>
      </c>
      <c r="E22" s="47" t="n">
        <f aca="false">IF(D22&gt;=C22,1,0)</f>
        <v>1</v>
      </c>
      <c r="F22" s="48" t="n">
        <f aca="false">IF(G21=1,(F21-C21)*(1+DD_Balanced),0)</f>
        <v>352436.755644314</v>
      </c>
      <c r="G22" s="47" t="n">
        <f aca="false">IF(F22&gt;=C22,1,0)</f>
        <v>1</v>
      </c>
      <c r="H22" s="48" t="n">
        <f aca="false">IF(I21=1,(H21-C21)*(1+DD_Growth),0)</f>
        <v>413331.470185242</v>
      </c>
      <c r="I22" s="47" t="n">
        <f aca="false">IF(H22&gt;=C22,1,0)</f>
        <v>1</v>
      </c>
    </row>
    <row r="23" customFormat="false" ht="15" hidden="false" customHeight="false" outlineLevel="0" collapsed="false">
      <c r="B23" s="47" t="n">
        <v>9</v>
      </c>
      <c r="C23" s="48" t="n">
        <f aca="false">C22*(1+Inflation)</f>
        <v>23433.1876200453</v>
      </c>
      <c r="D23" s="48" t="n">
        <f aca="false">IF(E22=1,(D22-C22)*(1+DD_Cautious),0)</f>
        <v>281198.251440544</v>
      </c>
      <c r="E23" s="47" t="n">
        <f aca="false">IF(D23&gt;=C23,1,0)</f>
        <v>1</v>
      </c>
      <c r="F23" s="48" t="n">
        <f aca="false">IF(G22=1,(F22-C22)*(1+DD_Balanced),0)</f>
        <v>342641.563982981</v>
      </c>
      <c r="G23" s="47" t="n">
        <f aca="false">IF(F23&gt;=C23,1,0)</f>
        <v>1</v>
      </c>
      <c r="H23" s="48" t="n">
        <f aca="false">IF(I22=1,(H22-C22)*(1+DD_Growth),0)</f>
        <v>413779.222242192</v>
      </c>
      <c r="I23" s="47" t="n">
        <f aca="false">IF(H23&gt;=C23,1,0)</f>
        <v>1</v>
      </c>
    </row>
    <row r="24" customFormat="false" ht="15" hidden="false" customHeight="false" outlineLevel="0" collapsed="false">
      <c r="B24" s="47" t="n">
        <v>10</v>
      </c>
      <c r="C24" s="48" t="n">
        <f aca="false">C23*(1+Inflation)</f>
        <v>23901.8513724462</v>
      </c>
      <c r="D24" s="48" t="n">
        <f aca="false">IF(E23=1,(D23-C23)*(1+DD_Cautious),0)</f>
        <v>262920.365096908</v>
      </c>
      <c r="E24" s="47" t="n">
        <f aca="false">IF(D24&gt;=C24,1,0)</f>
        <v>1</v>
      </c>
      <c r="F24" s="48" t="n">
        <f aca="false">IF(G23=1,(F23-C23)*(1+DD_Balanced),0)</f>
        <v>331976.711417453</v>
      </c>
      <c r="G24" s="47" t="n">
        <f aca="false">IF(F24&gt;=C24,1,0)</f>
        <v>1</v>
      </c>
      <c r="H24" s="48" t="n">
        <f aca="false">IF(I23=1,(H23-C23)*(1+DD_Growth),0)</f>
        <v>413766.796699475</v>
      </c>
      <c r="I24" s="47" t="n">
        <f aca="false">IF(H24&gt;=C24,1,0)</f>
        <v>1</v>
      </c>
    </row>
    <row r="25" customFormat="false" ht="15" hidden="false" customHeight="false" outlineLevel="0" collapsed="false">
      <c r="B25" s="47" t="n">
        <v>11</v>
      </c>
      <c r="C25" s="48" t="n">
        <f aca="false">C24*(1+Inflation)</f>
        <v>24379.8883998951</v>
      </c>
      <c r="D25" s="48" t="n">
        <f aca="false">IF(E24=1,(D24-C24)*(1+DD_Cautious),0)</f>
        <v>243798.883998951</v>
      </c>
      <c r="E25" s="47" t="n">
        <f aca="false">IF(D25&gt;=C25,1,0)</f>
        <v>1</v>
      </c>
      <c r="F25" s="48" t="n">
        <f aca="false">IF(G24=1,(F24-C24)*(1+DD_Balanced),0)</f>
        <v>320397.854446807</v>
      </c>
      <c r="G25" s="47" t="n">
        <f aca="false">IF(F25&gt;=C25,1,0)</f>
        <v>1</v>
      </c>
      <c r="H25" s="48" t="n">
        <f aca="false">IF(I24=1,(H24-C24)*(1+DD_Growth),0)</f>
        <v>413256.842046651</v>
      </c>
      <c r="I25" s="47" t="n">
        <f aca="false">IF(H25&gt;=C25,1,0)</f>
        <v>1</v>
      </c>
    </row>
    <row r="26" customFormat="false" ht="15" hidden="false" customHeight="false" outlineLevel="0" collapsed="false">
      <c r="B26" s="47" t="n">
        <v>12</v>
      </c>
      <c r="C26" s="48" t="n">
        <f aca="false">C25*(1+Inflation)</f>
        <v>24867.486167893</v>
      </c>
      <c r="D26" s="48" t="n">
        <f aca="false">IF(E25=1,(D25-C25)*(1+DD_Cautious),0)</f>
        <v>223807.375511037</v>
      </c>
      <c r="E26" s="47" t="n">
        <f aca="false">IF(D26&gt;=C26,1,0)</f>
        <v>1</v>
      </c>
      <c r="F26" s="48" t="n">
        <f aca="false">IF(G25=1,(F25-C25)*(1+DD_Balanced),0)</f>
        <v>307858.684688789</v>
      </c>
      <c r="G26" s="47" t="n">
        <f aca="false">IF(F26&gt;=C26,1,0)</f>
        <v>1</v>
      </c>
      <c r="H26" s="48" t="n">
        <f aca="false">IF(I25=1,(H25-C25)*(1+DD_Growth),0)</f>
        <v>412209.570865561</v>
      </c>
      <c r="I26" s="47" t="n">
        <f aca="false">IF(H26&gt;=C26,1,0)</f>
        <v>1</v>
      </c>
    </row>
    <row r="27" customFormat="false" ht="15" hidden="false" customHeight="false" outlineLevel="0" collapsed="false">
      <c r="B27" s="47" t="n">
        <v>13</v>
      </c>
      <c r="C27" s="48" t="n">
        <f aca="false">C26*(1+Inflation)</f>
        <v>25364.8358912509</v>
      </c>
      <c r="D27" s="48" t="n">
        <f aca="false">IF(E26=1,(D26-C26)*(1+DD_Cautious),0)</f>
        <v>202918.687130007</v>
      </c>
      <c r="E27" s="47" t="n">
        <f aca="false">IF(D27&gt;=C27,1,0)</f>
        <v>1</v>
      </c>
      <c r="F27" s="48" t="n">
        <f aca="false">IF(G26=1,(F26-C26)*(1+DD_Balanced),0)</f>
        <v>294310.846461731</v>
      </c>
      <c r="G27" s="47" t="n">
        <f aca="false">IF(F27&gt;=C27,1,0)</f>
        <v>1</v>
      </c>
      <c r="H27" s="48" t="n">
        <f aca="false">IF(I26=1,(H26-C26)*(1+DD_Growth),0)</f>
        <v>410582.609779528</v>
      </c>
      <c r="I27" s="47" t="n">
        <f aca="false">IF(H27&gt;=C27,1,0)</f>
        <v>1</v>
      </c>
    </row>
    <row r="28" customFormat="false" ht="15" hidden="false" customHeight="false" outlineLevel="0" collapsed="false">
      <c r="B28" s="47" t="n">
        <v>14</v>
      </c>
      <c r="C28" s="48" t="n">
        <f aca="false">C27*(1+Inflation)</f>
        <v>25872.1326090759</v>
      </c>
      <c r="D28" s="48" t="n">
        <f aca="false">IF(E27=1,(D27-C27)*(1+DD_Cautious),0)</f>
        <v>181104.928263531</v>
      </c>
      <c r="E28" s="47" t="n">
        <f aca="false">IF(D28&gt;=C28,1,0)</f>
        <v>1</v>
      </c>
      <c r="F28" s="48" t="n">
        <f aca="false">IF(G27=1,(F27-C27)*(1+DD_Balanced),0)</f>
        <v>279703.8509933</v>
      </c>
      <c r="G28" s="47" t="n">
        <f aca="false">IF(F28&gt;=C28,1,0)</f>
        <v>1</v>
      </c>
      <c r="H28" s="48" t="n">
        <f aca="false">IF(I27=1,(H27-C27)*(1+DD_Growth),0)</f>
        <v>408330.840321574</v>
      </c>
      <c r="I28" s="47" t="n">
        <f aca="false">IF(H28&gt;=C28,1,0)</f>
        <v>1</v>
      </c>
    </row>
    <row r="29" customFormat="false" ht="15" hidden="false" customHeight="false" outlineLevel="0" collapsed="false">
      <c r="B29" s="47" t="n">
        <v>15</v>
      </c>
      <c r="C29" s="48" t="n">
        <f aca="false">C28*(1+Inflation)</f>
        <v>26389.5752612574</v>
      </c>
      <c r="D29" s="48" t="n">
        <f aca="false">IF(E28=1,(D28-C28)*(1+DD_Cautious),0)</f>
        <v>158337.451567545</v>
      </c>
      <c r="E29" s="47" t="n">
        <f aca="false">IF(D29&gt;=C29,1,0)</f>
        <v>1</v>
      </c>
      <c r="F29" s="48" t="n">
        <f aca="false">IF(G28=1,(F28-C28)*(1+DD_Balanced),0)</f>
        <v>263984.987119593</v>
      </c>
      <c r="G29" s="47" t="n">
        <f aca="false">IF(F29&gt;=C29,1,0)</f>
        <v>1</v>
      </c>
      <c r="H29" s="48" t="n">
        <f aca="false">IF(I28=1,(H28-C28)*(1+DD_Growth),0)</f>
        <v>405406.230175247</v>
      </c>
      <c r="I29" s="47" t="n">
        <f aca="false">IF(H29&gt;=C29,1,0)</f>
        <v>1</v>
      </c>
    </row>
    <row r="30" customFormat="false" ht="15" hidden="false" customHeight="false" outlineLevel="0" collapsed="false">
      <c r="B30" s="47" t="n">
        <v>16</v>
      </c>
      <c r="C30" s="48" t="n">
        <f aca="false">C29*(1+Inflation)</f>
        <v>26917.3667664826</v>
      </c>
      <c r="D30" s="48" t="n">
        <f aca="false">IF(E29=1,(D29-C29)*(1+DD_Cautious),0)</f>
        <v>134586.833832413</v>
      </c>
      <c r="E30" s="47" t="n">
        <f aca="false">IF(D30&gt;=C30,1,0)</f>
        <v>1</v>
      </c>
      <c r="F30" s="48" t="n">
        <f aca="false">IF(G29=1,(F29-C29)*(1+DD_Balanced),0)</f>
        <v>247099.228332669</v>
      </c>
      <c r="G30" s="47" t="n">
        <f aca="false">IF(F30&gt;=C30,1,0)</f>
        <v>1</v>
      </c>
      <c r="H30" s="48" t="n">
        <f aca="false">IF(I29=1,(H29-C29)*(1+DD_Growth),0)</f>
        <v>401757.654208829</v>
      </c>
      <c r="I30" s="47" t="n">
        <f aca="false">IF(H30&gt;=C30,1,0)</f>
        <v>1</v>
      </c>
    </row>
    <row r="31" customFormat="false" ht="15" hidden="false" customHeight="false" outlineLevel="0" collapsed="false">
      <c r="B31" s="47" t="n">
        <v>17</v>
      </c>
      <c r="C31" s="48" t="n">
        <f aca="false">C30*(1+Inflation)</f>
        <v>27455.7141018122</v>
      </c>
      <c r="D31" s="48" t="n">
        <f aca="false">IF(E30=1,(D30-C30)*(1+DD_Cautious),0)</f>
        <v>109822.856407249</v>
      </c>
      <c r="E31" s="47" t="n">
        <f aca="false">IF(D31&gt;=C31,1,0)</f>
        <v>1</v>
      </c>
      <c r="F31" s="48" t="n">
        <f aca="false">IF(G30=1,(F30-C30)*(1+DD_Balanced),0)</f>
        <v>228989.136028834</v>
      </c>
      <c r="G31" s="47" t="n">
        <f aca="false">IF(F31&gt;=C31,1,0)</f>
        <v>1</v>
      </c>
      <c r="H31" s="48" t="n">
        <f aca="false">IF(I30=1,(H30-C30)*(1+DD_Growth),0)</f>
        <v>397330.704688888</v>
      </c>
      <c r="I31" s="47" t="n">
        <f aca="false">IF(H31&gt;=C31,1,0)</f>
        <v>1</v>
      </c>
    </row>
    <row r="32" customFormat="false" ht="15" hidden="false" customHeight="false" outlineLevel="0" collapsed="false">
      <c r="B32" s="47" t="n">
        <v>18</v>
      </c>
      <c r="C32" s="48" t="n">
        <f aca="false">C31*(1+Inflation)</f>
        <v>28004.8283838485</v>
      </c>
      <c r="D32" s="48" t="n">
        <f aca="false">IF(E31=1,(D31-C31)*(1+DD_Cautious),0)</f>
        <v>84014.4851515455</v>
      </c>
      <c r="E32" s="47" t="n">
        <f aca="false">IF(D32&gt;=C32,1,0)</f>
        <v>1</v>
      </c>
      <c r="F32" s="48" t="n">
        <f aca="false">IF(G31=1,(F31-C31)*(1+DD_Balanced),0)</f>
        <v>209594.758804102</v>
      </c>
      <c r="G32" s="47" t="n">
        <f aca="false">IF(F32&gt;=C32,1,0)</f>
        <v>1</v>
      </c>
      <c r="H32" s="48" t="n">
        <f aca="false">IF(I31=1,(H31-C31)*(1+DD_Growth),0)</f>
        <v>392067.4900223</v>
      </c>
      <c r="I32" s="47" t="n">
        <f aca="false">IF(H32&gt;=C32,1,0)</f>
        <v>1</v>
      </c>
    </row>
    <row r="33" customFormat="false" ht="15" hidden="false" customHeight="false" outlineLevel="0" collapsed="false">
      <c r="B33" s="47" t="n">
        <v>19</v>
      </c>
      <c r="C33" s="48" t="n">
        <f aca="false">C32*(1+Inflation)</f>
        <v>28564.9249515255</v>
      </c>
      <c r="D33" s="48" t="n">
        <f aca="false">IF(E32=1,(D32-C32)*(1+DD_Cautious),0)</f>
        <v>57129.8499030509</v>
      </c>
      <c r="E33" s="47" t="n">
        <f aca="false">IF(D33&gt;=C33,1,0)</f>
        <v>1</v>
      </c>
      <c r="F33" s="48" t="n">
        <f aca="false">IF(G32=1,(F32-C32)*(1+DD_Balanced),0)</f>
        <v>188853.527637064</v>
      </c>
      <c r="G33" s="47" t="n">
        <f aca="false">IF(F33&gt;=C33,1,0)</f>
        <v>1</v>
      </c>
      <c r="H33" s="48" t="n">
        <f aca="false">IF(I32=1,(H32-C32)*(1+DD_Growth),0)</f>
        <v>385906.421336759</v>
      </c>
      <c r="I33" s="47" t="n">
        <f aca="false">IF(H33&gt;=C33,1,0)</f>
        <v>1</v>
      </c>
    </row>
    <row r="34" customFormat="false" ht="15" hidden="false" customHeight="false" outlineLevel="0" collapsed="false">
      <c r="B34" s="47" t="n">
        <v>20</v>
      </c>
      <c r="C34" s="48" t="n">
        <f aca="false">C33*(1+Inflation)</f>
        <v>29136.223450556</v>
      </c>
      <c r="D34" s="48" t="n">
        <f aca="false">IF(E33=1,(D33-C33)*(1+DD_Cautious),0)</f>
        <v>29136.223450556</v>
      </c>
      <c r="E34" s="47" t="n">
        <f aca="false">IF(D34&gt;=C34,1,0)</f>
        <v>1</v>
      </c>
      <c r="F34" s="48" t="n">
        <f aca="false">IF(G33=1,(F33-C33)*(1+DD_Balanced),0)</f>
        <v>166700.14679296</v>
      </c>
      <c r="G34" s="47" t="n">
        <f aca="false">IF(F34&gt;=C34,1,0)</f>
        <v>1</v>
      </c>
      <c r="H34" s="48" t="n">
        <f aca="false">IF(I33=1,(H33-C33)*(1+DD_Growth),0)</f>
        <v>378781.986168347</v>
      </c>
      <c r="I34" s="47" t="n">
        <f aca="false">IF(H34&gt;=C34,1,0)</f>
        <v>1</v>
      </c>
    </row>
    <row r="35" customFormat="false" ht="15" hidden="false" customHeight="false" outlineLevel="0" collapsed="false">
      <c r="B35" s="47" t="n">
        <v>21</v>
      </c>
      <c r="C35" s="48" t="n">
        <f aca="false">C34*(1+Inflation)</f>
        <v>29718.9479195671</v>
      </c>
      <c r="D35" s="48" t="n">
        <f aca="false">IF(E34=1,(D34-C34)*(1+DD_Cautious),0)</f>
        <v>0</v>
      </c>
      <c r="E35" s="47" t="n">
        <f aca="false">IF(D35&gt;=C35,1,0)</f>
        <v>0</v>
      </c>
      <c r="F35" s="48" t="n">
        <f aca="false">IF(G34=1,(F34-C34)*(1+DD_Balanced),0)</f>
        <v>143066.4802761</v>
      </c>
      <c r="G35" s="47" t="n">
        <f aca="false">IF(F35&gt;=C35,1,0)</f>
        <v>1</v>
      </c>
      <c r="H35" s="48" t="n">
        <f aca="false">IF(I34=1,(H34-C34)*(1+DD_Growth),0)</f>
        <v>370624.508480859</v>
      </c>
      <c r="I35" s="47" t="n">
        <f aca="false">IF(H35&gt;=C35,1,0)</f>
        <v>1</v>
      </c>
    </row>
    <row r="36" customFormat="false" ht="15" hidden="false" customHeight="false" outlineLevel="0" collapsed="false">
      <c r="B36" s="47" t="n">
        <v>22</v>
      </c>
      <c r="C36" s="48" t="n">
        <f aca="false">C35*(1+Inflation)</f>
        <v>30313.3268779584</v>
      </c>
      <c r="D36" s="48" t="n">
        <f aca="false">IF(E35=1,(D35-C35)*(1+DD_Cautious),0)</f>
        <v>0</v>
      </c>
      <c r="E36" s="47" t="n">
        <f aca="false">IF(D36&gt;=C36,1,0)</f>
        <v>0</v>
      </c>
      <c r="F36" s="48" t="n">
        <f aca="false">IF(G35=1,(F35-C35)*(1+DD_Balanced),0)</f>
        <v>117881.433650794</v>
      </c>
      <c r="G36" s="47" t="n">
        <f aca="false">IF(F36&gt;=C36,1,0)</f>
        <v>1</v>
      </c>
      <c r="H36" s="48" t="n">
        <f aca="false">IF(I35=1,(H35-C35)*(1+DD_Growth),0)</f>
        <v>361359.894194969</v>
      </c>
      <c r="I36" s="47" t="n">
        <f aca="false">IF(H36&gt;=C36,1,0)</f>
        <v>1</v>
      </c>
    </row>
    <row r="37" customFormat="false" ht="15" hidden="false" customHeight="false" outlineLevel="0" collapsed="false">
      <c r="B37" s="47" t="n">
        <v>23</v>
      </c>
      <c r="C37" s="48" t="n">
        <f aca="false">C36*(1+Inflation)</f>
        <v>30919.5934155176</v>
      </c>
      <c r="D37" s="48" t="n">
        <f aca="false">IF(E36=1,(D36-C36)*(1+DD_Cautious),0)</f>
        <v>0</v>
      </c>
      <c r="E37" s="47" t="n">
        <f aca="false">IF(D37&gt;=C37,1,0)</f>
        <v>0</v>
      </c>
      <c r="F37" s="48" t="n">
        <f aca="false">IF(G36=1,(F36-C36)*(1+DD_Balanced),0)</f>
        <v>91070.8310437495</v>
      </c>
      <c r="G37" s="47" t="n">
        <f aca="false">IF(F37&gt;=C37,1,0)</f>
        <v>1</v>
      </c>
      <c r="H37" s="48" t="n">
        <f aca="false">IF(I36=1,(H36-C36)*(1+DD_Growth),0)</f>
        <v>350909.361356031</v>
      </c>
      <c r="I37" s="47" t="n">
        <f aca="false">IF(H37&gt;=C37,1,0)</f>
        <v>1</v>
      </c>
    </row>
    <row r="38" customFormat="false" ht="15" hidden="false" customHeight="false" outlineLevel="0" collapsed="false">
      <c r="B38" s="47" t="n">
        <v>24</v>
      </c>
      <c r="C38" s="48" t="n">
        <f aca="false">C37*(1+Inflation)</f>
        <v>31537.9852838279</v>
      </c>
      <c r="D38" s="48" t="n">
        <f aca="false">IF(E37=1,(D37-C37)*(1+DD_Cautious),0)</f>
        <v>0</v>
      </c>
      <c r="E38" s="47" t="n">
        <f aca="false">IF(D38&gt;=C38,1,0)</f>
        <v>0</v>
      </c>
      <c r="F38" s="48" t="n">
        <f aca="false">IF(G37=1,(F37-C37)*(1+DD_Balanced),0)</f>
        <v>62557.2871333612</v>
      </c>
      <c r="G38" s="47" t="n">
        <f aca="false">IF(F38&gt;=C38,1,0)</f>
        <v>1</v>
      </c>
      <c r="H38" s="48" t="n">
        <f aca="false">IF(I37=1,(H37-C37)*(1+DD_Growth),0)</f>
        <v>339189.154016944</v>
      </c>
      <c r="I38" s="47" t="n">
        <f aca="false">IF(H38&gt;=C38,1,0)</f>
        <v>1</v>
      </c>
    </row>
    <row r="39" customFormat="false" ht="15" hidden="false" customHeight="false" outlineLevel="0" collapsed="false">
      <c r="B39" s="47" t="n">
        <v>25</v>
      </c>
      <c r="C39" s="48" t="n">
        <f aca="false">C38*(1+Inflation)</f>
        <v>32168.7449895045</v>
      </c>
      <c r="D39" s="48" t="n">
        <f aca="false">IF(E38=1,(D38-C38)*(1+DD_Cautious),0)</f>
        <v>0</v>
      </c>
      <c r="E39" s="47" t="n">
        <f aca="false">IF(D39&gt;=C39,1,0)</f>
        <v>0</v>
      </c>
      <c r="F39" s="48" t="n">
        <f aca="false">IF(G38=1,(F38-C38)*(1+DD_Balanced),0)</f>
        <v>32260.0739235145</v>
      </c>
      <c r="G39" s="47" t="n">
        <f aca="false">IF(F39&gt;=C39,1,0)</f>
        <v>1</v>
      </c>
      <c r="H39" s="48" t="n">
        <f aca="false">IF(I38=1,(H38-C38)*(1+DD_Growth),0)</f>
        <v>326110.238857103</v>
      </c>
      <c r="I39" s="47" t="n">
        <f aca="false">IF(H39&gt;=C39,1,0)</f>
        <v>1</v>
      </c>
    </row>
    <row r="40" customFormat="false" ht="15" hidden="false" customHeight="false" outlineLevel="0" collapsed="false">
      <c r="B40" s="47" t="n">
        <v>26</v>
      </c>
      <c r="C40" s="48" t="n">
        <f aca="false">C39*(1+Inflation)</f>
        <v>32812.1198892946</v>
      </c>
      <c r="D40" s="48" t="n">
        <f aca="false">IF(E39=1,(D39-C39)*(1+DD_Cautious),0)</f>
        <v>0</v>
      </c>
      <c r="E40" s="47" t="n">
        <f aca="false">IF(D40&gt;=C40,1,0)</f>
        <v>0</v>
      </c>
      <c r="F40" s="48" t="n">
        <f aca="false">IF(G39=1,(F39-C39)*(1+DD_Balanced),0)</f>
        <v>94.9820913704398</v>
      </c>
      <c r="G40" s="47" t="n">
        <f aca="false">IF(F40&gt;=C40,1,0)</f>
        <v>0</v>
      </c>
      <c r="H40" s="48" t="n">
        <f aca="false">IF(I39=1,(H39-C39)*(1+DD_Growth),0)</f>
        <v>311577.983499655</v>
      </c>
      <c r="I40" s="47" t="n">
        <f aca="false">IF(H40&gt;=C40,1,0)</f>
        <v>1</v>
      </c>
    </row>
    <row r="41" customFormat="false" ht="15" hidden="false" customHeight="false" outlineLevel="0" collapsed="false">
      <c r="B41" s="47" t="n">
        <v>27</v>
      </c>
      <c r="C41" s="48" t="n">
        <f aca="false">C40*(1+Inflation)</f>
        <v>33468.3622870805</v>
      </c>
      <c r="D41" s="48" t="n">
        <f aca="false">IF(E40=1,(D40-C40)*(1+DD_Cautious),0)</f>
        <v>0</v>
      </c>
      <c r="E41" s="47" t="n">
        <f aca="false">IF(D41&gt;=C41,1,0)</f>
        <v>0</v>
      </c>
      <c r="F41" s="48" t="n">
        <f aca="false">IF(G40=1,(F40-C40)*(1+DD_Balanced),0)</f>
        <v>0</v>
      </c>
      <c r="G41" s="47" t="n">
        <f aca="false">IF(F41&gt;=C41,1,0)</f>
        <v>0</v>
      </c>
      <c r="H41" s="48" t="n">
        <f aca="false">IF(I40=1,(H40-C40)*(1+DD_Growth),0)</f>
        <v>295491.815426982</v>
      </c>
      <c r="I41" s="47" t="n">
        <f aca="false">IF(H41&gt;=C41,1,0)</f>
        <v>1</v>
      </c>
    </row>
    <row r="42" customFormat="false" ht="15" hidden="false" customHeight="false" outlineLevel="0" collapsed="false">
      <c r="B42" s="47" t="n">
        <v>28</v>
      </c>
      <c r="C42" s="48" t="n">
        <f aca="false">C41*(1+Inflation)</f>
        <v>34137.7295328221</v>
      </c>
      <c r="D42" s="48" t="n">
        <f aca="false">IF(E41=1,(D41-C41)*(1+DD_Cautious),0)</f>
        <v>0</v>
      </c>
      <c r="E42" s="47" t="n">
        <f aca="false">IF(D42&gt;=C42,1,0)</f>
        <v>0</v>
      </c>
      <c r="F42" s="48" t="n">
        <f aca="false">IF(G41=1,(F41-C41)*(1+DD_Balanced),0)</f>
        <v>0</v>
      </c>
      <c r="G42" s="47" t="n">
        <f aca="false">IF(F42&gt;=C42,1,0)</f>
        <v>0</v>
      </c>
      <c r="H42" s="48" t="n">
        <f aca="false">IF(I41=1,(H41-C41)*(1+DD_Growth),0)</f>
        <v>277744.860328296</v>
      </c>
      <c r="I42" s="47" t="n">
        <f aca="false">IF(H42&gt;=C42,1,0)</f>
        <v>1</v>
      </c>
    </row>
    <row r="43" customFormat="false" ht="15" hidden="false" customHeight="false" outlineLevel="0" collapsed="false">
      <c r="B43" s="47" t="n">
        <v>29</v>
      </c>
      <c r="C43" s="48" t="n">
        <f aca="false">C42*(1+Inflation)</f>
        <v>34820.4841234785</v>
      </c>
      <c r="D43" s="48" t="n">
        <f aca="false">IF(E42=1,(D42-C42)*(1+DD_Cautious),0)</f>
        <v>0</v>
      </c>
      <c r="E43" s="47" t="n">
        <f aca="false">IF(D43&gt;=C43,1,0)</f>
        <v>0</v>
      </c>
      <c r="F43" s="48" t="n">
        <f aca="false">IF(G42=1,(F42-C42)*(1+DD_Balanced),0)</f>
        <v>0</v>
      </c>
      <c r="G43" s="47" t="n">
        <f aca="false">IF(F43&gt;=C43,1,0)</f>
        <v>0</v>
      </c>
      <c r="H43" s="48" t="n">
        <f aca="false">IF(I42=1,(H42-C42)*(1+DD_Growth),0)</f>
        <v>258223.558643202</v>
      </c>
      <c r="I43" s="47" t="n">
        <f aca="false">IF(H43&gt;=C43,1,0)</f>
        <v>1</v>
      </c>
    </row>
    <row r="44" customFormat="false" ht="15" hidden="false" customHeight="false" outlineLevel="0" collapsed="false">
      <c r="B44" s="47" t="n">
        <v>30</v>
      </c>
      <c r="C44" s="48" t="n">
        <f aca="false">C43*(1+Inflation)</f>
        <v>35516.8938059481</v>
      </c>
      <c r="D44" s="48" t="n">
        <f aca="false">IF(E43=1,(D43-C43)*(1+DD_Cautious),0)</f>
        <v>0</v>
      </c>
      <c r="E44" s="47" t="n">
        <f aca="false">IF(D44&gt;=C44,1,0)</f>
        <v>0</v>
      </c>
      <c r="F44" s="48" t="n">
        <f aca="false">IF(G43=1,(F43-C43)*(1+DD_Balanced),0)</f>
        <v>0</v>
      </c>
      <c r="G44" s="47" t="n">
        <f aca="false">IF(F44&gt;=C44,1,0)</f>
        <v>0</v>
      </c>
      <c r="H44" s="48" t="n">
        <f aca="false">IF(I43=1,(H43-C43)*(1+DD_Growth),0)</f>
        <v>236807.258990907</v>
      </c>
      <c r="I44" s="47" t="n">
        <f aca="false">IF(H44&gt;=C44,1,0)</f>
        <v>1</v>
      </c>
    </row>
    <row r="45" customFormat="false" ht="15" hidden="false" customHeight="false" outlineLevel="0" collapsed="false">
      <c r="B45" s="47" t="n">
        <v>31</v>
      </c>
      <c r="C45" s="48" t="n">
        <f aca="false">C44*(1+Inflation)</f>
        <v>36227.2316820671</v>
      </c>
      <c r="D45" s="48" t="n">
        <f aca="false">IF(E44=1,(D44-C44)*(1+DD_Cautious),0)</f>
        <v>0</v>
      </c>
      <c r="E45" s="47" t="n">
        <f aca="false">IF(D45&gt;=C45,1,0)</f>
        <v>0</v>
      </c>
      <c r="F45" s="48" t="n">
        <f aca="false">IF(G44=1,(F44-C44)*(1+DD_Balanced),0)</f>
        <v>0</v>
      </c>
      <c r="G45" s="47" t="n">
        <f aca="false">IF(F45&gt;=C45,1,0)</f>
        <v>0</v>
      </c>
      <c r="H45" s="48" t="n">
        <f aca="false">IF(I44=1,(H44-C44)*(1+DD_Growth),0)</f>
        <v>213367.787096056</v>
      </c>
      <c r="I45" s="47" t="n">
        <f aca="false">IF(H45&gt;=C45,1,0)</f>
        <v>1</v>
      </c>
    </row>
    <row r="46" customFormat="false" ht="15" hidden="false" customHeight="false" outlineLevel="0" collapsed="false">
      <c r="B46" s="47" t="n">
        <v>32</v>
      </c>
      <c r="C46" s="48" t="n">
        <f aca="false">C45*(1+Inflation)</f>
        <v>36951.7763157084</v>
      </c>
      <c r="D46" s="48" t="n">
        <f aca="false">IF(E45=1,(D45-C45)*(1+DD_Cautious),0)</f>
        <v>0</v>
      </c>
      <c r="E46" s="47" t="n">
        <f aca="false">IF(D46&gt;=C46,1,0)</f>
        <v>0</v>
      </c>
      <c r="F46" s="48" t="n">
        <f aca="false">IF(G45=1,(F45-C45)*(1+DD_Balanced),0)</f>
        <v>0</v>
      </c>
      <c r="G46" s="47" t="n">
        <f aca="false">IF(F46&gt;=C46,1,0)</f>
        <v>0</v>
      </c>
      <c r="H46" s="48" t="n">
        <f aca="false">IF(I45=1,(H45-C45)*(1+DD_Growth),0)</f>
        <v>187768.988738829</v>
      </c>
      <c r="I46" s="47" t="n">
        <f aca="false">IF(H46&gt;=C46,1,0)</f>
        <v>1</v>
      </c>
    </row>
    <row r="47" customFormat="false" ht="15" hidden="false" customHeight="false" outlineLevel="0" collapsed="false">
      <c r="B47" s="47" t="n">
        <v>33</v>
      </c>
      <c r="C47" s="48" t="n">
        <f aca="false">C46*(1+Inflation)</f>
        <v>37690.8118420226</v>
      </c>
      <c r="D47" s="48" t="n">
        <f aca="false">IF(E46=1,(D46-C46)*(1+DD_Cautious),0)</f>
        <v>0</v>
      </c>
      <c r="E47" s="47" t="n">
        <f aca="false">IF(D47&gt;=C47,1,0)</f>
        <v>0</v>
      </c>
      <c r="F47" s="48" t="n">
        <f aca="false">IF(G46=1,(F46-C46)*(1+DD_Balanced),0)</f>
        <v>0</v>
      </c>
      <c r="G47" s="47" t="n">
        <f aca="false">IF(F47&gt;=C47,1,0)</f>
        <v>0</v>
      </c>
      <c r="H47" s="48" t="n">
        <f aca="false">IF(I46=1,(H46-C46)*(1+DD_Growth),0)</f>
        <v>159866.245168507</v>
      </c>
      <c r="I47" s="47" t="n">
        <f aca="false">IF(H47&gt;=C47,1,0)</f>
        <v>1</v>
      </c>
    </row>
    <row r="48" customFormat="false" ht="15" hidden="false" customHeight="false" outlineLevel="0" collapsed="false">
      <c r="B48" s="47" t="n">
        <v>34</v>
      </c>
      <c r="C48" s="48" t="n">
        <f aca="false">C47*(1+Inflation)</f>
        <v>38444.628078863</v>
      </c>
      <c r="D48" s="48" t="n">
        <f aca="false">IF(E47=1,(D47-C47)*(1+DD_Cautious),0)</f>
        <v>0</v>
      </c>
      <c r="E48" s="47" t="n">
        <f aca="false">IF(D48&gt;=C48,1,0)</f>
        <v>0</v>
      </c>
      <c r="F48" s="48" t="n">
        <f aca="false">IF(G47=1,(F47-C47)*(1+DD_Balanced),0)</f>
        <v>0</v>
      </c>
      <c r="G48" s="47" t="n">
        <f aca="false">IF(F48&gt;=C48,1,0)</f>
        <v>0</v>
      </c>
      <c r="H48" s="48" t="n">
        <f aca="false">IF(I47=1,(H47-C47)*(1+DD_Growth),0)</f>
        <v>129505.959326074</v>
      </c>
      <c r="I48" s="47" t="n">
        <f aca="false">IF(H48&gt;=C48,1,0)</f>
        <v>1</v>
      </c>
    </row>
    <row r="49" customFormat="false" ht="15" hidden="false" customHeight="false" outlineLevel="0" collapsed="false">
      <c r="B49" s="47" t="n">
        <v>35</v>
      </c>
      <c r="C49" s="48" t="n">
        <f aca="false">C48*(1+Inflation)</f>
        <v>39213.5206404403</v>
      </c>
      <c r="D49" s="48" t="n">
        <f aca="false">IF(E48=1,(D48-C48)*(1+DD_Cautious),0)</f>
        <v>0</v>
      </c>
      <c r="E49" s="47" t="n">
        <f aca="false">IF(D49&gt;=C49,1,0)</f>
        <v>0</v>
      </c>
      <c r="F49" s="48" t="n">
        <f aca="false">IF(G48=1,(F48-C48)*(1+DD_Balanced),0)</f>
        <v>0</v>
      </c>
      <c r="G49" s="47" t="n">
        <f aca="false">IF(F49&gt;=C49,1,0)</f>
        <v>0</v>
      </c>
      <c r="H49" s="48" t="n">
        <f aca="false">IF(I48=1,(H48-C48)*(1+DD_Growth),0)</f>
        <v>96525.0111220434</v>
      </c>
      <c r="I49" s="47" t="n">
        <f aca="false">IF(H49&gt;=C49,1,0)</f>
        <v>1</v>
      </c>
    </row>
    <row r="50" customFormat="false" ht="15" hidden="false" customHeight="false" outlineLevel="0" collapsed="false">
      <c r="B50" s="47" t="n">
        <v>36</v>
      </c>
      <c r="C50" s="48" t="n">
        <f aca="false">C49*(1+Inflation)</f>
        <v>39997.7910532491</v>
      </c>
      <c r="D50" s="48" t="n">
        <f aca="false">IF(E49=1,(D49-C49)*(1+DD_Cautious),0)</f>
        <v>0</v>
      </c>
      <c r="E50" s="47" t="n">
        <f aca="false">IF(D50&gt;=C50,1,0)</f>
        <v>0</v>
      </c>
      <c r="F50" s="48" t="n">
        <f aca="false">IF(G49=1,(F49-C49)*(1+DD_Balanced),0)</f>
        <v>0</v>
      </c>
      <c r="G50" s="47" t="n">
        <f aca="false">IF(F50&gt;=C50,1,0)</f>
        <v>0</v>
      </c>
      <c r="H50" s="48" t="n">
        <f aca="false">IF(I49=1,(H49-C49)*(1+DD_Growth),0)</f>
        <v>60750.1799104993</v>
      </c>
      <c r="I50" s="47" t="n">
        <f aca="false">IF(H50&gt;=C50,1,0)</f>
        <v>1</v>
      </c>
    </row>
    <row r="51" customFormat="false" ht="15" hidden="false" customHeight="false" outlineLevel="0" collapsed="false">
      <c r="B51" s="47" t="n">
        <v>37</v>
      </c>
      <c r="C51" s="48" t="n">
        <f aca="false">C50*(1+Inflation)</f>
        <v>40797.7468743141</v>
      </c>
      <c r="D51" s="48" t="n">
        <f aca="false">IF(E50=1,(D50-C50)*(1+DD_Cautious),0)</f>
        <v>0</v>
      </c>
      <c r="E51" s="47" t="n">
        <f aca="false">IF(D51&gt;=C51,1,0)</f>
        <v>0</v>
      </c>
      <c r="F51" s="48" t="n">
        <f aca="false">IF(G50=1,(F50-C50)*(1+DD_Balanced),0)</f>
        <v>0</v>
      </c>
      <c r="G51" s="47" t="n">
        <f aca="false">IF(F51&gt;=C51,1,0)</f>
        <v>0</v>
      </c>
      <c r="H51" s="48" t="n">
        <f aca="false">IF(I50=1,(H50-C50)*(1+DD_Growth),0)</f>
        <v>21997.5321886852</v>
      </c>
      <c r="I51" s="47" t="n">
        <f aca="false">IF(H51&gt;=C51,1,0)</f>
        <v>0</v>
      </c>
    </row>
    <row r="52" customFormat="false" ht="15" hidden="false" customHeight="false" outlineLevel="0" collapsed="false">
      <c r="B52" s="47" t="n">
        <v>38</v>
      </c>
      <c r="C52" s="48" t="n">
        <f aca="false">C51*(1+Inflation)</f>
        <v>41613.7018118004</v>
      </c>
      <c r="D52" s="48" t="n">
        <f aca="false">IF(E51=1,(D51-C51)*(1+DD_Cautious),0)</f>
        <v>0</v>
      </c>
      <c r="E52" s="47" t="n">
        <f aca="false">IF(D52&gt;=C52,1,0)</f>
        <v>0</v>
      </c>
      <c r="F52" s="48" t="n">
        <f aca="false">IF(G51=1,(F51-C51)*(1+DD_Balanced),0)</f>
        <v>0</v>
      </c>
      <c r="G52" s="47" t="n">
        <f aca="false">IF(F52&gt;=C52,1,0)</f>
        <v>0</v>
      </c>
      <c r="H52" s="48" t="n">
        <f aca="false">IF(I51=1,(H51-C51)*(1+DD_Growth),0)</f>
        <v>0</v>
      </c>
      <c r="I52" s="47" t="n">
        <f aca="false">IF(H52&gt;=C52,1,0)</f>
        <v>0</v>
      </c>
    </row>
    <row r="53" customFormat="false" ht="15" hidden="false" customHeight="false" outlineLevel="0" collapsed="false">
      <c r="B53" s="47" t="n">
        <v>39</v>
      </c>
      <c r="C53" s="48" t="n">
        <f aca="false">C52*(1+Inflation)</f>
        <v>42445.9758480364</v>
      </c>
      <c r="D53" s="48" t="n">
        <f aca="false">IF(E52=1,(D52-C52)*(1+DD_Cautious),0)</f>
        <v>0</v>
      </c>
      <c r="E53" s="47" t="n">
        <f aca="false">IF(D53&gt;=C53,1,0)</f>
        <v>0</v>
      </c>
      <c r="F53" s="48" t="n">
        <f aca="false">IF(G52=1,(F52-C52)*(1+DD_Balanced),0)</f>
        <v>0</v>
      </c>
      <c r="G53" s="47" t="n">
        <f aca="false">IF(F53&gt;=C53,1,0)</f>
        <v>0</v>
      </c>
      <c r="H53" s="48" t="n">
        <f aca="false">IF(I52=1,(H52-C52)*(1+DD_Growth),0)</f>
        <v>0</v>
      </c>
      <c r="I53" s="47" t="n">
        <f aca="false">IF(H53&gt;=C53,1,0)</f>
        <v>0</v>
      </c>
    </row>
    <row r="54" customFormat="false" ht="15" hidden="false" customHeight="false" outlineLevel="0" collapsed="false">
      <c r="B54" s="47" t="n">
        <v>40</v>
      </c>
      <c r="C54" s="48" t="n">
        <f aca="false">C53*(1+Inflation)</f>
        <v>43294.8953649971</v>
      </c>
      <c r="D54" s="48" t="n">
        <f aca="false">IF(E53=1,(D53-C53)*(1+DD_Cautious),0)</f>
        <v>0</v>
      </c>
      <c r="E54" s="47" t="n">
        <f aca="false">IF(D54&gt;=C54,1,0)</f>
        <v>0</v>
      </c>
      <c r="F54" s="48" t="n">
        <f aca="false">IF(G53=1,(F53-C53)*(1+DD_Balanced),0)</f>
        <v>0</v>
      </c>
      <c r="G54" s="47" t="n">
        <f aca="false">IF(F54&gt;=C54,1,0)</f>
        <v>0</v>
      </c>
      <c r="H54" s="48" t="n">
        <f aca="false">IF(I53=1,(H53-C53)*(1+DD_Growth),0)</f>
        <v>0</v>
      </c>
      <c r="I54" s="47" t="n">
        <f aca="false">IF(H54&gt;=C54,1,0)</f>
        <v>0</v>
      </c>
    </row>
    <row r="55" customFormat="false" ht="15" hidden="false" customHeight="false" outlineLevel="0" collapsed="false">
      <c r="B55" s="47" t="n">
        <v>41</v>
      </c>
      <c r="C55" s="48" t="n">
        <f aca="false">C54*(1+Inflation)</f>
        <v>44160.7932722971</v>
      </c>
      <c r="D55" s="48" t="n">
        <f aca="false">IF(E54=1,(D54-C54)*(1+DD_Cautious),0)</f>
        <v>0</v>
      </c>
      <c r="E55" s="47" t="n">
        <f aca="false">IF(D55&gt;=C55,1,0)</f>
        <v>0</v>
      </c>
      <c r="F55" s="48" t="n">
        <f aca="false">IF(G54=1,(F54-C54)*(1+DD_Balanced),0)</f>
        <v>0</v>
      </c>
      <c r="G55" s="47" t="n">
        <f aca="false">IF(F55&gt;=C55,1,0)</f>
        <v>0</v>
      </c>
      <c r="H55" s="48" t="n">
        <f aca="false">IF(I54=1,(H54-C54)*(1+DD_Growth),0)</f>
        <v>0</v>
      </c>
      <c r="I55" s="47" t="n">
        <f aca="false">IF(H55&gt;=C55,1,0)</f>
        <v>0</v>
      </c>
    </row>
    <row r="56" customFormat="false" ht="15" hidden="false" customHeight="false" outlineLevel="0" collapsed="false">
      <c r="B56" s="47" t="n">
        <v>42</v>
      </c>
      <c r="C56" s="48" t="n">
        <f aca="false">C55*(1+Inflation)</f>
        <v>45044.009137743</v>
      </c>
      <c r="D56" s="48" t="n">
        <f aca="false">IF(E55=1,(D55-C55)*(1+DD_Cautious),0)</f>
        <v>0</v>
      </c>
      <c r="E56" s="47" t="n">
        <f aca="false">IF(D56&gt;=C56,1,0)</f>
        <v>0</v>
      </c>
      <c r="F56" s="48" t="n">
        <f aca="false">IF(G55=1,(F55-C55)*(1+DD_Balanced),0)</f>
        <v>0</v>
      </c>
      <c r="G56" s="47" t="n">
        <f aca="false">IF(F56&gt;=C56,1,0)</f>
        <v>0</v>
      </c>
      <c r="H56" s="48" t="n">
        <f aca="false">IF(I55=1,(H55-C55)*(1+DD_Growth),0)</f>
        <v>0</v>
      </c>
      <c r="I56" s="47" t="n">
        <f aca="false">IF(H56&gt;=C56,1,0)</f>
        <v>0</v>
      </c>
    </row>
    <row r="57" customFormat="false" ht="15" hidden="false" customHeight="false" outlineLevel="0" collapsed="false">
      <c r="B57" s="47" t="n">
        <v>43</v>
      </c>
      <c r="C57" s="48" t="n">
        <f aca="false">C56*(1+Inflation)</f>
        <v>45944.8893204979</v>
      </c>
      <c r="D57" s="48" t="n">
        <f aca="false">IF(E56=1,(D56-C56)*(1+DD_Cautious),0)</f>
        <v>0</v>
      </c>
      <c r="E57" s="47" t="n">
        <f aca="false">IF(D57&gt;=C57,1,0)</f>
        <v>0</v>
      </c>
      <c r="F57" s="48" t="n">
        <f aca="false">IF(G56=1,(F56-C56)*(1+DD_Balanced),0)</f>
        <v>0</v>
      </c>
      <c r="G57" s="47" t="n">
        <f aca="false">IF(F57&gt;=C57,1,0)</f>
        <v>0</v>
      </c>
      <c r="H57" s="48" t="n">
        <f aca="false">IF(I56=1,(H56-C56)*(1+DD_Growth),0)</f>
        <v>0</v>
      </c>
      <c r="I57" s="47" t="n">
        <f aca="false">IF(H57&gt;=C57,1,0)</f>
        <v>0</v>
      </c>
    </row>
    <row r="58" customFormat="false" ht="15" hidden="false" customHeight="false" outlineLevel="0" collapsed="false">
      <c r="B58" s="47" t="n">
        <v>44</v>
      </c>
      <c r="C58" s="48" t="n">
        <f aca="false">C57*(1+Inflation)</f>
        <v>46863.7871069078</v>
      </c>
      <c r="D58" s="48" t="n">
        <f aca="false">IF(E57=1,(D57-C57)*(1+DD_Cautious),0)</f>
        <v>0</v>
      </c>
      <c r="E58" s="47" t="n">
        <f aca="false">IF(D58&gt;=C58,1,0)</f>
        <v>0</v>
      </c>
      <c r="F58" s="48" t="n">
        <f aca="false">IF(G57=1,(F57-C57)*(1+DD_Balanced),0)</f>
        <v>0</v>
      </c>
      <c r="G58" s="47" t="n">
        <f aca="false">IF(F58&gt;=C58,1,0)</f>
        <v>0</v>
      </c>
      <c r="H58" s="48" t="n">
        <f aca="false">IF(I57=1,(H57-C57)*(1+DD_Growth),0)</f>
        <v>0</v>
      </c>
      <c r="I58" s="47" t="n">
        <f aca="false">IF(H58&gt;=C58,1,0)</f>
        <v>0</v>
      </c>
    </row>
    <row r="59" customFormat="false" ht="15" hidden="false" customHeight="false" outlineLevel="0" collapsed="false">
      <c r="B59" s="47" t="n">
        <v>45</v>
      </c>
      <c r="C59" s="48" t="n">
        <f aca="false">C58*(1+Inflation)</f>
        <v>47801.062849046</v>
      </c>
      <c r="D59" s="48" t="n">
        <f aca="false">IF(E58=1,(D58-C58)*(1+DD_Cautious),0)</f>
        <v>0</v>
      </c>
      <c r="E59" s="47" t="n">
        <f aca="false">IF(D59&gt;=C59,1,0)</f>
        <v>0</v>
      </c>
      <c r="F59" s="48" t="n">
        <f aca="false">IF(G58=1,(F58-C58)*(1+DD_Balanced),0)</f>
        <v>0</v>
      </c>
      <c r="G59" s="47" t="n">
        <f aca="false">IF(F59&gt;=C59,1,0)</f>
        <v>0</v>
      </c>
      <c r="H59" s="48" t="n">
        <f aca="false">IF(I58=1,(H58-C58)*(1+DD_Growth),0)</f>
        <v>0</v>
      </c>
      <c r="I59" s="47" t="n">
        <f aca="false">IF(H59&gt;=C59,1,0)</f>
        <v>0</v>
      </c>
    </row>
    <row r="60" customFormat="false" ht="15" hidden="false" customHeight="false" outlineLevel="0" collapsed="false">
      <c r="B60" s="47" t="n">
        <v>46</v>
      </c>
      <c r="C60" s="48" t="n">
        <f aca="false">C59*(1+Inflation)</f>
        <v>48757.0841060269</v>
      </c>
      <c r="D60" s="48" t="n">
        <f aca="false">IF(E59=1,(D59-C59)*(1+DD_Cautious),0)</f>
        <v>0</v>
      </c>
      <c r="E60" s="47" t="n">
        <f aca="false">IF(D60&gt;=C60,1,0)</f>
        <v>0</v>
      </c>
      <c r="F60" s="48" t="n">
        <f aca="false">IF(G59=1,(F59-C59)*(1+DD_Balanced),0)</f>
        <v>0</v>
      </c>
      <c r="G60" s="47" t="n">
        <f aca="false">IF(F60&gt;=C60,1,0)</f>
        <v>0</v>
      </c>
      <c r="H60" s="48" t="n">
        <f aca="false">IF(I59=1,(H59-C59)*(1+DD_Growth),0)</f>
        <v>0</v>
      </c>
      <c r="I60" s="47" t="n">
        <f aca="false">IF(H60&gt;=C60,1,0)</f>
        <v>0</v>
      </c>
    </row>
    <row r="61" customFormat="false" ht="15" hidden="false" customHeight="false" outlineLevel="0" collapsed="false">
      <c r="B61" s="47" t="n">
        <v>47</v>
      </c>
      <c r="C61" s="48" t="n">
        <f aca="false">C60*(1+Inflation)</f>
        <v>49732.2257881474</v>
      </c>
      <c r="D61" s="48" t="n">
        <f aca="false">IF(E60=1,(D60-C60)*(1+DD_Cautious),0)</f>
        <v>0</v>
      </c>
      <c r="E61" s="47" t="n">
        <f aca="false">IF(D61&gt;=C61,1,0)</f>
        <v>0</v>
      </c>
      <c r="F61" s="48" t="n">
        <f aca="false">IF(G60=1,(F60-C60)*(1+DD_Balanced),0)</f>
        <v>0</v>
      </c>
      <c r="G61" s="47" t="n">
        <f aca="false">IF(F61&gt;=C61,1,0)</f>
        <v>0</v>
      </c>
      <c r="H61" s="48" t="n">
        <f aca="false">IF(I60=1,(H60-C60)*(1+DD_Growth),0)</f>
        <v>0</v>
      </c>
      <c r="I61" s="47" t="n">
        <f aca="false">IF(H61&gt;=C61,1,0)</f>
        <v>0</v>
      </c>
    </row>
    <row r="62" customFormat="false" ht="15" hidden="false" customHeight="false" outlineLevel="0" collapsed="false">
      <c r="B62" s="47" t="n">
        <v>48</v>
      </c>
      <c r="C62" s="48" t="n">
        <f aca="false">C61*(1+Inflation)</f>
        <v>50726.8703039104</v>
      </c>
      <c r="D62" s="48" t="n">
        <f aca="false">IF(E61=1,(D61-C61)*(1+DD_Cautious),0)</f>
        <v>0</v>
      </c>
      <c r="E62" s="47" t="n">
        <f aca="false">IF(D62&gt;=C62,1,0)</f>
        <v>0</v>
      </c>
      <c r="F62" s="48" t="n">
        <f aca="false">IF(G61=1,(F61-C61)*(1+DD_Balanced),0)</f>
        <v>0</v>
      </c>
      <c r="G62" s="47" t="n">
        <f aca="false">IF(F62&gt;=C62,1,0)</f>
        <v>0</v>
      </c>
      <c r="H62" s="48" t="n">
        <f aca="false">IF(I61=1,(H61-C61)*(1+DD_Growth),0)</f>
        <v>0</v>
      </c>
      <c r="I62" s="47" t="n">
        <f aca="false">IF(H62&gt;=C62,1,0)</f>
        <v>0</v>
      </c>
    </row>
    <row r="63" customFormat="false" ht="15" hidden="false" customHeight="false" outlineLevel="0" collapsed="false">
      <c r="B63" s="47" t="n">
        <v>49</v>
      </c>
      <c r="C63" s="48" t="n">
        <f aca="false">C62*(1+Inflation)</f>
        <v>51741.4077099886</v>
      </c>
      <c r="D63" s="48" t="n">
        <f aca="false">IF(E62=1,(D62-C62)*(1+DD_Cautious),0)</f>
        <v>0</v>
      </c>
      <c r="E63" s="47" t="n">
        <f aca="false">IF(D63&gt;=C63,1,0)</f>
        <v>0</v>
      </c>
      <c r="F63" s="48" t="n">
        <f aca="false">IF(G62=1,(F62-C62)*(1+DD_Balanced),0)</f>
        <v>0</v>
      </c>
      <c r="G63" s="47" t="n">
        <f aca="false">IF(F63&gt;=C63,1,0)</f>
        <v>0</v>
      </c>
      <c r="H63" s="48" t="n">
        <f aca="false">IF(I62=1,(H62-C62)*(1+DD_Growth),0)</f>
        <v>0</v>
      </c>
      <c r="I63" s="47" t="n">
        <f aca="false">IF(H63&gt;=C63,1,0)</f>
        <v>0</v>
      </c>
    </row>
    <row r="64" customFormat="false" ht="15" hidden="false" customHeight="false" outlineLevel="0" collapsed="false">
      <c r="B64" s="47" t="n">
        <v>50</v>
      </c>
      <c r="C64" s="48" t="n">
        <f aca="false">C63*(1+Inflation)</f>
        <v>52776.2358641884</v>
      </c>
      <c r="D64" s="48" t="n">
        <f aca="false">IF(E63=1,(D63-C63)*(1+DD_Cautious),0)</f>
        <v>0</v>
      </c>
      <c r="E64" s="47" t="n">
        <f aca="false">IF(D64&gt;=C64,1,0)</f>
        <v>0</v>
      </c>
      <c r="F64" s="48" t="n">
        <f aca="false">IF(G63=1,(F63-C63)*(1+DD_Balanced),0)</f>
        <v>0</v>
      </c>
      <c r="G64" s="47" t="n">
        <f aca="false">IF(F64&gt;=C64,1,0)</f>
        <v>0</v>
      </c>
      <c r="H64" s="48" t="n">
        <f aca="false">IF(I63=1,(H63-C63)*(1+DD_Growth),0)</f>
        <v>0</v>
      </c>
      <c r="I64" s="47" t="n">
        <f aca="false">IF(H64&gt;=C64,1,0)</f>
        <v>0</v>
      </c>
    </row>
    <row r="65" customFormat="false" ht="15" hidden="false" customHeight="false" outlineLevel="0" collapsed="false">
      <c r="B65" s="47" t="n">
        <v>51</v>
      </c>
      <c r="C65" s="48" t="n">
        <f aca="false">C64*(1+Inflation)</f>
        <v>53831.7605814721</v>
      </c>
      <c r="D65" s="48" t="n">
        <f aca="false">IF(E64=1,(D64-C64)*(1+DD_Cautious),0)</f>
        <v>0</v>
      </c>
      <c r="E65" s="47" t="n">
        <f aca="false">IF(D65&gt;=C65,1,0)</f>
        <v>0</v>
      </c>
      <c r="F65" s="48" t="n">
        <f aca="false">IF(G64=1,(F64-C64)*(1+DD_Balanced),0)</f>
        <v>0</v>
      </c>
      <c r="G65" s="47" t="n">
        <f aca="false">IF(F65&gt;=C65,1,0)</f>
        <v>0</v>
      </c>
      <c r="H65" s="48" t="n">
        <f aca="false">IF(I64=1,(H64-C64)*(1+DD_Growth),0)</f>
        <v>0</v>
      </c>
      <c r="I65" s="47" t="n">
        <f aca="false">IF(H65&gt;=C65,1,0)</f>
        <v>0</v>
      </c>
    </row>
    <row r="66" customFormat="false" ht="15" hidden="false" customHeight="false" outlineLevel="0" collapsed="false">
      <c r="B66" s="47" t="n">
        <v>52</v>
      </c>
      <c r="C66" s="48" t="n">
        <f aca="false">C65*(1+Inflation)</f>
        <v>54908.3957931016</v>
      </c>
      <c r="D66" s="48" t="n">
        <f aca="false">IF(E65=1,(D65-C65)*(1+DD_Cautious),0)</f>
        <v>0</v>
      </c>
      <c r="E66" s="47" t="n">
        <f aca="false">IF(D66&gt;=C66,1,0)</f>
        <v>0</v>
      </c>
      <c r="F66" s="48" t="n">
        <f aca="false">IF(G65=1,(F65-C65)*(1+DD_Balanced),0)</f>
        <v>0</v>
      </c>
      <c r="G66" s="47" t="n">
        <f aca="false">IF(F66&gt;=C66,1,0)</f>
        <v>0</v>
      </c>
      <c r="H66" s="48" t="n">
        <f aca="false">IF(I65=1,(H65-C65)*(1+DD_Growth),0)</f>
        <v>0</v>
      </c>
      <c r="I66" s="47" t="n">
        <f aca="false">IF(H66&gt;=C66,1,0)</f>
        <v>0</v>
      </c>
    </row>
    <row r="67" customFormat="false" ht="15" hidden="false" customHeight="false" outlineLevel="0" collapsed="false">
      <c r="B67" s="47" t="n">
        <v>53</v>
      </c>
      <c r="C67" s="48" t="n">
        <f aca="false">C66*(1+Inflation)</f>
        <v>56006.5637089636</v>
      </c>
      <c r="D67" s="48" t="n">
        <f aca="false">IF(E66=1,(D66-C66)*(1+DD_Cautious),0)</f>
        <v>0</v>
      </c>
      <c r="E67" s="47" t="n">
        <f aca="false">IF(D67&gt;=C67,1,0)</f>
        <v>0</v>
      </c>
      <c r="F67" s="48" t="n">
        <f aca="false">IF(G66=1,(F66-C66)*(1+DD_Balanced),0)</f>
        <v>0</v>
      </c>
      <c r="G67" s="47" t="n">
        <f aca="false">IF(F67&gt;=C67,1,0)</f>
        <v>0</v>
      </c>
      <c r="H67" s="48" t="n">
        <f aca="false">IF(I66=1,(H66-C66)*(1+DD_Growth),0)</f>
        <v>0</v>
      </c>
      <c r="I67" s="47" t="n">
        <f aca="false">IF(H67&gt;=C67,1,0)</f>
        <v>0</v>
      </c>
    </row>
    <row r="68" customFormat="false" ht="15" hidden="false" customHeight="false" outlineLevel="0" collapsed="false">
      <c r="B68" s="47" t="n">
        <v>54</v>
      </c>
      <c r="C68" s="48" t="n">
        <f aca="false">C67*(1+Inflation)</f>
        <v>57126.6949831429</v>
      </c>
      <c r="D68" s="48" t="n">
        <f aca="false">IF(E67=1,(D67-C67)*(1+DD_Cautious),0)</f>
        <v>0</v>
      </c>
      <c r="E68" s="47" t="n">
        <f aca="false">IF(D68&gt;=C68,1,0)</f>
        <v>0</v>
      </c>
      <c r="F68" s="48" t="n">
        <f aca="false">IF(G67=1,(F67-C67)*(1+DD_Balanced),0)</f>
        <v>0</v>
      </c>
      <c r="G68" s="47" t="n">
        <f aca="false">IF(F68&gt;=C68,1,0)</f>
        <v>0</v>
      </c>
      <c r="H68" s="48" t="n">
        <f aca="false">IF(I67=1,(H67-C67)*(1+DD_Growth),0)</f>
        <v>0</v>
      </c>
      <c r="I68" s="47" t="n">
        <f aca="false">IF(H68&gt;=C68,1,0)</f>
        <v>0</v>
      </c>
    </row>
    <row r="69" customFormat="false" ht="15" hidden="false" customHeight="false" outlineLevel="0" collapsed="false">
      <c r="B69" s="47" t="n">
        <v>55</v>
      </c>
      <c r="C69" s="48" t="n">
        <f aca="false">C68*(1+Inflation)</f>
        <v>58269.2288828057</v>
      </c>
      <c r="D69" s="48" t="n">
        <f aca="false">IF(E68=1,(D68-C68)*(1+DD_Cautious),0)</f>
        <v>0</v>
      </c>
      <c r="E69" s="47" t="n">
        <f aca="false">IF(D69&gt;=C69,1,0)</f>
        <v>0</v>
      </c>
      <c r="F69" s="48" t="n">
        <f aca="false">IF(G68=1,(F68-C68)*(1+DD_Balanced),0)</f>
        <v>0</v>
      </c>
      <c r="G69" s="47" t="n">
        <f aca="false">IF(F69&gt;=C69,1,0)</f>
        <v>0</v>
      </c>
      <c r="H69" s="48" t="n">
        <f aca="false">IF(I68=1,(H68-C68)*(1+DD_Growth),0)</f>
        <v>0</v>
      </c>
      <c r="I69" s="47" t="n">
        <f aca="false">IF(H69&gt;=C69,1,0)</f>
        <v>0</v>
      </c>
    </row>
    <row r="70" customFormat="false" ht="15" hidden="false" customHeight="false" outlineLevel="0" collapsed="false">
      <c r="B70" s="47" t="n">
        <v>56</v>
      </c>
      <c r="C70" s="48" t="n">
        <f aca="false">C69*(1+Inflation)</f>
        <v>59434.6134604618</v>
      </c>
      <c r="D70" s="48" t="n">
        <f aca="false">IF(E69=1,(D69-C69)*(1+DD_Cautious),0)</f>
        <v>0</v>
      </c>
      <c r="E70" s="47" t="n">
        <f aca="false">IF(D70&gt;=C70,1,0)</f>
        <v>0</v>
      </c>
      <c r="F70" s="48" t="n">
        <f aca="false">IF(G69=1,(F69-C69)*(1+DD_Balanced),0)</f>
        <v>0</v>
      </c>
      <c r="G70" s="47" t="n">
        <f aca="false">IF(F70&gt;=C70,1,0)</f>
        <v>0</v>
      </c>
      <c r="H70" s="48" t="n">
        <f aca="false">IF(I69=1,(H69-C69)*(1+DD_Growth),0)</f>
        <v>0</v>
      </c>
      <c r="I70" s="47" t="n">
        <f aca="false">IF(H70&gt;=C70,1,0)</f>
        <v>0</v>
      </c>
    </row>
    <row r="71" customFormat="false" ht="15" hidden="false" customHeight="false" outlineLevel="0" collapsed="false">
      <c r="B71" s="47" t="n">
        <v>57</v>
      </c>
      <c r="C71" s="48" t="n">
        <f aca="false">C70*(1+Inflation)</f>
        <v>60623.3057296711</v>
      </c>
      <c r="D71" s="48" t="n">
        <f aca="false">IF(E70=1,(D70-C70)*(1+DD_Cautious),0)</f>
        <v>0</v>
      </c>
      <c r="E71" s="47" t="n">
        <f aca="false">IF(D71&gt;=C71,1,0)</f>
        <v>0</v>
      </c>
      <c r="F71" s="48" t="n">
        <f aca="false">IF(G70=1,(F70-C70)*(1+DD_Balanced),0)</f>
        <v>0</v>
      </c>
      <c r="G71" s="47" t="n">
        <f aca="false">IF(F71&gt;=C71,1,0)</f>
        <v>0</v>
      </c>
      <c r="H71" s="48" t="n">
        <f aca="false">IF(I70=1,(H70-C70)*(1+DD_Growth),0)</f>
        <v>0</v>
      </c>
      <c r="I71" s="47" t="n">
        <f aca="false">IF(H71&gt;=C71,1,0)</f>
        <v>0</v>
      </c>
    </row>
    <row r="72" customFormat="false" ht="15" hidden="false" customHeight="false" outlineLevel="0" collapsed="false">
      <c r="B72" s="47" t="n">
        <v>58</v>
      </c>
      <c r="C72" s="48" t="n">
        <f aca="false">C71*(1+Inflation)</f>
        <v>61835.7718442645</v>
      </c>
      <c r="D72" s="48" t="n">
        <f aca="false">IF(E71=1,(D71-C71)*(1+DD_Cautious),0)</f>
        <v>0</v>
      </c>
      <c r="E72" s="47" t="n">
        <f aca="false">IF(D72&gt;=C72,1,0)</f>
        <v>0</v>
      </c>
      <c r="F72" s="48" t="n">
        <f aca="false">IF(G71=1,(F71-C71)*(1+DD_Balanced),0)</f>
        <v>0</v>
      </c>
      <c r="G72" s="47" t="n">
        <f aca="false">IF(F72&gt;=C72,1,0)</f>
        <v>0</v>
      </c>
      <c r="H72" s="48" t="n">
        <f aca="false">IF(I71=1,(H71-C71)*(1+DD_Growth),0)</f>
        <v>0</v>
      </c>
      <c r="I72" s="47" t="n">
        <f aca="false">IF(H72&gt;=C72,1,0)</f>
        <v>0</v>
      </c>
    </row>
    <row r="73" customFormat="false" ht="15" hidden="false" customHeight="false" outlineLevel="0" collapsed="false">
      <c r="B73" s="47" t="n">
        <v>59</v>
      </c>
      <c r="C73" s="48" t="n">
        <f aca="false">C72*(1+Inflation)</f>
        <v>63072.4872811498</v>
      </c>
      <c r="D73" s="48" t="n">
        <f aca="false">IF(E72=1,(D72-C72)*(1+DD_Cautious),0)</f>
        <v>0</v>
      </c>
      <c r="E73" s="47" t="n">
        <f aca="false">IF(D73&gt;=C73,1,0)</f>
        <v>0</v>
      </c>
      <c r="F73" s="48" t="n">
        <f aca="false">IF(G72=1,(F72-C72)*(1+DD_Balanced),0)</f>
        <v>0</v>
      </c>
      <c r="G73" s="47" t="n">
        <f aca="false">IF(F73&gt;=C73,1,0)</f>
        <v>0</v>
      </c>
      <c r="H73" s="48" t="n">
        <f aca="false">IF(I72=1,(H72-C72)*(1+DD_Growth),0)</f>
        <v>0</v>
      </c>
      <c r="I73" s="47" t="n">
        <f aca="false">IF(H73&gt;=C73,1,0)</f>
        <v>0</v>
      </c>
    </row>
    <row r="74" customFormat="false" ht="15" hidden="false" customHeight="false" outlineLevel="0" collapsed="false">
      <c r="B74" s="47" t="n">
        <v>60</v>
      </c>
      <c r="C74" s="48" t="n">
        <f aca="false">C73*(1+Inflation)</f>
        <v>64333.9370267728</v>
      </c>
      <c r="D74" s="48" t="n">
        <f aca="false">IF(E73=1,(D73-C73)*(1+DD_Cautious),0)</f>
        <v>0</v>
      </c>
      <c r="E74" s="47" t="n">
        <f aca="false">IF(D74&gt;=C74,1,0)</f>
        <v>0</v>
      </c>
      <c r="F74" s="48" t="n">
        <f aca="false">IF(G73=1,(F73-C73)*(1+DD_Balanced),0)</f>
        <v>0</v>
      </c>
      <c r="G74" s="47" t="n">
        <f aca="false">IF(F74&gt;=C74,1,0)</f>
        <v>0</v>
      </c>
      <c r="H74" s="48" t="n">
        <f aca="false">IF(I73=1,(H73-C73)*(1+DD_Growth),0)</f>
        <v>0</v>
      </c>
      <c r="I74" s="47" t="n">
        <f aca="false">IF(H74&gt;=C74,1,0)</f>
        <v>0</v>
      </c>
    </row>
    <row r="77" customFormat="false" ht="15" hidden="false" customHeight="false" outlineLevel="0" collapsed="false">
      <c r="B77" s="14" t="s">
        <v>223</v>
      </c>
      <c r="C77" s="28"/>
      <c r="D77" s="28"/>
      <c r="E77" s="28"/>
    </row>
    <row r="78" customFormat="false" ht="13.5" hidden="false" customHeight="true" outlineLevel="0" collapsed="false">
      <c r="B78" s="29" t="s">
        <v>719</v>
      </c>
      <c r="C78" s="29"/>
      <c r="D78" s="29"/>
      <c r="E78" s="29"/>
    </row>
    <row r="79" customFormat="false" ht="13.5" hidden="false" customHeight="true" outlineLevel="0" collapsed="false">
      <c r="B79" s="29" t="s">
        <v>720</v>
      </c>
      <c r="C79" s="29"/>
      <c r="D79" s="29"/>
      <c r="E79" s="29"/>
    </row>
    <row r="80" customFormat="false" ht="13.5" hidden="false" customHeight="true" outlineLevel="0" collapsed="false">
      <c r="B80" s="30" t="s">
        <v>227</v>
      </c>
      <c r="C80" s="30"/>
      <c r="D80" s="30"/>
      <c r="E80" s="30"/>
    </row>
    <row r="81" customFormat="false" ht="13.5" hidden="false" customHeight="true" outlineLevel="0" collapsed="false">
      <c r="B81" s="29" t="s">
        <v>721</v>
      </c>
      <c r="C81" s="29"/>
      <c r="D81" s="29"/>
      <c r="E81" s="29"/>
    </row>
    <row r="82" customFormat="false" ht="13.5" hidden="false" customHeight="true" outlineLevel="0" collapsed="false">
      <c r="B82" s="29" t="s">
        <v>722</v>
      </c>
      <c r="C82" s="29"/>
      <c r="D82" s="29"/>
      <c r="E82" s="29"/>
    </row>
    <row r="84" customFormat="false" ht="15" hidden="false" customHeight="false" outlineLevel="0" collapsed="false">
      <c r="B84" s="14" t="s">
        <v>231</v>
      </c>
      <c r="C84" s="28"/>
      <c r="D84" s="28"/>
      <c r="E84" s="28"/>
    </row>
    <row r="85" customFormat="false" ht="15" hidden="false" customHeight="false" outlineLevel="0" collapsed="false">
      <c r="B85" s="16" t="s">
        <v>232</v>
      </c>
      <c r="C85" s="31" t="str">
        <f aca="false">"No goal"</f>
        <v>No goal</v>
      </c>
      <c r="E85" s="32" t="s">
        <v>383</v>
      </c>
    </row>
  </sheetData>
  <mergeCells count="5">
    <mergeCell ref="B78:E78"/>
    <mergeCell ref="B79:E79"/>
    <mergeCell ref="B80:E80"/>
    <mergeCell ref="B81:E81"/>
    <mergeCell ref="B82:E82"/>
  </mergeCells>
  <dataValidations count="2">
    <dataValidation allowBlank="false" error="Please enter €10,000 to €30,000,000 · steps of €10,000." errorStyle="stop" errorTitle="Outside the allowed range" operator="between" prompt="Unit: €. Allowed: €10,000 to €30,000,000 · steps of €10,000." promptTitle="Retirement savings" showDropDown="false" showErrorMessage="true" showInputMessage="true" sqref="C6" type="decimal">
      <formula1>10000</formula1>
      <formula2>30000000</formula2>
    </dataValidation>
    <dataValidation allowBlank="false" error="Please enter €1,000 to €2,000,000 · steps of €1,000." errorStyle="stop" errorTitle="Outside the allowed range" operator="between" prompt="Unit: €. Allowed: €1,000 to €2,000,000 · steps of €1,000." promptTitle="Yearly withdrawal (first year)" showDropDown="false" showErrorMessage="true" showInputMessage="true" sqref="C7" type="decimal">
      <formula1>1000</formula1>
      <formula2>2000000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723</v>
      </c>
      <c r="G1" s="2" t="s">
        <v>506</v>
      </c>
    </row>
    <row r="2" customFormat="false" ht="15" hidden="false" customHeight="false" outlineLevel="0" collapsed="false">
      <c r="B2" s="12" t="s">
        <v>724</v>
      </c>
      <c r="G2" s="2" t="s">
        <v>725</v>
      </c>
    </row>
    <row r="3" customFormat="false" ht="15" hidden="false" customHeight="false" outlineLevel="0" collapsed="false">
      <c r="B3" s="13" t="s">
        <v>726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510</v>
      </c>
      <c r="C6" s="17" t="n">
        <v>20000</v>
      </c>
      <c r="D6" s="18" t="s">
        <v>177</v>
      </c>
      <c r="E6" s="2" t="s">
        <v>511</v>
      </c>
      <c r="G6" s="19" t="s">
        <v>727</v>
      </c>
    </row>
    <row r="7" customFormat="false" ht="15" hidden="false" customHeight="false" outlineLevel="0" collapsed="false">
      <c r="B7" s="16" t="s">
        <v>728</v>
      </c>
      <c r="C7" s="21" t="n">
        <v>0.05</v>
      </c>
      <c r="D7" s="18" t="s">
        <v>192</v>
      </c>
      <c r="E7" s="2" t="s">
        <v>729</v>
      </c>
      <c r="G7" s="19" t="s">
        <v>730</v>
      </c>
    </row>
    <row r="8" customFormat="false" ht="15" hidden="false" customHeight="false" outlineLevel="0" collapsed="false">
      <c r="B8" s="16" t="s">
        <v>487</v>
      </c>
      <c r="C8" s="22" t="n">
        <v>15</v>
      </c>
      <c r="D8" s="18" t="s">
        <v>196</v>
      </c>
      <c r="E8" s="2" t="s">
        <v>488</v>
      </c>
      <c r="G8" s="19" t="s">
        <v>514</v>
      </c>
    </row>
    <row r="10" customFormat="false" ht="15" hidden="false" customHeight="false" outlineLevel="0" collapsed="false">
      <c r="B10" s="14" t="s">
        <v>202</v>
      </c>
      <c r="C10" s="15" t="s">
        <v>203</v>
      </c>
      <c r="D10" s="15" t="s">
        <v>204</v>
      </c>
      <c r="E10" s="15" t="s">
        <v>205</v>
      </c>
    </row>
    <row r="11" customFormat="false" ht="17.35" hidden="false" customHeight="false" outlineLevel="0" collapsed="false">
      <c r="B11" s="12" t="s">
        <v>731</v>
      </c>
      <c r="C11" s="23" t="n">
        <f aca="false">Future_Value/(1+Inflation)^Years</f>
        <v>30893.4851978172</v>
      </c>
      <c r="D11" s="18" t="s">
        <v>177</v>
      </c>
      <c r="E11" s="24" t="s">
        <v>732</v>
      </c>
    </row>
    <row r="12" customFormat="false" ht="17.35" hidden="false" customHeight="false" outlineLevel="0" collapsed="false">
      <c r="B12" s="12" t="s">
        <v>733</v>
      </c>
      <c r="C12" s="23" t="n">
        <f aca="false">Amount*(1+Nominal_Return)^Years</f>
        <v>41578.5635882274</v>
      </c>
      <c r="D12" s="18" t="s">
        <v>177</v>
      </c>
      <c r="E12" s="24" t="s">
        <v>734</v>
      </c>
    </row>
    <row r="13" customFormat="false" ht="17.35" hidden="false" customHeight="false" outlineLevel="0" collapsed="false">
      <c r="B13" s="12" t="s">
        <v>735</v>
      </c>
      <c r="C13" s="49" t="n">
        <f aca="false">(1+Nominal_Return)/(1+Inflation)-1</f>
        <v>0.0294117647058825</v>
      </c>
      <c r="D13" s="18"/>
      <c r="E13" s="24" t="s">
        <v>736</v>
      </c>
    </row>
    <row r="14" customFormat="false" ht="15" hidden="false" customHeight="false" outlineLevel="0" collapsed="false">
      <c r="B14" s="42" t="str">
        <f aca="false">"Before tax: deposit interest pays DIRT at "&amp;TEXT(DIRT,"0%")&amp;"; investment funds and life policies pay exit tax at "&amp;TEXT(Exit_Tax,"0%")&amp;" (plus 8-year deemed disposal). No tax is taken off here."</f>
        <v>Before tax: deposit interest pays DIRT at 33%; investment funds and life policies pay exit tax at 38% (plus 8-year deemed disposal). No tax is taken off here.</v>
      </c>
      <c r="C14" s="42"/>
      <c r="D14" s="42"/>
      <c r="E14" s="42"/>
    </row>
    <row r="16" customFormat="false" ht="15" hidden="false" customHeight="false" outlineLevel="0" collapsed="false">
      <c r="B16" s="14" t="s">
        <v>223</v>
      </c>
      <c r="C16" s="28"/>
      <c r="D16" s="28"/>
      <c r="E16" s="28"/>
    </row>
    <row r="17" customFormat="false" ht="13.5" hidden="false" customHeight="true" outlineLevel="0" collapsed="false">
      <c r="B17" s="29" t="s">
        <v>737</v>
      </c>
      <c r="C17" s="29"/>
      <c r="D17" s="29"/>
      <c r="E17" s="29"/>
    </row>
    <row r="18" customFormat="false" ht="13.5" hidden="false" customHeight="true" outlineLevel="0" collapsed="false">
      <c r="B18" s="29" t="s">
        <v>738</v>
      </c>
      <c r="C18" s="29"/>
      <c r="D18" s="29"/>
      <c r="E18" s="29"/>
    </row>
    <row r="19" customFormat="false" ht="13.5" hidden="false" customHeight="true" outlineLevel="0" collapsed="false">
      <c r="B19" s="30" t="s">
        <v>227</v>
      </c>
      <c r="C19" s="30"/>
      <c r="D19" s="30"/>
      <c r="E19" s="30"/>
    </row>
    <row r="20" customFormat="false" ht="13.5" hidden="false" customHeight="true" outlineLevel="0" collapsed="false">
      <c r="B20" s="29" t="s">
        <v>739</v>
      </c>
      <c r="C20" s="29"/>
      <c r="D20" s="29"/>
      <c r="E20" s="29"/>
    </row>
    <row r="22" customFormat="false" ht="15" hidden="false" customHeight="false" outlineLevel="0" collapsed="false">
      <c r="B22" s="14" t="s">
        <v>231</v>
      </c>
      <c r="C22" s="28"/>
      <c r="D22" s="28"/>
      <c r="E22" s="28"/>
    </row>
    <row r="23" customFormat="false" ht="15" hidden="false" customHeight="false" outlineLevel="0" collapsed="false">
      <c r="B23" s="16" t="s">
        <v>232</v>
      </c>
      <c r="C23" s="31" t="str">
        <f aca="false">"No goal"</f>
        <v>No goal</v>
      </c>
      <c r="E23" s="32" t="s">
        <v>383</v>
      </c>
    </row>
  </sheetData>
  <mergeCells count="5">
    <mergeCell ref="B14:E14"/>
    <mergeCell ref="B17:E17"/>
    <mergeCell ref="B18:E18"/>
    <mergeCell ref="B19:E19"/>
    <mergeCell ref="B20:E20"/>
  </mergeCells>
  <dataValidations count="3">
    <dataValidation allowBlank="false" error="Please enter 1 to 40 · steps of 1." errorStyle="stop" errorTitle="Outside the allowed range" operator="between" prompt="Unit: years. Allowed: 1 to 40 · steps of 1." promptTitle="Years" showDropDown="false" showErrorMessage="true" showInputMessage="true" sqref="C8" type="whole">
      <formula1>1</formula1>
      <formula2>40</formula2>
    </dataValidation>
    <dataValidation allowBlank="false" error="Please enter €500 to €5,000,000 · steps of €100." errorStyle="stop" errorTitle="Outside the allowed range" operator="between" prompt="Unit: €. Allowed: €500 to €5,000,000 · steps of €100." promptTitle="Amount" showDropDown="false" showErrorMessage="true" showInputMessage="true" sqref="C6" type="decimal">
      <formula1>500</formula1>
      <formula2>5000000</formula2>
    </dataValidation>
    <dataValidation allowBlank="false" error="Please enter 0% to 10% · steps of 0.25%." errorStyle="stop" errorTitle="Outside the allowed range" operator="between" prompt="Unit: %. Allowed: 0% to 10% · steps of 0.25%." promptTitle="Return a year (before inflation)" showDropDown="false" showErrorMessage="true" showInputMessage="true" sqref="C7" type="decimal">
      <formula1>0</formula1>
      <formula2>0.1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740</v>
      </c>
      <c r="G1" s="2" t="s">
        <v>506</v>
      </c>
    </row>
    <row r="2" customFormat="false" ht="15" hidden="false" customHeight="false" outlineLevel="0" collapsed="false">
      <c r="B2" s="12" t="s">
        <v>741</v>
      </c>
      <c r="G2" s="2" t="s">
        <v>742</v>
      </c>
    </row>
    <row r="3" customFormat="false" ht="15" hidden="false" customHeight="false" outlineLevel="0" collapsed="false">
      <c r="B3" s="13" t="s">
        <v>743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744</v>
      </c>
      <c r="C6" s="17" t="n">
        <v>300</v>
      </c>
      <c r="D6" s="18" t="s">
        <v>177</v>
      </c>
      <c r="E6" s="2" t="s">
        <v>745</v>
      </c>
      <c r="G6" s="19" t="s">
        <v>746</v>
      </c>
    </row>
    <row r="7" customFormat="false" ht="15" hidden="false" customHeight="false" outlineLevel="0" collapsed="false">
      <c r="B7" s="16" t="s">
        <v>487</v>
      </c>
      <c r="C7" s="22" t="n">
        <v>15</v>
      </c>
      <c r="D7" s="18" t="s">
        <v>196</v>
      </c>
      <c r="E7" s="2" t="s">
        <v>488</v>
      </c>
      <c r="G7" s="19" t="s">
        <v>514</v>
      </c>
    </row>
    <row r="8" customFormat="false" ht="15" hidden="false" customHeight="false" outlineLevel="0" collapsed="false">
      <c r="B8" s="16" t="s">
        <v>747</v>
      </c>
      <c r="C8" s="21" t="n">
        <v>0.05</v>
      </c>
      <c r="D8" s="18" t="s">
        <v>192</v>
      </c>
      <c r="E8" s="2" t="s">
        <v>486</v>
      </c>
      <c r="G8" s="19" t="s">
        <v>730</v>
      </c>
    </row>
    <row r="9" customFormat="false" ht="15" hidden="false" customHeight="false" outlineLevel="0" collapsed="false">
      <c r="B9" s="16" t="s">
        <v>515</v>
      </c>
      <c r="C9" s="21" t="n">
        <v>0.01</v>
      </c>
      <c r="D9" s="18" t="s">
        <v>192</v>
      </c>
      <c r="E9" s="2" t="s">
        <v>516</v>
      </c>
      <c r="G9" s="19" t="s">
        <v>368</v>
      </c>
    </row>
    <row r="10" customFormat="false" ht="15" hidden="false" customHeight="false" outlineLevel="0" collapsed="false">
      <c r="B10" s="16" t="s">
        <v>517</v>
      </c>
      <c r="C10" s="20" t="s">
        <v>518</v>
      </c>
      <c r="D10" s="18" t="s">
        <v>188</v>
      </c>
      <c r="E10" s="2" t="s">
        <v>189</v>
      </c>
      <c r="G10" s="19" t="s">
        <v>519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748</v>
      </c>
      <c r="C13" s="23" t="n">
        <f aca="false">IF(Adjust_For_Inflation="Yes",Value_Today,Value_After_Fees)</f>
        <v>73108.7854450597</v>
      </c>
      <c r="D13" s="18" t="s">
        <v>177</v>
      </c>
      <c r="E13" s="24" t="s">
        <v>749</v>
      </c>
    </row>
    <row r="14" customFormat="false" ht="15" hidden="false" customHeight="false" outlineLevel="0" collapsed="false">
      <c r="B14" s="16" t="s">
        <v>750</v>
      </c>
      <c r="C14" s="25" t="n">
        <f aca="false">FV((1+Growth_After_Fees)^(1/12)-1,Years*12,-Monthly_Amount)</f>
        <v>73108.7854450597</v>
      </c>
      <c r="D14" s="18" t="s">
        <v>177</v>
      </c>
      <c r="E14" s="24" t="s">
        <v>751</v>
      </c>
    </row>
    <row r="15" customFormat="false" ht="15" hidden="false" customHeight="false" outlineLevel="0" collapsed="false">
      <c r="B15" s="16" t="s">
        <v>752</v>
      </c>
      <c r="C15" s="25" t="n">
        <f aca="false">FV((1+Growth_Rate)^(1/12)-1,Years*12,-Monthly_Amount)</f>
        <v>79447.3783841599</v>
      </c>
      <c r="D15" s="18" t="s">
        <v>177</v>
      </c>
      <c r="E15" s="24" t="s">
        <v>753</v>
      </c>
    </row>
    <row r="16" customFormat="false" ht="17.35" hidden="false" customHeight="false" outlineLevel="0" collapsed="false">
      <c r="B16" s="12" t="s">
        <v>528</v>
      </c>
      <c r="C16" s="23" t="n">
        <f aca="false">Value_Before_Fees-Value_After_Fees</f>
        <v>6338.59293910017</v>
      </c>
      <c r="D16" s="18" t="s">
        <v>177</v>
      </c>
      <c r="E16" s="24" t="s">
        <v>754</v>
      </c>
    </row>
    <row r="17" customFormat="false" ht="15" hidden="false" customHeight="false" outlineLevel="0" collapsed="false">
      <c r="B17" s="16" t="s">
        <v>494</v>
      </c>
      <c r="C17" s="25" t="n">
        <f aca="false">Monthly_Amount*12*Years</f>
        <v>54000</v>
      </c>
      <c r="D17" s="18" t="s">
        <v>177</v>
      </c>
      <c r="E17" s="24" t="s">
        <v>755</v>
      </c>
    </row>
    <row r="18" customFormat="false" ht="15" hidden="false" customHeight="false" outlineLevel="0" collapsed="false">
      <c r="B18" s="16" t="s">
        <v>492</v>
      </c>
      <c r="C18" s="25" t="n">
        <f aca="false">Value_After_Fees/(1+Inflation)^Years</f>
        <v>54320.9044772496</v>
      </c>
      <c r="D18" s="18" t="s">
        <v>177</v>
      </c>
      <c r="E18" s="24" t="s">
        <v>756</v>
      </c>
    </row>
    <row r="19" customFormat="false" ht="15" hidden="false" customHeight="false" outlineLevel="0" collapsed="false">
      <c r="B19" s="16" t="s">
        <v>530</v>
      </c>
      <c r="C19" s="37" t="n">
        <f aca="false">(1+Growth_Rate)*(1-Yearly_Fees)-1</f>
        <v>0.0395000000000001</v>
      </c>
      <c r="D19" s="18"/>
      <c r="E19" s="24" t="s">
        <v>531</v>
      </c>
    </row>
    <row r="20" customFormat="false" ht="15" hidden="false" customHeight="false" outlineLevel="0" collapsed="false">
      <c r="B20" s="16" t="s">
        <v>532</v>
      </c>
      <c r="C20" s="37" t="n">
        <f aca="false">(1+Growth_After_Fees)/(1+Inflation)-1</f>
        <v>0.0191176470588237</v>
      </c>
      <c r="D20" s="18"/>
      <c r="E20" s="24" t="s">
        <v>533</v>
      </c>
    </row>
    <row r="21" customFormat="false" ht="15" hidden="false" customHeight="false" outlineLevel="0" collapsed="false">
      <c r="B21" s="42" t="str">
        <f aca="false">"Before tax: deposit interest pays DIRT at "&amp;TEXT(DIRT,"0%")&amp;"; investment funds and life policies pay exit tax at "&amp;TEXT(Exit_Tax,"0%")&amp;" (plus 8-year deemed disposal). No tax is taken off here."</f>
        <v>Before tax: deposit interest pays DIRT at 33%; investment funds and life policies pay exit tax at 38% (plus 8-year deemed disposal). No tax is taken off here.</v>
      </c>
      <c r="C21" s="42"/>
      <c r="D21" s="42"/>
      <c r="E21" s="42"/>
    </row>
    <row r="23" customFormat="false" ht="15" hidden="false" customHeight="false" outlineLevel="0" collapsed="false">
      <c r="B23" s="14" t="s">
        <v>223</v>
      </c>
      <c r="C23" s="28"/>
      <c r="D23" s="28"/>
      <c r="E23" s="28"/>
    </row>
    <row r="24" customFormat="false" ht="27.75" hidden="false" customHeight="true" outlineLevel="0" collapsed="false">
      <c r="B24" s="29" t="s">
        <v>757</v>
      </c>
      <c r="C24" s="29"/>
      <c r="D24" s="29"/>
      <c r="E24" s="29"/>
    </row>
    <row r="25" customFormat="false" ht="13.5" hidden="false" customHeight="true" outlineLevel="0" collapsed="false">
      <c r="B25" s="29" t="s">
        <v>758</v>
      </c>
      <c r="C25" s="29"/>
      <c r="D25" s="29"/>
      <c r="E25" s="29"/>
    </row>
    <row r="26" customFormat="false" ht="13.5" hidden="false" customHeight="true" outlineLevel="0" collapsed="false">
      <c r="B26" s="30" t="s">
        <v>227</v>
      </c>
      <c r="C26" s="30"/>
      <c r="D26" s="30"/>
      <c r="E26" s="30"/>
    </row>
    <row r="27" customFormat="false" ht="13.5" hidden="false" customHeight="true" outlineLevel="0" collapsed="false">
      <c r="B27" s="29" t="s">
        <v>759</v>
      </c>
      <c r="C27" s="29"/>
      <c r="D27" s="29"/>
      <c r="E27" s="29"/>
    </row>
    <row r="29" customFormat="false" ht="15" hidden="false" customHeight="false" outlineLevel="0" collapsed="false">
      <c r="B29" s="14" t="s">
        <v>231</v>
      </c>
      <c r="C29" s="28"/>
      <c r="D29" s="28"/>
      <c r="E29" s="28"/>
    </row>
    <row r="30" customFormat="false" ht="15" hidden="false" customHeight="false" outlineLevel="0" collapsed="false">
      <c r="B30" s="16" t="s">
        <v>232</v>
      </c>
      <c r="C30" s="31" t="str">
        <f aca="false">"Grow my wealth (plan kind pot)"</f>
        <v>Grow my wealth (plan kind pot)</v>
      </c>
      <c r="E30" s="32" t="s">
        <v>502</v>
      </c>
    </row>
    <row r="31" customFormat="false" ht="15" hidden="false" customHeight="false" outlineLevel="0" collapsed="false">
      <c r="B31" s="16" t="s">
        <v>234</v>
      </c>
      <c r="C31" s="33" t="n">
        <f aca="false">ROUND(Value_Today,0)</f>
        <v>54321</v>
      </c>
      <c r="E31" s="32" t="s">
        <v>503</v>
      </c>
    </row>
    <row r="32" customFormat="false" ht="15" hidden="false" customHeight="false" outlineLevel="0" collapsed="false">
      <c r="B32" s="16" t="s">
        <v>238</v>
      </c>
      <c r="C32" s="34" t="n">
        <f aca="false">Years</f>
        <v>15</v>
      </c>
      <c r="E32" s="32" t="s">
        <v>476</v>
      </c>
    </row>
    <row r="33" customFormat="false" ht="13.5" hidden="false" customHeight="true" outlineLevel="0" collapsed="false">
      <c r="B33" s="39" t="s">
        <v>760</v>
      </c>
      <c r="C33" s="39"/>
      <c r="D33" s="39"/>
      <c r="E33" s="39"/>
    </row>
  </sheetData>
  <mergeCells count="6">
    <mergeCell ref="B21:E21"/>
    <mergeCell ref="B24:E24"/>
    <mergeCell ref="B25:E25"/>
    <mergeCell ref="B26:E26"/>
    <mergeCell ref="B27:E27"/>
    <mergeCell ref="B33:E33"/>
  </mergeCells>
  <dataValidations count="5">
    <dataValidation allowBlank="false" error="Please enter 1 to 40 · steps of 1." errorStyle="stop" errorTitle="Outside the allowed range" operator="between" prompt="Unit: years. Allowed: 1 to 40 · steps of 1." promptTitle="Years" showDropDown="false" showErrorMessage="true" showInputMessage="true" sqref="C7" type="whole">
      <formula1>1</formula1>
      <formula2>40</formula2>
    </dataValidation>
    <dataValidation allowBlank="false" error="Please enter 0% to 3% · steps of 0.05%." errorStyle="stop" errorTitle="Outside the allowed range" operator="between" prompt="Unit: %. Allowed: 0% to 3% · steps of 0.05%." promptTitle="Yearly fees" showDropDown="false" showErrorMessage="true" showInputMessage="true" sqref="C9" type="decimal">
      <formula1>0</formula1>
      <formula2>0.03</formula2>
    </dataValidation>
    <dataValidation allowBlank="false" error="Please enter €25 to €50,000 · steps of €25." errorStyle="stop" errorTitle="Outside the allowed range" operator="between" prompt="Unit: €. Allowed: €25 to €50,000 · steps of €25." promptTitle="Monthly amount" showDropDown="false" showErrorMessage="true" showInputMessage="true" sqref="C6" type="decimal">
      <formula1>25</formula1>
      <formula2>50000</formula2>
    </dataValidation>
    <dataValidation allowBlank="false" error="Please enter 0% to 8% · steps of 0.5%." errorStyle="stop" errorTitle="Outside the allowed range" operator="between" prompt="Unit: %. Allowed: 0% to 8% · steps of 0.5%." promptTitle="Growth a year (before fees)" showDropDown="false" showErrorMessage="true" showInputMessage="true" sqref="C8" type="decimal">
      <formula1>0</formula1>
      <formula2>0.08</formula2>
    </dataValidation>
    <dataValidation allowBlank="false" error="Please enter Yes or No." errorStyle="stop" errorTitle="Outside the allowed range" operator="between" prompt="Unit: Yes / No. Allowed: Yes or No." promptTitle="Show in today's money?" showDropDown="false" showErrorMessage="true" showInputMessage="true" sqref="C1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761</v>
      </c>
      <c r="G1" s="2" t="s">
        <v>506</v>
      </c>
    </row>
    <row r="2" customFormat="false" ht="15" hidden="false" customHeight="false" outlineLevel="0" collapsed="false">
      <c r="B2" s="12" t="s">
        <v>762</v>
      </c>
      <c r="G2" s="2" t="s">
        <v>763</v>
      </c>
    </row>
    <row r="3" customFormat="false" ht="15" hidden="false" customHeight="false" outlineLevel="0" collapsed="false">
      <c r="B3" s="13" t="s">
        <v>764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765</v>
      </c>
      <c r="C6" s="17" t="n">
        <v>50000</v>
      </c>
      <c r="D6" s="18" t="s">
        <v>177</v>
      </c>
      <c r="E6" s="2" t="s">
        <v>766</v>
      </c>
      <c r="G6" s="19" t="s">
        <v>767</v>
      </c>
    </row>
    <row r="7" customFormat="false" ht="15" hidden="false" customHeight="false" outlineLevel="0" collapsed="false">
      <c r="B7" s="16" t="s">
        <v>487</v>
      </c>
      <c r="C7" s="22" t="n">
        <v>20</v>
      </c>
      <c r="D7" s="18" t="s">
        <v>196</v>
      </c>
      <c r="E7" s="2" t="s">
        <v>488</v>
      </c>
      <c r="G7" s="19" t="s">
        <v>489</v>
      </c>
    </row>
    <row r="8" customFormat="false" ht="15" hidden="false" customHeight="false" outlineLevel="0" collapsed="false">
      <c r="B8" s="16" t="s">
        <v>747</v>
      </c>
      <c r="C8" s="21" t="n">
        <v>0.05</v>
      </c>
      <c r="D8" s="18" t="s">
        <v>192</v>
      </c>
      <c r="E8" s="2" t="s">
        <v>486</v>
      </c>
      <c r="G8" s="19" t="s">
        <v>730</v>
      </c>
    </row>
    <row r="9" customFormat="false" ht="15" hidden="false" customHeight="false" outlineLevel="0" collapsed="false">
      <c r="B9" s="16" t="s">
        <v>768</v>
      </c>
      <c r="C9" s="21" t="n">
        <v>0.005</v>
      </c>
      <c r="D9" s="18" t="s">
        <v>192</v>
      </c>
      <c r="E9" s="2" t="s">
        <v>769</v>
      </c>
      <c r="G9" s="19" t="s">
        <v>770</v>
      </c>
    </row>
    <row r="10" customFormat="false" ht="15" hidden="false" customHeight="false" outlineLevel="0" collapsed="false">
      <c r="B10" s="16" t="s">
        <v>771</v>
      </c>
      <c r="C10" s="21" t="n">
        <v>0.015</v>
      </c>
      <c r="D10" s="18" t="s">
        <v>192</v>
      </c>
      <c r="E10" s="2" t="s">
        <v>769</v>
      </c>
      <c r="G10" s="19" t="s">
        <v>772</v>
      </c>
    </row>
    <row r="12" customFormat="false" ht="15" hidden="false" customHeight="false" outlineLevel="0" collapsed="false">
      <c r="B12" s="14" t="s">
        <v>202</v>
      </c>
      <c r="C12" s="15" t="s">
        <v>203</v>
      </c>
      <c r="D12" s="15" t="s">
        <v>204</v>
      </c>
      <c r="E12" s="15" t="s">
        <v>205</v>
      </c>
    </row>
    <row r="13" customFormat="false" ht="17.35" hidden="false" customHeight="false" outlineLevel="0" collapsed="false">
      <c r="B13" s="12" t="s">
        <v>773</v>
      </c>
      <c r="C13" s="23" t="n">
        <f aca="false">ABS(Value_With_Fee_A-Value_With_Fee_B)</f>
        <v>21952.5954486869</v>
      </c>
      <c r="D13" s="18" t="s">
        <v>177</v>
      </c>
      <c r="E13" s="24" t="s">
        <v>774</v>
      </c>
    </row>
    <row r="14" customFormat="false" ht="17.35" hidden="false" customHeight="false" outlineLevel="0" collapsed="false">
      <c r="B14" s="12" t="s">
        <v>775</v>
      </c>
      <c r="C14" s="23" t="n">
        <f aca="false">Amount_Invested*((1+Growth_Rate)*(1-Fee_A))^Years</f>
        <v>120010.045568112</v>
      </c>
      <c r="D14" s="18" t="s">
        <v>177</v>
      </c>
      <c r="E14" s="24" t="s">
        <v>776</v>
      </c>
    </row>
    <row r="15" customFormat="false" ht="17.35" hidden="false" customHeight="false" outlineLevel="0" collapsed="false">
      <c r="B15" s="12" t="s">
        <v>777</v>
      </c>
      <c r="C15" s="23" t="n">
        <f aca="false">Amount_Invested*((1+Growth_Rate)*(1-Fee_B))^Years</f>
        <v>98057.4501194251</v>
      </c>
      <c r="D15" s="18" t="s">
        <v>177</v>
      </c>
      <c r="E15" s="24" t="s">
        <v>778</v>
      </c>
    </row>
    <row r="16" customFormat="false" ht="15" hidden="false" customHeight="false" outlineLevel="0" collapsed="false">
      <c r="B16" s="16" t="s">
        <v>779</v>
      </c>
      <c r="C16" s="38" t="n">
        <f aca="false">ABS(Fee_B-Fee_A)</f>
        <v>0.01</v>
      </c>
      <c r="D16" s="18" t="s">
        <v>192</v>
      </c>
      <c r="E16" s="24" t="s">
        <v>780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781</v>
      </c>
      <c r="C19" s="29"/>
      <c r="D19" s="29"/>
      <c r="E19" s="29"/>
    </row>
    <row r="20" customFormat="false" ht="13.5" hidden="false" customHeight="true" outlineLevel="0" collapsed="false">
      <c r="B20" s="30" t="s">
        <v>227</v>
      </c>
      <c r="C20" s="30"/>
      <c r="D20" s="30"/>
      <c r="E20" s="30"/>
    </row>
    <row r="21" customFormat="false" ht="13.5" hidden="false" customHeight="true" outlineLevel="0" collapsed="false">
      <c r="B21" s="29" t="s">
        <v>782</v>
      </c>
      <c r="C21" s="29"/>
      <c r="D21" s="29"/>
      <c r="E21" s="29"/>
    </row>
    <row r="23" customFormat="false" ht="15" hidden="false" customHeight="false" outlineLevel="0" collapsed="false">
      <c r="B23" s="14" t="s">
        <v>231</v>
      </c>
      <c r="C23" s="28"/>
      <c r="D23" s="28"/>
      <c r="E23" s="28"/>
    </row>
    <row r="24" customFormat="false" ht="15" hidden="false" customHeight="false" outlineLevel="0" collapsed="false">
      <c r="B24" s="16" t="s">
        <v>232</v>
      </c>
      <c r="C24" s="31" t="str">
        <f aca="false">"No goal"</f>
        <v>No goal</v>
      </c>
      <c r="E24" s="32" t="s">
        <v>383</v>
      </c>
    </row>
  </sheetData>
  <mergeCells count="3">
    <mergeCell ref="B19:E19"/>
    <mergeCell ref="B20:E20"/>
    <mergeCell ref="B21:E21"/>
  </mergeCells>
  <dataValidations count="5">
    <dataValidation allowBlank="false" error="Please enter 1 to 40 · steps of 1." errorStyle="stop" errorTitle="Outside the allowed range" operator="between" prompt="Unit: years. Allowed: 1 to 40 · steps of 1." promptTitle="Years" showDropDown="false" showErrorMessage="true" showInputMessage="true" sqref="C7" type="whole">
      <formula1>1</formula1>
      <formula2>40</formula2>
    </dataValidation>
    <dataValidation allowBlank="false" error="Please enter 0% to 8% · steps of 0.5%." errorStyle="stop" errorTitle="Outside the allowed range" operator="between" prompt="Unit: %. Allowed: 0% to 8% · steps of 0.5%." promptTitle="Growth a year (before fees)" showDropDown="false" showErrorMessage="true" showInputMessage="true" sqref="C8" type="decimal">
      <formula1>0</formula1>
      <formula2>0.08</formula2>
    </dataValidation>
    <dataValidation allowBlank="false" error="Please enter €1,000 to €10,000,000 · steps of €100." errorStyle="stop" errorTitle="Outside the allowed range" operator="between" prompt="Unit: €. Allowed: €1,000 to €10,000,000 · steps of €100." promptTitle="Amount invested" showDropDown="false" showErrorMessage="true" showInputMessage="true" sqref="C6" type="decimal">
      <formula1>1000</formula1>
      <formula2>10000000</formula2>
    </dataValidation>
    <dataValidation allowBlank="false" error="Please enter 0% to 3% · steps of 0.1%." errorStyle="stop" errorTitle="Outside the allowed range" operator="between" prompt="Unit: %. Allowed: 0% to 3% · steps of 0.1%." promptTitle="Fee A a year" showDropDown="false" showErrorMessage="true" showInputMessage="true" sqref="C9" type="decimal">
      <formula1>0</formula1>
      <formula2>0.03</formula2>
    </dataValidation>
    <dataValidation allowBlank="false" error="Please enter 0% to 3% · steps of 0.1%." errorStyle="stop" errorTitle="Outside the allowed range" operator="between" prompt="Unit: %. Allowed: 0% to 3% · steps of 0.1%." promptTitle="Fee B a year" showDropDown="false" showErrorMessage="true" showInputMessage="true" sqref="C10" type="decimal">
      <formula1>0</formula1>
      <formula2>0.03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783</v>
      </c>
      <c r="G1" s="2" t="s">
        <v>506</v>
      </c>
    </row>
    <row r="2" customFormat="false" ht="15" hidden="false" customHeight="false" outlineLevel="0" collapsed="false">
      <c r="B2" s="12" t="s">
        <v>784</v>
      </c>
      <c r="G2" s="2" t="s">
        <v>785</v>
      </c>
    </row>
    <row r="3" customFormat="false" ht="15" hidden="false" customHeight="false" outlineLevel="0" collapsed="false">
      <c r="B3" s="13" t="s">
        <v>786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510</v>
      </c>
      <c r="C6" s="17" t="n">
        <v>20000</v>
      </c>
      <c r="D6" s="18" t="s">
        <v>177</v>
      </c>
      <c r="E6" s="2" t="s">
        <v>766</v>
      </c>
      <c r="G6" s="19" t="s">
        <v>727</v>
      </c>
    </row>
    <row r="7" customFormat="false" ht="15" hidden="false" customHeight="false" outlineLevel="0" collapsed="false">
      <c r="B7" s="16" t="s">
        <v>487</v>
      </c>
      <c r="C7" s="22" t="n">
        <v>10</v>
      </c>
      <c r="D7" s="18" t="s">
        <v>196</v>
      </c>
      <c r="E7" s="2" t="s">
        <v>416</v>
      </c>
      <c r="G7" s="19" t="s">
        <v>417</v>
      </c>
    </row>
    <row r="8" customFormat="false" ht="15" hidden="false" customHeight="false" outlineLevel="0" collapsed="false">
      <c r="B8" s="16" t="s">
        <v>787</v>
      </c>
      <c r="C8" s="22" t="n">
        <v>2</v>
      </c>
      <c r="D8" s="18" t="s">
        <v>788</v>
      </c>
      <c r="E8" s="2" t="s">
        <v>789</v>
      </c>
      <c r="G8" s="19" t="s">
        <v>790</v>
      </c>
    </row>
    <row r="10" customFormat="false" ht="15" hidden="false" customHeight="false" outlineLevel="0" collapsed="false">
      <c r="B10" s="14" t="s">
        <v>202</v>
      </c>
      <c r="C10" s="15" t="s">
        <v>203</v>
      </c>
      <c r="D10" s="15" t="s">
        <v>204</v>
      </c>
      <c r="E10" s="15" t="s">
        <v>205</v>
      </c>
    </row>
    <row r="11" customFormat="false" ht="17.35" hidden="false" customHeight="false" outlineLevel="0" collapsed="false">
      <c r="B11" s="12" t="s">
        <v>791</v>
      </c>
      <c r="C11" s="23" t="n">
        <f aca="false">Amount*(1+Middle_Growth)^Years</f>
        <v>29604.8856983669</v>
      </c>
      <c r="D11" s="36" t="str">
        <f aca="false">Style_Name&amp;" · middle outcome"</f>
        <v>Balanced · middle outcome</v>
      </c>
      <c r="E11" s="24" t="s">
        <v>792</v>
      </c>
    </row>
    <row r="12" customFormat="false" ht="17.35" hidden="false" customHeight="false" outlineLevel="0" collapsed="false">
      <c r="B12" s="12" t="s">
        <v>793</v>
      </c>
      <c r="C12" s="23" t="n">
        <f aca="false">Amount*(1+Middle_Growth-Spread)^Years</f>
        <v>21740.0366081633</v>
      </c>
      <c r="D12" s="18" t="s">
        <v>177</v>
      </c>
      <c r="E12" s="24" t="s">
        <v>794</v>
      </c>
    </row>
    <row r="13" customFormat="false" ht="17.35" hidden="false" customHeight="false" outlineLevel="0" collapsed="false">
      <c r="B13" s="12" t="s">
        <v>795</v>
      </c>
      <c r="C13" s="23" t="n">
        <f aca="false">Amount*(1+Middle_Growth+Spread)^Years</f>
        <v>39943.7975878142</v>
      </c>
      <c r="D13" s="18" t="s">
        <v>177</v>
      </c>
      <c r="E13" s="24" t="s">
        <v>796</v>
      </c>
    </row>
    <row r="14" customFormat="false" ht="15" hidden="false" customHeight="false" outlineLevel="0" collapsed="false">
      <c r="B14" s="16" t="s">
        <v>797</v>
      </c>
      <c r="C14" s="38" t="n">
        <f aca="false">ROUND(Volatility*Risk_Fall*100,0)/100</f>
        <v>0.16</v>
      </c>
      <c r="D14" s="18" t="s">
        <v>192</v>
      </c>
      <c r="E14" s="24" t="s">
        <v>798</v>
      </c>
    </row>
    <row r="15" customFormat="false" ht="15" hidden="false" customHeight="false" outlineLevel="0" collapsed="false">
      <c r="B15" s="16" t="s">
        <v>799</v>
      </c>
      <c r="C15" s="27" t="str">
        <f aca="false">IF(OR(Style&lt;1,Style&gt;3,Style&lt;&gt;INT(Style)),"Choose 1, 2 or 3",INDEX(Risk_Names,Style))</f>
        <v>Balanced</v>
      </c>
      <c r="D15" s="18"/>
      <c r="E15" s="24" t="s">
        <v>800</v>
      </c>
    </row>
    <row r="16" customFormat="false" ht="15" hidden="false" customHeight="false" outlineLevel="0" collapsed="false">
      <c r="B16" s="16" t="s">
        <v>801</v>
      </c>
      <c r="C16" s="38" t="n">
        <f aca="false">INDEX(Risk_Mu,Style)</f>
        <v>0.04</v>
      </c>
      <c r="D16" s="18" t="s">
        <v>192</v>
      </c>
      <c r="E16" s="24" t="s">
        <v>802</v>
      </c>
    </row>
    <row r="17" customFormat="false" ht="15" hidden="false" customHeight="false" outlineLevel="0" collapsed="false">
      <c r="B17" s="16" t="s">
        <v>803</v>
      </c>
      <c r="C17" s="38" t="n">
        <f aca="false">INDEX(Risk_Vol,Style)</f>
        <v>0.1</v>
      </c>
      <c r="D17" s="18" t="s">
        <v>192</v>
      </c>
      <c r="E17" s="24" t="s">
        <v>804</v>
      </c>
    </row>
    <row r="18" customFormat="false" ht="15" hidden="false" customHeight="false" outlineLevel="0" collapsed="false">
      <c r="B18" s="16" t="s">
        <v>805</v>
      </c>
      <c r="C18" s="37" t="n">
        <f aca="false">Volatility/SQRT(Years)</f>
        <v>0.0316227766016838</v>
      </c>
      <c r="D18" s="18"/>
      <c r="E18" s="24" t="s">
        <v>806</v>
      </c>
    </row>
    <row r="20" customFormat="false" ht="15" hidden="false" customHeight="false" outlineLevel="0" collapsed="false">
      <c r="B20" s="14" t="s">
        <v>223</v>
      </c>
      <c r="C20" s="28"/>
      <c r="D20" s="28"/>
      <c r="E20" s="28"/>
    </row>
    <row r="21" customFormat="false" ht="27.75" hidden="false" customHeight="true" outlineLevel="0" collapsed="false">
      <c r="B21" s="29" t="s">
        <v>807</v>
      </c>
      <c r="C21" s="29"/>
      <c r="D21" s="29"/>
      <c r="E21" s="29"/>
    </row>
    <row r="22" customFormat="false" ht="13.5" hidden="false" customHeight="true" outlineLevel="0" collapsed="false">
      <c r="B22" s="29" t="s">
        <v>808</v>
      </c>
      <c r="C22" s="29"/>
      <c r="D22" s="29"/>
      <c r="E22" s="29"/>
    </row>
    <row r="23" customFormat="false" ht="13.5" hidden="false" customHeight="true" outlineLevel="0" collapsed="false">
      <c r="B23" s="30" t="s">
        <v>227</v>
      </c>
      <c r="C23" s="30"/>
      <c r="D23" s="30"/>
      <c r="E23" s="30"/>
    </row>
    <row r="24" customFormat="false" ht="13.5" hidden="false" customHeight="true" outlineLevel="0" collapsed="false">
      <c r="B24" s="29" t="s">
        <v>809</v>
      </c>
      <c r="C24" s="29"/>
      <c r="D24" s="29"/>
      <c r="E24" s="29"/>
    </row>
    <row r="25" customFormat="false" ht="13.5" hidden="false" customHeight="true" outlineLevel="0" collapsed="false">
      <c r="B25" s="29" t="s">
        <v>810</v>
      </c>
      <c r="C25" s="29"/>
      <c r="D25" s="29"/>
      <c r="E25" s="29"/>
    </row>
    <row r="27" customFormat="false" ht="15" hidden="false" customHeight="false" outlineLevel="0" collapsed="false">
      <c r="B27" s="14" t="s">
        <v>231</v>
      </c>
      <c r="C27" s="28"/>
      <c r="D27" s="28"/>
      <c r="E27" s="28"/>
    </row>
    <row r="28" customFormat="false" ht="15" hidden="false" customHeight="false" outlineLevel="0" collapsed="false">
      <c r="B28" s="16" t="s">
        <v>232</v>
      </c>
      <c r="C28" s="31" t="str">
        <f aca="false">"No goal"</f>
        <v>No goal</v>
      </c>
      <c r="E28" s="32" t="s">
        <v>383</v>
      </c>
    </row>
  </sheetData>
  <mergeCells count="5">
    <mergeCell ref="B21:E21"/>
    <mergeCell ref="B22:E22"/>
    <mergeCell ref="B23:E23"/>
    <mergeCell ref="B24:E24"/>
    <mergeCell ref="B25:E25"/>
  </mergeCells>
  <dataValidations count="3">
    <dataValidation allowBlank="false" error="Please enter €1,000 to €10,000,000 · steps of €100." errorStyle="stop" errorTitle="Outside the allowed range" operator="between" prompt="Unit: €. Allowed: €1,000 to €10,000,000 · steps of €100." promptTitle="Amount" showDropDown="false" showErrorMessage="true" showInputMessage="true" sqref="C6" type="decimal">
      <formula1>1000</formula1>
      <formula2>10000000</formula2>
    </dataValidation>
    <dataValidation allowBlank="false" error="Please enter 1 to 30 · steps of 1." errorStyle="stop" errorTitle="Outside the allowed range" operator="between" prompt="Unit: years. Allowed: 1 to 30 · steps of 1." promptTitle="Years" showDropDown="false" showErrorMessage="true" showInputMessage="true" sqref="C7" type="whole">
      <formula1>1</formula1>
      <formula2>30</formula2>
    </dataValidation>
    <dataValidation allowBlank="false" error="Please enter 1 or 2 or 3." errorStyle="stop" errorTitle="Outside the allowed range" operator="between" prompt="Unit: 1, 2 or 3. Allowed: 1 or 2 or 3." promptTitle="Style: 1 Cautious · 2 Balanced ·" showDropDown="false" showErrorMessage="true" showInputMessage="true" sqref="C8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811</v>
      </c>
      <c r="G1" s="2" t="s">
        <v>812</v>
      </c>
    </row>
    <row r="2" customFormat="false" ht="15" hidden="false" customHeight="false" outlineLevel="0" collapsed="false">
      <c r="B2" s="12" t="s">
        <v>813</v>
      </c>
      <c r="G2" s="2" t="s">
        <v>814</v>
      </c>
    </row>
    <row r="3" customFormat="false" ht="15" hidden="false" customHeight="false" outlineLevel="0" collapsed="false">
      <c r="B3" s="13" t="s">
        <v>815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176</v>
      </c>
      <c r="C6" s="17" t="n">
        <v>60000</v>
      </c>
      <c r="D6" s="18" t="s">
        <v>177</v>
      </c>
      <c r="E6" s="2" t="s">
        <v>816</v>
      </c>
      <c r="G6" s="19" t="s">
        <v>179</v>
      </c>
    </row>
    <row r="7" customFormat="false" ht="15" hidden="false" customHeight="false" outlineLevel="0" collapsed="false">
      <c r="B7" s="16" t="s">
        <v>817</v>
      </c>
      <c r="C7" s="22" t="n">
        <v>15</v>
      </c>
      <c r="D7" s="18" t="s">
        <v>196</v>
      </c>
      <c r="E7" s="2" t="s">
        <v>416</v>
      </c>
      <c r="G7" s="19" t="s">
        <v>514</v>
      </c>
    </row>
    <row r="8" customFormat="false" ht="15" hidden="false" customHeight="false" outlineLevel="0" collapsed="false">
      <c r="B8" s="16" t="s">
        <v>323</v>
      </c>
      <c r="C8" s="17" t="n">
        <v>250000</v>
      </c>
      <c r="D8" s="18" t="s">
        <v>177</v>
      </c>
      <c r="E8" s="2" t="s">
        <v>818</v>
      </c>
      <c r="G8" s="19" t="s">
        <v>819</v>
      </c>
    </row>
    <row r="9" customFormat="false" ht="15" hidden="false" customHeight="false" outlineLevel="0" collapsed="false">
      <c r="B9" s="16" t="s">
        <v>820</v>
      </c>
      <c r="C9" s="20" t="s">
        <v>187</v>
      </c>
      <c r="D9" s="18" t="s">
        <v>188</v>
      </c>
      <c r="E9" s="2" t="s">
        <v>189</v>
      </c>
      <c r="G9" s="19" t="s">
        <v>821</v>
      </c>
    </row>
    <row r="10" customFormat="false" ht="15" hidden="false" customHeight="false" outlineLevel="0" collapsed="false">
      <c r="B10" s="16" t="s">
        <v>822</v>
      </c>
      <c r="C10" s="17" t="n">
        <v>10000</v>
      </c>
      <c r="D10" s="18" t="s">
        <v>177</v>
      </c>
      <c r="E10" s="2" t="s">
        <v>184</v>
      </c>
      <c r="G10" s="19" t="s">
        <v>823</v>
      </c>
    </row>
    <row r="11" customFormat="false" ht="15" hidden="false" customHeight="false" outlineLevel="0" collapsed="false">
      <c r="B11" s="16" t="s">
        <v>824</v>
      </c>
      <c r="C11" s="17" t="n">
        <v>20000</v>
      </c>
      <c r="D11" s="18" t="s">
        <v>177</v>
      </c>
      <c r="E11" s="2" t="s">
        <v>825</v>
      </c>
      <c r="G11" s="19" t="s">
        <v>826</v>
      </c>
    </row>
    <row r="12" customFormat="false" ht="15" hidden="false" customHeight="false" outlineLevel="0" collapsed="false">
      <c r="B12" s="16" t="s">
        <v>827</v>
      </c>
      <c r="C12" s="17" t="n">
        <v>100000</v>
      </c>
      <c r="D12" s="18" t="s">
        <v>177</v>
      </c>
      <c r="E12" s="2" t="s">
        <v>828</v>
      </c>
      <c r="G12" s="19" t="s">
        <v>829</v>
      </c>
    </row>
    <row r="13" customFormat="false" ht="15" hidden="false" customHeight="false" outlineLevel="0" collapsed="false">
      <c r="B13" s="16" t="s">
        <v>830</v>
      </c>
      <c r="C13" s="50" t="n">
        <f aca="false">Survivor_Pension_Week</f>
        <v>259.5</v>
      </c>
      <c r="D13" s="18" t="s">
        <v>831</v>
      </c>
      <c r="E13" s="2" t="s">
        <v>832</v>
      </c>
      <c r="G13" s="19" t="s">
        <v>833</v>
      </c>
    </row>
    <row r="15" customFormat="false" ht="15" hidden="false" customHeight="false" outlineLevel="0" collapsed="false">
      <c r="B15" s="14" t="s">
        <v>202</v>
      </c>
      <c r="C15" s="15" t="s">
        <v>203</v>
      </c>
      <c r="D15" s="15" t="s">
        <v>204</v>
      </c>
      <c r="E15" s="15" t="s">
        <v>205</v>
      </c>
    </row>
    <row r="16" customFormat="false" ht="17.35" hidden="false" customHeight="false" outlineLevel="0" collapsed="false">
      <c r="B16" s="12" t="s">
        <v>834</v>
      </c>
      <c r="C16" s="23" t="n">
        <f aca="false">MAX(0,Income_Need+Debts_To_Clear-Already_Have)</f>
        <v>227590</v>
      </c>
      <c r="D16" s="18" t="s">
        <v>177</v>
      </c>
      <c r="E16" s="24" t="s">
        <v>835</v>
      </c>
    </row>
    <row r="17" customFormat="false" ht="17.35" hidden="false" customHeight="false" outlineLevel="0" collapsed="false">
      <c r="B17" s="12" t="s">
        <v>836</v>
      </c>
      <c r="C17" s="23" t="n">
        <f aca="false">MAX(0,Yearly_Income*Life_Replace-Survivor_Pension*Weeks_Per_Year)*Years_Support</f>
        <v>337590</v>
      </c>
      <c r="D17" s="18" t="s">
        <v>177</v>
      </c>
      <c r="E17" s="24" t="s">
        <v>837</v>
      </c>
    </row>
    <row r="18" customFormat="false" ht="17.35" hidden="false" customHeight="false" outlineLevel="0" collapsed="false">
      <c r="B18" s="12" t="s">
        <v>838</v>
      </c>
      <c r="C18" s="23" t="n">
        <f aca="false">IF(Mortgage_Protected="Yes",0,Mortgage_Balance)+Other_Debts</f>
        <v>10000</v>
      </c>
      <c r="D18" s="18" t="s">
        <v>177</v>
      </c>
      <c r="E18" s="24" t="s">
        <v>839</v>
      </c>
    </row>
    <row r="19" customFormat="false" ht="15" hidden="false" customHeight="false" outlineLevel="0" collapsed="false">
      <c r="B19" s="16" t="s">
        <v>840</v>
      </c>
      <c r="C19" s="25" t="n">
        <f aca="false">Existing_Cover+Savings</f>
        <v>120000</v>
      </c>
      <c r="D19" s="18" t="s">
        <v>177</v>
      </c>
      <c r="E19" s="24" t="s">
        <v>841</v>
      </c>
    </row>
    <row r="20" customFormat="false" ht="15" hidden="false" customHeight="false" outlineLevel="0" collapsed="false">
      <c r="B20" s="16" t="s">
        <v>842</v>
      </c>
      <c r="C20" s="25" t="n">
        <f aca="false">Yearly_Income*Life_Replace*Years_Support</f>
        <v>540000</v>
      </c>
      <c r="D20" s="18" t="s">
        <v>177</v>
      </c>
      <c r="E20" s="24" t="s">
        <v>843</v>
      </c>
    </row>
    <row r="22" customFormat="false" ht="15" hidden="false" customHeight="false" outlineLevel="0" collapsed="false">
      <c r="B22" s="14" t="s">
        <v>223</v>
      </c>
      <c r="C22" s="28"/>
      <c r="D22" s="28"/>
      <c r="E22" s="28"/>
    </row>
    <row r="23" customFormat="false" ht="13.5" hidden="false" customHeight="true" outlineLevel="0" collapsed="false">
      <c r="B23" s="29" t="s">
        <v>844</v>
      </c>
      <c r="C23" s="29"/>
      <c r="D23" s="29"/>
      <c r="E23" s="29"/>
    </row>
    <row r="24" customFormat="false" ht="27.75" hidden="false" customHeight="true" outlineLevel="0" collapsed="false">
      <c r="B24" s="29" t="s">
        <v>845</v>
      </c>
      <c r="C24" s="29"/>
      <c r="D24" s="29"/>
      <c r="E24" s="29"/>
    </row>
    <row r="25" customFormat="false" ht="13.5" hidden="false" customHeight="true" outlineLevel="0" collapsed="false">
      <c r="B25" s="29" t="s">
        <v>846</v>
      </c>
      <c r="C25" s="29"/>
      <c r="D25" s="29"/>
      <c r="E25" s="29"/>
    </row>
    <row r="26" customFormat="false" ht="13.5" hidden="false" customHeight="true" outlineLevel="0" collapsed="false">
      <c r="B26" s="30" t="s">
        <v>227</v>
      </c>
      <c r="C26" s="30"/>
      <c r="D26" s="30"/>
      <c r="E26" s="30"/>
    </row>
    <row r="27" customFormat="false" ht="13.5" hidden="false" customHeight="true" outlineLevel="0" collapsed="false">
      <c r="B27" s="29" t="s">
        <v>847</v>
      </c>
      <c r="C27" s="29"/>
      <c r="D27" s="29"/>
      <c r="E27" s="29"/>
    </row>
    <row r="28" customFormat="false" ht="13.5" hidden="false" customHeight="true" outlineLevel="0" collapsed="false">
      <c r="B28" s="29" t="s">
        <v>848</v>
      </c>
      <c r="C28" s="29"/>
      <c r="D28" s="29"/>
      <c r="E28" s="29"/>
    </row>
    <row r="30" customFormat="false" ht="15" hidden="false" customHeight="false" outlineLevel="0" collapsed="false">
      <c r="B30" s="14" t="s">
        <v>231</v>
      </c>
      <c r="C30" s="28"/>
      <c r="D30" s="28"/>
      <c r="E30" s="28"/>
    </row>
    <row r="31" customFormat="false" ht="15" hidden="false" customHeight="false" outlineLevel="0" collapsed="false">
      <c r="B31" s="16" t="s">
        <v>232</v>
      </c>
      <c r="C31" s="31" t="str">
        <f aca="false">"No goal: record a protection need for the adviser"</f>
        <v>No goal: record a protection need for the adviser</v>
      </c>
      <c r="E31" s="32" t="s">
        <v>849</v>
      </c>
    </row>
    <row r="32" customFormat="false" ht="15" hidden="false" customHeight="false" outlineLevel="0" collapsed="false">
      <c r="B32" s="16" t="s">
        <v>850</v>
      </c>
      <c r="C32" s="33" t="n">
        <f aca="false">Cover_Gap</f>
        <v>227590</v>
      </c>
      <c r="E32" s="32" t="s">
        <v>851</v>
      </c>
    </row>
    <row r="33" customFormat="false" ht="13.5" hidden="false" customHeight="true" outlineLevel="0" collapsed="false">
      <c r="B33" s="39" t="s">
        <v>852</v>
      </c>
      <c r="C33" s="39"/>
      <c r="D33" s="39"/>
      <c r="E33" s="39"/>
    </row>
  </sheetData>
  <mergeCells count="7">
    <mergeCell ref="B23:E23"/>
    <mergeCell ref="B24:E24"/>
    <mergeCell ref="B25:E25"/>
    <mergeCell ref="B26:E26"/>
    <mergeCell ref="B27:E27"/>
    <mergeCell ref="B28:E28"/>
    <mergeCell ref="B33:E33"/>
  </mergeCells>
  <dataValidations count="8">
    <dataValidation allowBlank="false" error="Please enter €0 to €3,000,000 · steps of €1,000." errorStyle="stop" errorTitle="Outside the allowed range" operator="between" prompt="Unit: €. Allowed: €0 to €3,000,000 · steps of €1,000." promptTitle="Your gross yearly income" showDropDown="false" showErrorMessage="true" showInputMessage="true" sqref="C6" type="decimal">
      <formula1>0</formula1>
      <formula2>3000000</formula2>
    </dataValidation>
    <dataValidation allowBlank="false" error="Please enter 1 to 30 · steps of 1." errorStyle="stop" errorTitle="Outside the allowed range" operator="between" prompt="Unit: years. Allowed: 1 to 30 · steps of 1." promptTitle="Years your family would need sup" showDropDown="false" showErrorMessage="true" showInputMessage="true" sqref="C7" type="whole">
      <formula1>1</formula1>
      <formula2>30</formula2>
    </dataValidation>
    <dataValidation allowBlank="false" error="Please enter €0 to €10,000,000 · steps of €5,000." errorStyle="stop" errorTitle="Outside the allowed range" operator="between" prompt="Unit: €. Allowed: €0 to €10,000,000 · steps of €5,000." promptTitle="Mortgage balance" showDropDown="false" showErrorMessage="true" showInputMessage="true" sqref="C8" type="decimal">
      <formula1>0</formula1>
      <formula2>10000000</formula2>
    </dataValidation>
    <dataValidation allowBlank="false" error="Please enter Yes or No." errorStyle="stop" errorTitle="Outside the allowed range" operator="between" prompt="Unit: Yes / No. Allowed: Yes or No." promptTitle="Is the mortgage cleared by mortg" showDropDown="false" showErrorMessage="true" showInputMessage="true" sqref="C9" type="list">
      <formula1>"Yes,No"</formula1>
      <formula2>0</formula2>
    </dataValidation>
    <dataValidation allowBlank="false" error="Please enter €0 to €2,000,000 · steps of €1,000." errorStyle="stop" errorTitle="Outside the allowed range" operator="between" prompt="Unit: €. Allowed: €0 to €2,000,000 · steps of €1,000." promptTitle="Other debts" showDropDown="false" showErrorMessage="true" showInputMessage="true" sqref="C10" type="decimal">
      <formula1>0</formula1>
      <formula2>2000000</formula2>
    </dataValidation>
    <dataValidation allowBlank="false" error="Please enter €0 to €10,000,000 · steps of €1,000." errorStyle="stop" errorTitle="Outside the allowed range" operator="between" prompt="Unit: €. Allowed: €0 to €10,000,000 · steps of €1,000." promptTitle="Savings &amp; investments" showDropDown="false" showErrorMessage="true" showInputMessage="true" sqref="C11" type="decimal">
      <formula1>0</formula1>
      <formula2>10000000</formula2>
    </dataValidation>
    <dataValidation allowBlank="false" error="Please enter €0 to €20,000,000 · steps of €10,000." errorStyle="stop" errorTitle="Outside the allowed range" operator="between" prompt="Unit: €. Allowed: €0 to €20,000,000 · steps of €10,000." promptTitle="Existing life cover (incl. throu" showDropDown="false" showErrorMessage="true" showInputMessage="true" sqref="C12" type="decimal">
      <formula1>0</formula1>
      <formula2>20000000</formula2>
    </dataValidation>
    <dataValidation allowBlank="false" error="Please enter €0 to €1,000 · steps of €0.50." errorStyle="stop" errorTitle="Outside the allowed range" operator="between" prompt="Unit: € a week. Allowed: €0 to €1,000 · steps of €0.50." promptTitle="State survivor's pension a week " showDropDown="false" showErrorMessage="true" showInputMessage="true" sqref="C13" type="decimal">
      <formula1>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853</v>
      </c>
      <c r="G1" s="2" t="s">
        <v>812</v>
      </c>
    </row>
    <row r="2" customFormat="false" ht="15" hidden="false" customHeight="false" outlineLevel="0" collapsed="false">
      <c r="B2" s="12" t="s">
        <v>854</v>
      </c>
      <c r="G2" s="2" t="s">
        <v>855</v>
      </c>
    </row>
    <row r="3" customFormat="false" ht="15" hidden="false" customHeight="false" outlineLevel="0" collapsed="false">
      <c r="B3" s="13" t="s">
        <v>856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9.4" hidden="false" customHeight="false" outlineLevel="0" collapsed="false">
      <c r="B6" s="16" t="s">
        <v>544</v>
      </c>
      <c r="C6" s="17" t="n">
        <v>2500</v>
      </c>
      <c r="D6" s="18" t="s">
        <v>177</v>
      </c>
      <c r="E6" s="2" t="s">
        <v>545</v>
      </c>
      <c r="G6" s="19" t="s">
        <v>546</v>
      </c>
    </row>
    <row r="7" customFormat="false" ht="15" hidden="false" customHeight="false" outlineLevel="0" collapsed="false">
      <c r="B7" s="16" t="s">
        <v>857</v>
      </c>
      <c r="C7" s="22" t="n">
        <v>3</v>
      </c>
      <c r="D7" s="18" t="s">
        <v>548</v>
      </c>
      <c r="E7" s="2" t="s">
        <v>858</v>
      </c>
      <c r="G7" s="19" t="s">
        <v>454</v>
      </c>
    </row>
    <row r="8" customFormat="false" ht="15" hidden="false" customHeight="false" outlineLevel="0" collapsed="false">
      <c r="B8" s="16" t="s">
        <v>551</v>
      </c>
      <c r="C8" s="17" t="n">
        <v>8000</v>
      </c>
      <c r="D8" s="18" t="s">
        <v>177</v>
      </c>
      <c r="E8" s="2" t="s">
        <v>299</v>
      </c>
      <c r="G8" s="19" t="s">
        <v>859</v>
      </c>
    </row>
    <row r="9" customFormat="false" ht="15" hidden="false" customHeight="false" outlineLevel="0" collapsed="false">
      <c r="B9" s="16" t="s">
        <v>176</v>
      </c>
      <c r="C9" s="17" t="n">
        <v>60000</v>
      </c>
      <c r="D9" s="18" t="s">
        <v>177</v>
      </c>
      <c r="E9" s="2" t="s">
        <v>816</v>
      </c>
      <c r="G9" s="19" t="s">
        <v>179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860</v>
      </c>
      <c r="C12" s="43" t="n">
        <f aca="false">IF(Monthly_Gap=0,"Indefinitely",Sick_Pay_Months+Savings/Monthly_Gap)</f>
        <v>8.71700809909481</v>
      </c>
      <c r="D12" s="18" t="s">
        <v>548</v>
      </c>
      <c r="E12" s="24" t="s">
        <v>861</v>
      </c>
    </row>
    <row r="13" customFormat="false" ht="17.35" hidden="false" customHeight="false" outlineLevel="0" collapsed="false">
      <c r="B13" s="12" t="s">
        <v>862</v>
      </c>
      <c r="C13" s="23" t="n">
        <f aca="false">MAX(0,Essential_Spending-Illness_Benefit_Month)</f>
        <v>1399.33333333333</v>
      </c>
      <c r="D13" s="18" t="s">
        <v>177</v>
      </c>
      <c r="E13" s="24" t="s">
        <v>863</v>
      </c>
    </row>
    <row r="14" customFormat="false" ht="17.35" hidden="false" customHeight="false" outlineLevel="0" collapsed="false">
      <c r="B14" s="12" t="s">
        <v>864</v>
      </c>
      <c r="C14" s="23" t="n">
        <f aca="false">MIN(Monthly_Gap,IP_Max)</f>
        <v>1399.33333333333</v>
      </c>
      <c r="D14" s="18" t="s">
        <v>177</v>
      </c>
      <c r="E14" s="24" t="s">
        <v>865</v>
      </c>
    </row>
    <row r="15" customFormat="false" ht="15" hidden="false" customHeight="false" outlineLevel="0" collapsed="false">
      <c r="B15" s="16" t="s">
        <v>866</v>
      </c>
      <c r="C15" s="25" t="n">
        <f aca="false">Illness_Benefit_Week*Weeks_Per_Year/12</f>
        <v>1100.66666666667</v>
      </c>
      <c r="D15" s="18" t="s">
        <v>177</v>
      </c>
      <c r="E15" s="24" t="s">
        <v>867</v>
      </c>
    </row>
    <row r="16" customFormat="false" ht="15" hidden="false" customHeight="false" outlineLevel="0" collapsed="false">
      <c r="B16" s="16" t="s">
        <v>868</v>
      </c>
      <c r="C16" s="51" t="n">
        <f aca="false">IF(Monthly_Gap=0,"Indefinitely",Savings/Monthly_Gap)</f>
        <v>5.71700809909481</v>
      </c>
      <c r="D16" s="18" t="s">
        <v>548</v>
      </c>
      <c r="E16" s="24" t="s">
        <v>869</v>
      </c>
    </row>
    <row r="17" customFormat="false" ht="15" hidden="false" customHeight="false" outlineLevel="0" collapsed="false">
      <c r="B17" s="16" t="s">
        <v>870</v>
      </c>
      <c r="C17" s="25" t="n">
        <f aca="false">MAX(0,Gross_Income*IP_Max_Pct/12-Illness_Benefit_Month)</f>
        <v>2649.33333333333</v>
      </c>
      <c r="D17" s="18" t="s">
        <v>177</v>
      </c>
      <c r="E17" s="24" t="s">
        <v>871</v>
      </c>
    </row>
    <row r="19" customFormat="false" ht="15" hidden="false" customHeight="false" outlineLevel="0" collapsed="false">
      <c r="B19" s="14" t="s">
        <v>223</v>
      </c>
      <c r="C19" s="28"/>
      <c r="D19" s="28"/>
      <c r="E19" s="28"/>
    </row>
    <row r="20" customFormat="false" ht="13.5" hidden="false" customHeight="true" outlineLevel="0" collapsed="false">
      <c r="B20" s="29" t="s">
        <v>872</v>
      </c>
      <c r="C20" s="29"/>
      <c r="D20" s="29"/>
      <c r="E20" s="29"/>
    </row>
    <row r="21" customFormat="false" ht="13.5" hidden="false" customHeight="true" outlineLevel="0" collapsed="false">
      <c r="B21" s="29" t="s">
        <v>873</v>
      </c>
      <c r="C21" s="29"/>
      <c r="D21" s="29"/>
      <c r="E21" s="29"/>
    </row>
    <row r="22" customFormat="false" ht="13.5" hidden="false" customHeight="true" outlineLevel="0" collapsed="false">
      <c r="B22" s="29" t="s">
        <v>874</v>
      </c>
      <c r="C22" s="29"/>
      <c r="D22" s="29"/>
      <c r="E22" s="29"/>
    </row>
    <row r="23" customFormat="false" ht="13.5" hidden="false" customHeight="true" outlineLevel="0" collapsed="false">
      <c r="B23" s="30" t="s">
        <v>227</v>
      </c>
      <c r="C23" s="30"/>
      <c r="D23" s="30"/>
      <c r="E23" s="30"/>
    </row>
    <row r="24" customFormat="false" ht="13.5" hidden="false" customHeight="true" outlineLevel="0" collapsed="false">
      <c r="B24" s="29" t="s">
        <v>875</v>
      </c>
      <c r="C24" s="29"/>
      <c r="D24" s="29"/>
      <c r="E24" s="29"/>
    </row>
    <row r="25" customFormat="false" ht="13.5" hidden="false" customHeight="true" outlineLevel="0" collapsed="false">
      <c r="B25" s="29" t="s">
        <v>876</v>
      </c>
      <c r="C25" s="29"/>
      <c r="D25" s="29"/>
      <c r="E25" s="29"/>
    </row>
    <row r="27" customFormat="false" ht="15" hidden="false" customHeight="false" outlineLevel="0" collapsed="false">
      <c r="B27" s="14" t="s">
        <v>231</v>
      </c>
      <c r="C27" s="28"/>
      <c r="D27" s="28"/>
      <c r="E27" s="28"/>
    </row>
    <row r="28" customFormat="false" ht="15" hidden="false" customHeight="false" outlineLevel="0" collapsed="false">
      <c r="B28" s="16" t="s">
        <v>232</v>
      </c>
      <c r="C28" s="31" t="str">
        <f aca="false">"No goal: record an income protection need for the adviser"</f>
        <v>No goal: record an income protection need for the adviser</v>
      </c>
      <c r="E28" s="32" t="s">
        <v>877</v>
      </c>
    </row>
    <row r="29" customFormat="false" ht="15" hidden="false" customHeight="false" outlineLevel="0" collapsed="false">
      <c r="B29" s="16" t="s">
        <v>878</v>
      </c>
      <c r="C29" s="33" t="n">
        <f aca="false">IP_Needed</f>
        <v>1399.33333333333</v>
      </c>
      <c r="E29" s="32" t="s">
        <v>879</v>
      </c>
    </row>
  </sheetData>
  <mergeCells count="6">
    <mergeCell ref="B20:E20"/>
    <mergeCell ref="B21:E21"/>
    <mergeCell ref="B22:E22"/>
    <mergeCell ref="B23:E23"/>
    <mergeCell ref="B24:E24"/>
    <mergeCell ref="B25:E25"/>
  </mergeCells>
  <dataValidations count="4">
    <dataValidation allowBlank="false" error="Please enter €500 to €100,000 · steps of €100." errorStyle="stop" errorTitle="Outside the allowed range" operator="between" prompt="Unit: €. Allowed: €500 to €100,000 · steps of €100." promptTitle="Essential monthly spending" showDropDown="false" showErrorMessage="true" showInputMessage="true" sqref="C6" type="decimal">
      <formula1>500</formula1>
      <formula2>100000</formula2>
    </dataValidation>
    <dataValidation allowBlank="false" error="Please enter €0 to €3,000,000 · steps of €1,000." errorStyle="stop" errorTitle="Outside the allowed range" operator="between" prompt="Unit: €. Allowed: €0 to €3,000,000 · steps of €1,000." promptTitle="Your gross yearly income" showDropDown="false" showErrorMessage="true" showInputMessage="true" sqref="C9" type="decimal">
      <formula1>0</formula1>
      <formula2>3000000</formula2>
    </dataValidation>
    <dataValidation allowBlank="false" error="Please enter 0 to 12 · steps of 1." errorStyle="stop" errorTitle="Outside the allowed range" operator="between" prompt="Unit: months. Allowed: 0 to 12 · steps of 1." promptTitle="Months of sick pay from your emp" showDropDown="false" showErrorMessage="true" showInputMessage="true" sqref="C7" type="whole">
      <formula1>0</formula1>
      <formula2>12</formula2>
    </dataValidation>
    <dataValidation allowBlank="false" error="Please enter €0 to €2,000,000 · steps of €500." errorStyle="stop" errorTitle="Outside the allowed range" operator="between" prompt="Unit: €. Allowed: €0 to €2,000,000 · steps of €500." promptTitle="Easy-access savings" showDropDown="false" showErrorMessage="true" showInputMessage="true" sqref="C8" type="decimal">
      <formula1>0</formula1>
      <formula2>2000000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880</v>
      </c>
      <c r="G1" s="2" t="s">
        <v>812</v>
      </c>
    </row>
    <row r="2" customFormat="false" ht="15" hidden="false" customHeight="false" outlineLevel="0" collapsed="false">
      <c r="B2" s="12" t="s">
        <v>881</v>
      </c>
      <c r="G2" s="2" t="s">
        <v>882</v>
      </c>
    </row>
    <row r="3" customFormat="false" ht="15" hidden="false" customHeight="false" outlineLevel="0" collapsed="false">
      <c r="B3" s="13" t="s">
        <v>883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323</v>
      </c>
      <c r="C6" s="17" t="n">
        <v>250000</v>
      </c>
      <c r="D6" s="18" t="s">
        <v>177</v>
      </c>
      <c r="E6" s="2" t="s">
        <v>884</v>
      </c>
      <c r="G6" s="19" t="s">
        <v>325</v>
      </c>
    </row>
    <row r="7" customFormat="false" ht="15" hidden="false" customHeight="false" outlineLevel="0" collapsed="false">
      <c r="B7" s="16" t="s">
        <v>247</v>
      </c>
      <c r="C7" s="21" t="n">
        <v>0.04</v>
      </c>
      <c r="D7" s="18" t="s">
        <v>192</v>
      </c>
      <c r="E7" s="2" t="s">
        <v>248</v>
      </c>
      <c r="G7" s="19" t="s">
        <v>326</v>
      </c>
    </row>
    <row r="8" customFormat="false" ht="15" hidden="false" customHeight="false" outlineLevel="0" collapsed="false">
      <c r="B8" s="16" t="s">
        <v>327</v>
      </c>
      <c r="C8" s="22" t="n">
        <v>25</v>
      </c>
      <c r="D8" s="18" t="s">
        <v>196</v>
      </c>
      <c r="E8" s="2" t="s">
        <v>251</v>
      </c>
      <c r="G8" s="19" t="s">
        <v>329</v>
      </c>
    </row>
    <row r="9" customFormat="false" ht="15" hidden="false" customHeight="false" outlineLevel="0" collapsed="false">
      <c r="B9" s="16" t="s">
        <v>253</v>
      </c>
      <c r="C9" s="17" t="n">
        <v>0</v>
      </c>
      <c r="D9" s="18" t="s">
        <v>177</v>
      </c>
      <c r="E9" s="2" t="s">
        <v>254</v>
      </c>
      <c r="G9" s="19" t="s">
        <v>255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885</v>
      </c>
      <c r="C12" s="23" t="n">
        <f aca="false">Mortgage_Balance</f>
        <v>250000</v>
      </c>
      <c r="D12" s="18" t="s">
        <v>177</v>
      </c>
      <c r="E12" s="24" t="s">
        <v>886</v>
      </c>
    </row>
    <row r="13" customFormat="false" ht="15" hidden="false" customHeight="false" outlineLevel="0" collapsed="false">
      <c r="B13" s="52" t="s">
        <v>887</v>
      </c>
      <c r="C13" s="53" t="str">
        <f aca="false">IF(Repayment&lt;=Mortgage_Balance*Monthly_Rate,"Your repayment doesn't cover the interest: please check the figures.","")</f>
        <v/>
      </c>
      <c r="D13" s="53"/>
      <c r="E13" s="53"/>
    </row>
    <row r="14" customFormat="false" ht="17.35" hidden="false" customHeight="false" outlineLevel="0" collapsed="false">
      <c r="B14" s="12" t="s">
        <v>888</v>
      </c>
      <c r="C14" s="23" t="n">
        <f aca="false">IF(Warning&lt;&gt;"","—",MAX(0,-FV(Monthly_Rate,MP_Year_1*12,-Repayment,Mortgage_Balance)))</f>
        <v>217761.540588295</v>
      </c>
      <c r="D14" s="18" t="s">
        <v>177</v>
      </c>
      <c r="E14" s="24" t="s">
        <v>889</v>
      </c>
    </row>
    <row r="15" customFormat="false" ht="17.35" hidden="false" customHeight="false" outlineLevel="0" collapsed="false">
      <c r="B15" s="12" t="s">
        <v>890</v>
      </c>
      <c r="C15" s="23" t="n">
        <f aca="false">IF(Warning&lt;&gt;"","—",MAX(0,-FV(Monthly_Rate,MP_Year_2*12,-Repayment,Mortgage_Balance)))</f>
        <v>178398.491452662</v>
      </c>
      <c r="D15" s="18" t="s">
        <v>177</v>
      </c>
      <c r="E15" s="24" t="s">
        <v>891</v>
      </c>
    </row>
    <row r="16" customFormat="false" ht="17.35" hidden="false" customHeight="false" outlineLevel="0" collapsed="false">
      <c r="B16" s="12" t="s">
        <v>892</v>
      </c>
      <c r="C16" s="23" t="n">
        <f aca="false">IF(Warning&lt;&gt;"","—",MAX(0,-FV(Monthly_Rate,MP_Year_3*12,-Repayment,Mortgage_Balance)))</f>
        <v>130336.342530878</v>
      </c>
      <c r="D16" s="18" t="s">
        <v>177</v>
      </c>
      <c r="E16" s="24" t="s">
        <v>893</v>
      </c>
    </row>
    <row r="17" customFormat="false" ht="15" hidden="false" customHeight="false" outlineLevel="0" collapsed="false">
      <c r="B17" s="16" t="s">
        <v>267</v>
      </c>
      <c r="C17" s="37" t="n">
        <f aca="false">Interest_Rate/12</f>
        <v>0.00333333333333333</v>
      </c>
      <c r="D17" s="18"/>
      <c r="E17" s="24" t="s">
        <v>268</v>
      </c>
    </row>
    <row r="18" customFormat="false" ht="15" hidden="false" customHeight="false" outlineLevel="0" collapsed="false">
      <c r="B18" s="16" t="s">
        <v>894</v>
      </c>
      <c r="C18" s="25" t="n">
        <f aca="false">IF(Actual_Repayment&gt;0,Actual_Repayment,PMT(Monthly_Rate,Years_Left*12,-Mortgage_Balance))</f>
        <v>1319.59210074444</v>
      </c>
      <c r="D18" s="18" t="s">
        <v>177</v>
      </c>
      <c r="E18" s="24" t="s">
        <v>342</v>
      </c>
    </row>
    <row r="20" customFormat="false" ht="15" hidden="false" customHeight="false" outlineLevel="0" collapsed="false">
      <c r="B20" s="14" t="s">
        <v>223</v>
      </c>
      <c r="C20" s="28"/>
      <c r="D20" s="28"/>
      <c r="E20" s="28"/>
    </row>
    <row r="21" customFormat="false" ht="13.5" hidden="false" customHeight="true" outlineLevel="0" collapsed="false">
      <c r="B21" s="29" t="s">
        <v>895</v>
      </c>
      <c r="C21" s="29"/>
      <c r="D21" s="29"/>
      <c r="E21" s="29"/>
    </row>
    <row r="22" customFormat="false" ht="13.5" hidden="false" customHeight="true" outlineLevel="0" collapsed="false">
      <c r="B22" s="30" t="s">
        <v>227</v>
      </c>
      <c r="C22" s="30"/>
      <c r="D22" s="30"/>
      <c r="E22" s="30"/>
    </row>
    <row r="23" customFormat="false" ht="13.5" hidden="false" customHeight="true" outlineLevel="0" collapsed="false">
      <c r="B23" s="29" t="s">
        <v>896</v>
      </c>
      <c r="C23" s="29"/>
      <c r="D23" s="29"/>
      <c r="E23" s="29"/>
    </row>
    <row r="25" customFormat="false" ht="15" hidden="false" customHeight="false" outlineLevel="0" collapsed="false">
      <c r="B25" s="14" t="s">
        <v>231</v>
      </c>
      <c r="C25" s="28"/>
      <c r="D25" s="28"/>
      <c r="E25" s="28"/>
    </row>
    <row r="26" customFormat="false" ht="15" hidden="false" customHeight="false" outlineLevel="0" collapsed="false">
      <c r="B26" s="16" t="s">
        <v>232</v>
      </c>
      <c r="C26" s="31" t="str">
        <f aca="false">"No goal"</f>
        <v>No goal</v>
      </c>
      <c r="E26" s="32" t="s">
        <v>383</v>
      </c>
    </row>
  </sheetData>
  <mergeCells count="4">
    <mergeCell ref="C13:E13"/>
    <mergeCell ref="B21:E21"/>
    <mergeCell ref="B22:E22"/>
    <mergeCell ref="B23:E23"/>
  </mergeCells>
  <dataValidations count="4">
    <dataValidation allowBlank="false" error="Please enter 1% to 8% · steps of 0.05%." errorStyle="stop" errorTitle="Outside the allowed range" operator="between" prompt="Unit: %. Allowed: 1% to 8% · steps of 0.05%." promptTitle="Interest rate" showDropDown="false" showErrorMessage="true" showInputMessage="true" sqref="C7" type="decimal">
      <formula1>0.01</formula1>
      <formula2>0.08</formula2>
    </dataValidation>
    <dataValidation allowBlank="false" error="Please enter €0 to €100,000 · steps of €1." errorStyle="stop" errorTitle="Outside the allowed range" operator="between" prompt="Unit: €. Allowed: €0 to €100,000 · steps of €1." promptTitle="Your actual monthly repayment (o" showDropDown="false" showErrorMessage="true" showInputMessage="true" sqref="C9" type="decimal">
      <formula1>0</formula1>
      <formula2>100000</formula2>
    </dataValidation>
    <dataValidation allowBlank="false" error="Please enter 5 to 35 · steps of 1." errorStyle="stop" errorTitle="Outside the allowed range" operator="between" prompt="Unit: years. Allowed: 5 to 35 · steps of 1." promptTitle="Years left" showDropDown="false" showErrorMessage="true" showInputMessage="true" sqref="C8" type="whole">
      <formula1>5</formula1>
      <formula2>35</formula2>
    </dataValidation>
    <dataValidation allowBlank="false" error="Please enter €20,000 to €10,000,000 · steps of €5,000." errorStyle="stop" errorTitle="Outside the allowed range" operator="between" prompt="Unit: €. Allowed: €20,000 to €10,000,000 · steps of €5,000." promptTitle="Mortgage balance" showDropDown="false" showErrorMessage="true" showInputMessage="true" sqref="C6" type="decimal">
      <formula1>20000</formula1>
      <formula2>10000000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897</v>
      </c>
      <c r="G1" s="2" t="s">
        <v>898</v>
      </c>
    </row>
    <row r="2" customFormat="false" ht="15" hidden="false" customHeight="false" outlineLevel="0" collapsed="false">
      <c r="B2" s="12" t="s">
        <v>899</v>
      </c>
      <c r="G2" s="2" t="s">
        <v>900</v>
      </c>
    </row>
    <row r="3" customFormat="false" ht="15" hidden="false" customHeight="false" outlineLevel="0" collapsed="false">
      <c r="B3" s="13" t="s">
        <v>901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902</v>
      </c>
      <c r="C6" s="17" t="n">
        <v>15000</v>
      </c>
      <c r="D6" s="18" t="s">
        <v>177</v>
      </c>
      <c r="E6" s="2" t="s">
        <v>903</v>
      </c>
      <c r="G6" s="19" t="s">
        <v>904</v>
      </c>
    </row>
    <row r="7" customFormat="false" ht="15" hidden="false" customHeight="false" outlineLevel="0" collapsed="false">
      <c r="B7" s="16" t="s">
        <v>45</v>
      </c>
      <c r="C7" s="17" t="n">
        <v>10000</v>
      </c>
      <c r="D7" s="18" t="s">
        <v>177</v>
      </c>
      <c r="E7" s="2" t="s">
        <v>905</v>
      </c>
      <c r="G7" s="19" t="s">
        <v>906</v>
      </c>
    </row>
    <row r="8" customFormat="false" ht="15" hidden="false" customHeight="false" outlineLevel="0" collapsed="false">
      <c r="B8" s="16" t="s">
        <v>907</v>
      </c>
      <c r="C8" s="17" t="n">
        <v>60000</v>
      </c>
      <c r="D8" s="18" t="s">
        <v>177</v>
      </c>
      <c r="E8" s="2" t="s">
        <v>908</v>
      </c>
      <c r="G8" s="19" t="s">
        <v>909</v>
      </c>
    </row>
    <row r="9" customFormat="false" ht="15" hidden="false" customHeight="false" outlineLevel="0" collapsed="false">
      <c r="B9" s="16" t="s">
        <v>910</v>
      </c>
      <c r="C9" s="17" t="n">
        <v>350000</v>
      </c>
      <c r="D9" s="18" t="s">
        <v>177</v>
      </c>
      <c r="E9" s="2" t="s">
        <v>911</v>
      </c>
      <c r="G9" s="19" t="s">
        <v>912</v>
      </c>
    </row>
    <row r="10" customFormat="false" ht="15" hidden="false" customHeight="false" outlineLevel="0" collapsed="false">
      <c r="B10" s="16" t="s">
        <v>429</v>
      </c>
      <c r="C10" s="17" t="n">
        <v>250000</v>
      </c>
      <c r="D10" s="18" t="s">
        <v>177</v>
      </c>
      <c r="E10" s="2" t="s">
        <v>913</v>
      </c>
      <c r="G10" s="19" t="s">
        <v>819</v>
      </c>
    </row>
    <row r="11" customFormat="false" ht="15" hidden="false" customHeight="false" outlineLevel="0" collapsed="false">
      <c r="B11" s="16" t="s">
        <v>914</v>
      </c>
      <c r="C11" s="17" t="n">
        <v>8000</v>
      </c>
      <c r="D11" s="18" t="s">
        <v>177</v>
      </c>
      <c r="E11" s="2" t="s">
        <v>915</v>
      </c>
      <c r="G11" s="19" t="s">
        <v>916</v>
      </c>
    </row>
    <row r="13" customFormat="false" ht="15" hidden="false" customHeight="false" outlineLevel="0" collapsed="false">
      <c r="B13" s="14" t="s">
        <v>202</v>
      </c>
      <c r="C13" s="15" t="s">
        <v>203</v>
      </c>
      <c r="D13" s="15" t="s">
        <v>204</v>
      </c>
      <c r="E13" s="15" t="s">
        <v>205</v>
      </c>
    </row>
    <row r="14" customFormat="false" ht="17.35" hidden="false" customHeight="false" outlineLevel="0" collapsed="false">
      <c r="B14" s="12" t="s">
        <v>917</v>
      </c>
      <c r="C14" s="23" t="n">
        <f aca="false">You_Own-You_Owe</f>
        <v>177000</v>
      </c>
      <c r="D14" s="18" t="s">
        <v>177</v>
      </c>
      <c r="E14" s="24" t="s">
        <v>918</v>
      </c>
    </row>
    <row r="15" customFormat="false" ht="17.35" hidden="false" customHeight="false" outlineLevel="0" collapsed="false">
      <c r="B15" s="12" t="s">
        <v>919</v>
      </c>
      <c r="C15" s="23" t="n">
        <f aca="false">Savings+Investments+Pensions+Property</f>
        <v>435000</v>
      </c>
      <c r="D15" s="18" t="s">
        <v>177</v>
      </c>
      <c r="E15" s="24" t="s">
        <v>920</v>
      </c>
    </row>
    <row r="16" customFormat="false" ht="17.35" hidden="false" customHeight="false" outlineLevel="0" collapsed="false">
      <c r="B16" s="12" t="s">
        <v>921</v>
      </c>
      <c r="C16" s="23" t="n">
        <f aca="false">Mortgage+Other_Loans</f>
        <v>258000</v>
      </c>
      <c r="D16" s="18" t="s">
        <v>177</v>
      </c>
      <c r="E16" s="24" t="s">
        <v>922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923</v>
      </c>
      <c r="C19" s="29"/>
      <c r="D19" s="29"/>
      <c r="E19" s="29"/>
    </row>
    <row r="20" customFormat="false" ht="13.5" hidden="false" customHeight="true" outlineLevel="0" collapsed="false">
      <c r="B20" s="30" t="s">
        <v>227</v>
      </c>
      <c r="C20" s="30"/>
      <c r="D20" s="30"/>
      <c r="E20" s="30"/>
    </row>
    <row r="21" customFormat="false" ht="13.5" hidden="false" customHeight="true" outlineLevel="0" collapsed="false">
      <c r="B21" s="29" t="s">
        <v>924</v>
      </c>
      <c r="C21" s="29"/>
      <c r="D21" s="29"/>
      <c r="E21" s="29"/>
    </row>
    <row r="23" customFormat="false" ht="15" hidden="false" customHeight="false" outlineLevel="0" collapsed="false">
      <c r="B23" s="14" t="s">
        <v>231</v>
      </c>
      <c r="C23" s="28"/>
      <c r="D23" s="28"/>
      <c r="E23" s="28"/>
    </row>
    <row r="24" customFormat="false" ht="15" hidden="false" customHeight="false" outlineLevel="0" collapsed="false">
      <c r="B24" s="16" t="s">
        <v>232</v>
      </c>
      <c r="C24" s="31" t="str">
        <f aca="false">"No goal"</f>
        <v>No goal</v>
      </c>
      <c r="E24" s="32" t="s">
        <v>383</v>
      </c>
    </row>
  </sheetData>
  <mergeCells count="3">
    <mergeCell ref="B19:E19"/>
    <mergeCell ref="B20:E20"/>
    <mergeCell ref="B21:E21"/>
  </mergeCells>
  <dataValidations count="6">
    <dataValidation allowBlank="false" error="Please enter €0 to €10,000,000 · steps of €500." errorStyle="stop" errorTitle="Outside the allowed range" operator="between" prompt="Unit: €. Allowed: €0 to €10,000,000 · steps of €500." promptTitle="Savings" showDropDown="false" showErrorMessage="true" showInputMessage="true" sqref="C6" type="decimal">
      <formula1>0</formula1>
      <formula2>10000000</formula2>
    </dataValidation>
    <dataValidation allowBlank="false" error="Please enter €0 to €20,000,000 · steps of €1,000." errorStyle="stop" errorTitle="Outside the allowed range" operator="between" prompt="Unit: €. Allowed: €0 to €20,000,000 · steps of €1,000." promptTitle="Investments" showDropDown="false" showErrorMessage="true" showInputMessage="true" sqref="C7" type="decimal">
      <formula1>0</formula1>
      <formula2>20000000</formula2>
    </dataValidation>
    <dataValidation allowBlank="false" error="Please enter €0 to €30,000,000 · steps of €1,000." errorStyle="stop" errorTitle="Outside the allowed range" operator="between" prompt="Unit: €. Allowed: €0 to €30,000,000 · steps of €1,000." promptTitle="Pensions" showDropDown="false" showErrorMessage="true" showInputMessage="true" sqref="C8" type="decimal">
      <formula1>0</formula1>
      <formula2>30000000</formula2>
    </dataValidation>
    <dataValidation allowBlank="false" error="Please enter €0 to €50,000,000 · steps of €5,000." errorStyle="stop" errorTitle="Outside the allowed range" operator="between" prompt="Unit: €. Allowed: €0 to €50,000,000 · steps of €5,000." promptTitle="Property value" showDropDown="false" showErrorMessage="true" showInputMessage="true" sqref="C9" type="decimal">
      <formula1>0</formula1>
      <formula2>50000000</formula2>
    </dataValidation>
    <dataValidation allowBlank="false" error="Please enter €0 to €30,000,000 · steps of €5,000." errorStyle="stop" errorTitle="Outside the allowed range" operator="between" prompt="Unit: €. Allowed: €0 to €30,000,000 · steps of €5,000." promptTitle="Mortgage" showDropDown="false" showErrorMessage="true" showInputMessage="true" sqref="C10" type="decimal">
      <formula1>0</formula1>
      <formula2>30000000</formula2>
    </dataValidation>
    <dataValidation allowBlank="false" error="Please enter €0 to €5,000,000 · steps of €500." errorStyle="stop" errorTitle="Outside the allowed range" operator="between" prompt="Unit: €. Allowed: €0 to €5,000,000 · steps of €500." promptTitle="Other loans" showDropDown="false" showErrorMessage="true" showInputMessage="true" sqref="C11" type="decimal">
      <formula1>0</formula1>
      <formula2>5000000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925</v>
      </c>
      <c r="G1" s="2" t="s">
        <v>898</v>
      </c>
    </row>
    <row r="2" customFormat="false" ht="15" hidden="false" customHeight="false" outlineLevel="0" collapsed="false">
      <c r="B2" s="12" t="s">
        <v>926</v>
      </c>
      <c r="G2" s="2" t="s">
        <v>927</v>
      </c>
    </row>
    <row r="3" customFormat="false" ht="15" hidden="false" customHeight="false" outlineLevel="0" collapsed="false">
      <c r="B3" s="13" t="s">
        <v>928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929</v>
      </c>
      <c r="C6" s="17" t="n">
        <v>3500</v>
      </c>
      <c r="D6" s="18" t="s">
        <v>177</v>
      </c>
      <c r="E6" s="2" t="s">
        <v>930</v>
      </c>
      <c r="G6" s="19" t="s">
        <v>931</v>
      </c>
    </row>
    <row r="7" customFormat="false" ht="15" hidden="false" customHeight="false" outlineLevel="0" collapsed="false">
      <c r="B7" s="16" t="s">
        <v>932</v>
      </c>
      <c r="C7" s="17" t="n">
        <v>2000</v>
      </c>
      <c r="D7" s="18" t="s">
        <v>177</v>
      </c>
      <c r="E7" s="2" t="s">
        <v>933</v>
      </c>
      <c r="G7" s="19" t="s">
        <v>934</v>
      </c>
    </row>
    <row r="8" customFormat="false" ht="15" hidden="false" customHeight="false" outlineLevel="0" collapsed="false">
      <c r="B8" s="16" t="s">
        <v>935</v>
      </c>
      <c r="C8" s="17" t="n">
        <v>800</v>
      </c>
      <c r="D8" s="18" t="s">
        <v>177</v>
      </c>
      <c r="E8" s="2" t="s">
        <v>936</v>
      </c>
      <c r="G8" s="19" t="s">
        <v>303</v>
      </c>
    </row>
    <row r="9" customFormat="false" ht="15" hidden="false" customHeight="false" outlineLevel="0" collapsed="false">
      <c r="B9" s="16" t="s">
        <v>937</v>
      </c>
      <c r="C9" s="17" t="n">
        <v>200</v>
      </c>
      <c r="D9" s="18" t="s">
        <v>177</v>
      </c>
      <c r="E9" s="2" t="s">
        <v>938</v>
      </c>
      <c r="G9" s="19" t="s">
        <v>939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23.85" hidden="false" customHeight="false" outlineLevel="0" collapsed="false">
      <c r="B12" s="12" t="s">
        <v>940</v>
      </c>
      <c r="C12" s="23" t="n">
        <f aca="false">Take_Home-Essentials-Lifestyle-Debt_Repayments</f>
        <v>500</v>
      </c>
      <c r="D12" s="36" t="str">
        <f aca="false">IF(Surplus&gt;0,"About "&amp;ROUND(Surplus/Take_Home*100,0)&amp;"% of take-home is free for goals",IF(Surplus=0,"Nothing left over this month","Spending is above income"))</f>
        <v>About 14% of take-home is free for goals</v>
      </c>
      <c r="E12" s="24" t="s">
        <v>941</v>
      </c>
    </row>
    <row r="13" customFormat="false" ht="17.35" hidden="false" customHeight="false" outlineLevel="0" collapsed="false">
      <c r="B13" s="12" t="s">
        <v>942</v>
      </c>
      <c r="C13" s="23" t="n">
        <f aca="false">Essentials+Lifestyle+Debt_Repayments</f>
        <v>3000</v>
      </c>
      <c r="D13" s="18" t="s">
        <v>177</v>
      </c>
      <c r="E13" s="24" t="s">
        <v>943</v>
      </c>
    </row>
    <row r="15" customFormat="false" ht="15" hidden="false" customHeight="false" outlineLevel="0" collapsed="false">
      <c r="B15" s="14" t="s">
        <v>223</v>
      </c>
      <c r="C15" s="28"/>
      <c r="D15" s="28"/>
      <c r="E15" s="28"/>
    </row>
    <row r="16" customFormat="false" ht="13.5" hidden="false" customHeight="true" outlineLevel="0" collapsed="false">
      <c r="B16" s="29" t="s">
        <v>944</v>
      </c>
      <c r="C16" s="29"/>
      <c r="D16" s="29"/>
      <c r="E16" s="29"/>
    </row>
    <row r="17" customFormat="false" ht="13.5" hidden="false" customHeight="true" outlineLevel="0" collapsed="false">
      <c r="B17" s="30" t="s">
        <v>227</v>
      </c>
      <c r="C17" s="30"/>
      <c r="D17" s="30"/>
      <c r="E17" s="30"/>
    </row>
    <row r="18" customFormat="false" ht="13.5" hidden="false" customHeight="true" outlineLevel="0" collapsed="false">
      <c r="B18" s="29" t="s">
        <v>945</v>
      </c>
      <c r="C18" s="29"/>
      <c r="D18" s="29"/>
      <c r="E18" s="29"/>
    </row>
    <row r="20" customFormat="false" ht="15" hidden="false" customHeight="false" outlineLevel="0" collapsed="false">
      <c r="B20" s="14" t="s">
        <v>231</v>
      </c>
      <c r="C20" s="28"/>
      <c r="D20" s="28"/>
      <c r="E20" s="28"/>
    </row>
    <row r="21" customFormat="false" ht="15" hidden="false" customHeight="false" outlineLevel="0" collapsed="false">
      <c r="B21" s="16" t="s">
        <v>232</v>
      </c>
      <c r="C21" s="31" t="str">
        <f aca="false">IF(Surplus&gt;0,"Save my surplus (plan kind pot)","No goal")</f>
        <v>Save my surplus (plan kind pot)</v>
      </c>
      <c r="E21" s="32" t="s">
        <v>946</v>
      </c>
    </row>
    <row r="22" customFormat="false" ht="15" hidden="false" customHeight="false" outlineLevel="0" collapsed="false">
      <c r="B22" s="16" t="s">
        <v>947</v>
      </c>
      <c r="C22" s="33" t="n">
        <f aca="false">IF(Surplus&gt;0,ROUND(Surplus*12,0),"—")</f>
        <v>6000</v>
      </c>
      <c r="E22" s="32" t="s">
        <v>948</v>
      </c>
    </row>
    <row r="23" customFormat="false" ht="15" hidden="false" customHeight="false" outlineLevel="0" collapsed="false">
      <c r="B23" s="16" t="s">
        <v>238</v>
      </c>
      <c r="C23" s="34" t="n">
        <f aca="false">IF(Surplus&gt;0,1,"—")</f>
        <v>1</v>
      </c>
      <c r="E23" s="32" t="s">
        <v>949</v>
      </c>
    </row>
  </sheetData>
  <mergeCells count="3">
    <mergeCell ref="B16:E16"/>
    <mergeCell ref="B17:E17"/>
    <mergeCell ref="B18:E18"/>
  </mergeCells>
  <dataValidations count="4">
    <dataValidation allowBlank="false" error="Please enter €500 to €200,000 · steps of €50." errorStyle="stop" errorTitle="Outside the allowed range" operator="between" prompt="Unit: €. Allowed: €500 to €200,000 · steps of €50." promptTitle="Take-home pay per month" showDropDown="false" showErrorMessage="true" showInputMessage="true" sqref="C6" type="decimal">
      <formula1>500</formula1>
      <formula2>200000</formula2>
    </dataValidation>
    <dataValidation allowBlank="false" error="Please enter €0 to €150,000 · steps of €50." errorStyle="stop" errorTitle="Outside the allowed range" operator="between" prompt="Unit: €. Allowed: €0 to €150,000 · steps of €50." promptTitle="Essentials (rent/mortgage, bills" showDropDown="false" showErrorMessage="true" showInputMessage="true" sqref="C7" type="decimal">
      <formula1>0</formula1>
      <formula2>150000</formula2>
    </dataValidation>
    <dataValidation allowBlank="false" error="Please enter €0 to €100,000 · steps of €50." errorStyle="stop" errorTitle="Outside the allowed range" operator="between" prompt="Unit: €. Allowed: €0 to €100,000 · steps of €50." promptTitle="Lifestyle spending" showDropDown="false" showErrorMessage="true" showInputMessage="true" sqref="C8" type="decimal">
      <formula1>0</formula1>
      <formula2>100000</formula2>
    </dataValidation>
    <dataValidation allowBlank="false" error="Please enter €0 to €50,000 · steps of €25." errorStyle="stop" errorTitle="Outside the allowed range" operator="between" prompt="Unit: €. Allowed: €0 to €50,000 · steps of €25." promptTitle="Debt repayments" showDropDown="false" showErrorMessage="true" showInputMessage="true" sqref="C9" type="decimal">
      <formula1>0</formula1>
      <formula2>50000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950</v>
      </c>
      <c r="G1" s="2" t="s">
        <v>898</v>
      </c>
    </row>
    <row r="2" customFormat="false" ht="15" hidden="false" customHeight="false" outlineLevel="0" collapsed="false">
      <c r="B2" s="12" t="s">
        <v>951</v>
      </c>
      <c r="G2" s="2" t="s">
        <v>952</v>
      </c>
    </row>
    <row r="3" customFormat="false" ht="15" hidden="false" customHeight="false" outlineLevel="0" collapsed="false">
      <c r="B3" s="13" t="s">
        <v>953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929</v>
      </c>
      <c r="C6" s="17" t="n">
        <v>3500</v>
      </c>
      <c r="D6" s="18" t="s">
        <v>177</v>
      </c>
      <c r="E6" s="2" t="s">
        <v>930</v>
      </c>
      <c r="G6" s="19" t="s">
        <v>931</v>
      </c>
    </row>
    <row r="8" customFormat="false" ht="15" hidden="false" customHeight="false" outlineLevel="0" collapsed="false">
      <c r="B8" s="14" t="s">
        <v>202</v>
      </c>
      <c r="C8" s="15" t="s">
        <v>203</v>
      </c>
      <c r="D8" s="15" t="s">
        <v>204</v>
      </c>
      <c r="E8" s="15" t="s">
        <v>205</v>
      </c>
    </row>
    <row r="9" customFormat="false" ht="17.35" hidden="false" customHeight="false" outlineLevel="0" collapsed="false">
      <c r="B9" s="12" t="s">
        <v>954</v>
      </c>
      <c r="C9" s="23" t="n">
        <f aca="false">Take_Home*Budget_Save</f>
        <v>700</v>
      </c>
      <c r="D9" s="18" t="s">
        <v>177</v>
      </c>
      <c r="E9" s="24" t="s">
        <v>955</v>
      </c>
    </row>
    <row r="10" customFormat="false" ht="17.35" hidden="false" customHeight="false" outlineLevel="0" collapsed="false">
      <c r="B10" s="12" t="s">
        <v>956</v>
      </c>
      <c r="C10" s="23" t="n">
        <f aca="false">Take_Home*Budget_Needs</f>
        <v>1750</v>
      </c>
      <c r="D10" s="18" t="s">
        <v>177</v>
      </c>
      <c r="E10" s="24" t="s">
        <v>957</v>
      </c>
    </row>
    <row r="11" customFormat="false" ht="17.35" hidden="false" customHeight="false" outlineLevel="0" collapsed="false">
      <c r="B11" s="12" t="s">
        <v>958</v>
      </c>
      <c r="C11" s="23" t="n">
        <f aca="false">Take_Home*Budget_Wants</f>
        <v>1050</v>
      </c>
      <c r="D11" s="18" t="s">
        <v>177</v>
      </c>
      <c r="E11" s="24" t="s">
        <v>959</v>
      </c>
    </row>
    <row r="13" customFormat="false" ht="15" hidden="false" customHeight="false" outlineLevel="0" collapsed="false">
      <c r="B13" s="14" t="s">
        <v>223</v>
      </c>
      <c r="C13" s="28"/>
      <c r="D13" s="28"/>
      <c r="E13" s="28"/>
    </row>
    <row r="14" customFormat="false" ht="13.5" hidden="false" customHeight="true" outlineLevel="0" collapsed="false">
      <c r="B14" s="29" t="s">
        <v>960</v>
      </c>
      <c r="C14" s="29"/>
      <c r="D14" s="29"/>
      <c r="E14" s="29"/>
    </row>
    <row r="15" customFormat="false" ht="13.5" hidden="false" customHeight="true" outlineLevel="0" collapsed="false">
      <c r="B15" s="30" t="s">
        <v>227</v>
      </c>
      <c r="C15" s="30"/>
      <c r="D15" s="30"/>
      <c r="E15" s="30"/>
    </row>
    <row r="16" customFormat="false" ht="13.5" hidden="false" customHeight="true" outlineLevel="0" collapsed="false">
      <c r="B16" s="29" t="s">
        <v>961</v>
      </c>
      <c r="C16" s="29"/>
      <c r="D16" s="29"/>
      <c r="E16" s="29"/>
    </row>
    <row r="18" customFormat="false" ht="15" hidden="false" customHeight="false" outlineLevel="0" collapsed="false">
      <c r="B18" s="14" t="s">
        <v>231</v>
      </c>
      <c r="C18" s="28"/>
      <c r="D18" s="28"/>
      <c r="E18" s="28"/>
    </row>
    <row r="19" customFormat="false" ht="15" hidden="false" customHeight="false" outlineLevel="0" collapsed="false">
      <c r="B19" s="16" t="s">
        <v>232</v>
      </c>
      <c r="C19" s="31" t="str">
        <f aca="false">"No goal"</f>
        <v>No goal</v>
      </c>
      <c r="E19" s="32" t="s">
        <v>383</v>
      </c>
    </row>
  </sheetData>
  <mergeCells count="3">
    <mergeCell ref="B14:E14"/>
    <mergeCell ref="B15:E15"/>
    <mergeCell ref="B16:E16"/>
  </mergeCells>
  <dataValidations count="1">
    <dataValidation allowBlank="false" error="Please enter €500 to €200,000 · steps of €50." errorStyle="stop" errorTitle="Outside the allowed range" operator="between" prompt="Unit: €. Allowed: €500 to €200,000 · steps of €50." promptTitle="Take-home pay per month" showDropDown="false" showErrorMessage="true" showInputMessage="true" sqref="C6" type="decimal">
      <formula1>500</formula1>
      <formula2>200000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962</v>
      </c>
      <c r="G1" s="2" t="s">
        <v>898</v>
      </c>
    </row>
    <row r="2" customFormat="false" ht="15" hidden="false" customHeight="false" outlineLevel="0" collapsed="false">
      <c r="B2" s="12" t="s">
        <v>963</v>
      </c>
      <c r="G2" s="2" t="s">
        <v>964</v>
      </c>
    </row>
    <row r="3" customFormat="false" ht="15" hidden="false" customHeight="false" outlineLevel="0" collapsed="false">
      <c r="B3" s="13" t="s">
        <v>965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9.4" hidden="false" customHeight="false" outlineLevel="0" collapsed="false">
      <c r="B6" s="16" t="s">
        <v>966</v>
      </c>
      <c r="C6" s="17" t="n">
        <v>5000</v>
      </c>
      <c r="D6" s="18" t="s">
        <v>177</v>
      </c>
      <c r="E6" s="2" t="s">
        <v>967</v>
      </c>
      <c r="G6" s="19" t="s">
        <v>968</v>
      </c>
    </row>
    <row r="7" customFormat="false" ht="19.4" hidden="false" customHeight="false" outlineLevel="0" collapsed="false">
      <c r="B7" s="16" t="s">
        <v>969</v>
      </c>
      <c r="C7" s="21" t="n">
        <v>0.18</v>
      </c>
      <c r="D7" s="18" t="s">
        <v>192</v>
      </c>
      <c r="E7" s="2" t="s">
        <v>970</v>
      </c>
      <c r="G7" s="19" t="s">
        <v>971</v>
      </c>
    </row>
    <row r="8" customFormat="false" ht="15" hidden="false" customHeight="false" outlineLevel="0" collapsed="false">
      <c r="B8" s="16" t="s">
        <v>972</v>
      </c>
      <c r="C8" s="17" t="n">
        <v>250</v>
      </c>
      <c r="D8" s="18" t="s">
        <v>177</v>
      </c>
      <c r="E8" s="2" t="s">
        <v>973</v>
      </c>
      <c r="G8" s="19" t="s">
        <v>974</v>
      </c>
    </row>
    <row r="9" customFormat="false" ht="15" hidden="false" customHeight="false" outlineLevel="0" collapsed="false">
      <c r="B9" s="16" t="s">
        <v>975</v>
      </c>
      <c r="C9" s="17" t="n">
        <v>0</v>
      </c>
      <c r="D9" s="18" t="s">
        <v>177</v>
      </c>
      <c r="E9" s="2" t="s">
        <v>976</v>
      </c>
      <c r="G9" s="19" t="s">
        <v>201</v>
      </c>
    </row>
    <row r="11" customFormat="false" ht="15" hidden="false" customHeight="false" outlineLevel="0" collapsed="false">
      <c r="B11" s="14" t="s">
        <v>202</v>
      </c>
      <c r="C11" s="15" t="s">
        <v>203</v>
      </c>
      <c r="D11" s="15" t="s">
        <v>204</v>
      </c>
      <c r="E11" s="15" t="s">
        <v>205</v>
      </c>
    </row>
    <row r="12" customFormat="false" ht="17.35" hidden="false" customHeight="false" outlineLevel="0" collapsed="false">
      <c r="B12" s="12" t="s">
        <v>977</v>
      </c>
      <c r="C12" s="35" t="n">
        <f aca="false">IF(Payment&lt;=Balance*Monthly_Rate,"Never",ROUNDUP(ROUND(NPER(Monthly_Rate,-Payment,Balance),6),0))</f>
        <v>24</v>
      </c>
      <c r="D12" s="36" t="str">
        <f aca="false">IF(Months_To_Clear="Never","Never at this repayment",IF(Months_To_Clear&gt;Cap_Months,"Payment too low to clear this debt in a reasonable time (over 100 years)",IF(INT(Months_To_Clear/12)=0,MOD(Months_To_Clear,12)&amp;IF(MOD(Months_To_Clear,12)=1," month"," months"),INT(Months_To_Clear/12)&amp;IF(INT(Months_To_Clear/12)=1," year"," years")&amp;IF(MOD(Months_To_Clear,12)=0,""," "&amp;MOD(Months_To_Clear,12)&amp;IF(MOD(Months_To_Clear,12)=1," month"," months")))))</f>
        <v>2 years</v>
      </c>
      <c r="E12" s="24" t="s">
        <v>978</v>
      </c>
    </row>
    <row r="13" customFormat="false" ht="17.35" hidden="false" customHeight="false" outlineLevel="0" collapsed="false">
      <c r="B13" s="12" t="s">
        <v>263</v>
      </c>
      <c r="C13" s="23" t="n">
        <f aca="false">IF(Months_To_Clear="Never","—",Payment*(Months_To_Clear-1)+Final_Payment-Balance)</f>
        <v>898.566801357019</v>
      </c>
      <c r="D13" s="18" t="s">
        <v>177</v>
      </c>
      <c r="E13" s="24" t="s">
        <v>979</v>
      </c>
    </row>
    <row r="14" customFormat="false" ht="15" hidden="false" customHeight="false" outlineLevel="0" collapsed="false">
      <c r="B14" s="16" t="s">
        <v>980</v>
      </c>
      <c r="C14" s="37" t="n">
        <f aca="false">(1+APR)^(1/12)-1</f>
        <v>0.0138884303484099</v>
      </c>
      <c r="D14" s="18"/>
      <c r="E14" s="24" t="s">
        <v>981</v>
      </c>
    </row>
    <row r="15" customFormat="false" ht="15" hidden="false" customHeight="false" outlineLevel="0" collapsed="false">
      <c r="B15" s="16" t="s">
        <v>982</v>
      </c>
      <c r="C15" s="25" t="n">
        <f aca="false">Monthly_Payment+Extra_Payment</f>
        <v>250</v>
      </c>
      <c r="D15" s="18" t="s">
        <v>177</v>
      </c>
      <c r="E15" s="24" t="s">
        <v>983</v>
      </c>
    </row>
    <row r="16" customFormat="false" ht="15" hidden="false" customHeight="false" outlineLevel="0" collapsed="false">
      <c r="B16" s="16" t="s">
        <v>271</v>
      </c>
      <c r="C16" s="25" t="n">
        <f aca="false">IF(Months_To_Clear="Never","—",-FV(Monthly_Rate,Months_To_Clear-1,-Payment,Balance)*(1+Monthly_Rate))</f>
        <v>148.566801357019</v>
      </c>
      <c r="D16" s="18" t="s">
        <v>177</v>
      </c>
      <c r="E16" s="24" t="s">
        <v>984</v>
      </c>
    </row>
    <row r="18" customFormat="false" ht="15" hidden="false" customHeight="false" outlineLevel="0" collapsed="false">
      <c r="B18" s="14" t="s">
        <v>223</v>
      </c>
      <c r="C18" s="28"/>
      <c r="D18" s="28"/>
      <c r="E18" s="28"/>
    </row>
    <row r="19" customFormat="false" ht="13.5" hidden="false" customHeight="true" outlineLevel="0" collapsed="false">
      <c r="B19" s="29" t="s">
        <v>985</v>
      </c>
      <c r="C19" s="29"/>
      <c r="D19" s="29"/>
      <c r="E19" s="29"/>
    </row>
    <row r="20" customFormat="false" ht="13.5" hidden="false" customHeight="true" outlineLevel="0" collapsed="false">
      <c r="B20" s="29" t="s">
        <v>986</v>
      </c>
      <c r="C20" s="29"/>
      <c r="D20" s="29"/>
      <c r="E20" s="29"/>
    </row>
    <row r="21" customFormat="false" ht="13.5" hidden="false" customHeight="true" outlineLevel="0" collapsed="false">
      <c r="B21" s="30" t="s">
        <v>227</v>
      </c>
      <c r="C21" s="30"/>
      <c r="D21" s="30"/>
      <c r="E21" s="30"/>
    </row>
    <row r="22" customFormat="false" ht="27.75" hidden="false" customHeight="true" outlineLevel="0" collapsed="false">
      <c r="B22" s="29" t="s">
        <v>282</v>
      </c>
      <c r="C22" s="29"/>
      <c r="D22" s="29"/>
      <c r="E22" s="29"/>
    </row>
    <row r="23" customFormat="false" ht="13.5" hidden="false" customHeight="true" outlineLevel="0" collapsed="false">
      <c r="B23" s="29" t="s">
        <v>987</v>
      </c>
      <c r="C23" s="29"/>
      <c r="D23" s="29"/>
      <c r="E23" s="29"/>
    </row>
    <row r="24" customFormat="false" ht="27.75" hidden="false" customHeight="true" outlineLevel="0" collapsed="false">
      <c r="B24" s="29" t="s">
        <v>284</v>
      </c>
      <c r="C24" s="29"/>
      <c r="D24" s="29"/>
      <c r="E24" s="29"/>
    </row>
    <row r="25" customFormat="false" ht="13.5" hidden="false" customHeight="true" outlineLevel="0" collapsed="false">
      <c r="B25" s="29" t="s">
        <v>230</v>
      </c>
      <c r="C25" s="29"/>
      <c r="D25" s="29"/>
      <c r="E25" s="29"/>
    </row>
    <row r="27" customFormat="false" ht="15" hidden="false" customHeight="false" outlineLevel="0" collapsed="false">
      <c r="B27" s="14" t="s">
        <v>231</v>
      </c>
      <c r="C27" s="28"/>
      <c r="D27" s="28"/>
      <c r="E27" s="28"/>
    </row>
    <row r="28" customFormat="false" ht="15" hidden="false" customHeight="false" outlineLevel="0" collapsed="false">
      <c r="B28" s="16" t="s">
        <v>232</v>
      </c>
      <c r="C28" s="31" t="str">
        <f aca="false">"No goal (the plan already repays this debt)"</f>
        <v>No goal (the plan already repays this debt)</v>
      </c>
      <c r="E28" s="32" t="s">
        <v>988</v>
      </c>
    </row>
    <row r="29" customFormat="false" ht="13.5" hidden="false" customHeight="true" outlineLevel="0" collapsed="false">
      <c r="B29" s="39" t="s">
        <v>989</v>
      </c>
      <c r="C29" s="39"/>
      <c r="D29" s="39"/>
      <c r="E29" s="39"/>
    </row>
  </sheetData>
  <mergeCells count="8">
    <mergeCell ref="B19:E19"/>
    <mergeCell ref="B20:E20"/>
    <mergeCell ref="B21:E21"/>
    <mergeCell ref="B22:E22"/>
    <mergeCell ref="B23:E23"/>
    <mergeCell ref="B24:E24"/>
    <mergeCell ref="B25:E25"/>
    <mergeCell ref="B29:E29"/>
  </mergeCells>
  <dataValidations count="4">
    <dataValidation allowBlank="false" error="Please enter €100 to €1,000,000 · steps of €100." errorStyle="stop" errorTitle="Outside the allowed range" operator="between" prompt="Unit: €. Allowed: €100 to €1,000,000 · steps of €100." promptTitle="Balance" showDropDown="false" showErrorMessage="true" showInputMessage="true" sqref="C6" type="decimal">
      <formula1>100</formula1>
      <formula2>1000000</formula2>
    </dataValidation>
    <dataValidation allowBlank="false" error="Please enter 0% to 35% · steps of 0.5%." errorStyle="stop" errorTitle="Outside the allowed range" operator="between" prompt="Unit: %. Allowed: 0% to 35% · steps of 0.5%." promptTitle="Interest (APR)" showDropDown="false" showErrorMessage="true" showInputMessage="true" sqref="C7" type="decimal">
      <formula1>0</formula1>
      <formula2>0.35</formula2>
    </dataValidation>
    <dataValidation allowBlank="false" error="Please enter €10 to €50,000 · steps of €10." errorStyle="stop" errorTitle="Outside the allowed range" operator="between" prompt="Unit: €. Allowed: €10 to €50,000 · steps of €10." promptTitle="Monthly payment" showDropDown="false" showErrorMessage="true" showInputMessage="true" sqref="C8" type="decimal">
      <formula1>10</formula1>
      <formula2>50000</formula2>
    </dataValidation>
    <dataValidation allowBlank="false" error="Please enter €0 to €10,000 · steps of €10." errorStyle="stop" errorTitle="Outside the allowed range" operator="between" prompt="Unit: €. Allowed: €0 to €10,000 · steps of €10." promptTitle="What if: pay extra each month" showDropDown="false" showErrorMessage="true" showInputMessage="true" sqref="C9" type="decimal">
      <formula1>0</formula1>
      <formula2>10000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78"/>
    <col collapsed="false" customWidth="true" hidden="false" outlineLevel="0" max="6" min="6" style="0" width="2"/>
    <col collapsed="false" customWidth="true" hidden="false" outlineLevel="0" max="7" min="7" style="0" width="44"/>
  </cols>
  <sheetData>
    <row r="1" customFormat="false" ht="19.7" hidden="false" customHeight="false" outlineLevel="0" collapsed="false">
      <c r="B1" s="11" t="s">
        <v>990</v>
      </c>
      <c r="G1" s="2" t="s">
        <v>898</v>
      </c>
    </row>
    <row r="2" customFormat="false" ht="15" hidden="false" customHeight="false" outlineLevel="0" collapsed="false">
      <c r="B2" s="12" t="s">
        <v>991</v>
      </c>
      <c r="G2" s="2" t="s">
        <v>992</v>
      </c>
    </row>
    <row r="3" customFormat="false" ht="15" hidden="false" customHeight="false" outlineLevel="0" collapsed="false">
      <c r="B3" s="13" t="s">
        <v>993</v>
      </c>
    </row>
    <row r="5" customFormat="false" ht="15" hidden="false" customHeight="false" outlineLevel="0" collapsed="false">
      <c r="B5" s="14" t="s">
        <v>172</v>
      </c>
      <c r="C5" s="15" t="s">
        <v>173</v>
      </c>
      <c r="D5" s="15" t="s">
        <v>174</v>
      </c>
      <c r="E5" s="15" t="s">
        <v>175</v>
      </c>
    </row>
    <row r="6" customFormat="false" ht="15" hidden="false" customHeight="false" outlineLevel="0" collapsed="false">
      <c r="B6" s="16" t="s">
        <v>994</v>
      </c>
      <c r="C6" s="17" t="n">
        <v>15000</v>
      </c>
      <c r="D6" s="18" t="s">
        <v>177</v>
      </c>
      <c r="E6" s="2" t="s">
        <v>995</v>
      </c>
      <c r="G6" s="19" t="s">
        <v>452</v>
      </c>
    </row>
    <row r="7" customFormat="false" ht="15" hidden="false" customHeight="false" outlineLevel="0" collapsed="false">
      <c r="B7" s="16" t="s">
        <v>969</v>
      </c>
      <c r="C7" s="21" t="n">
        <v>0.08</v>
      </c>
      <c r="D7" s="18" t="s">
        <v>192</v>
      </c>
      <c r="E7" s="2" t="s">
        <v>996</v>
      </c>
      <c r="G7" s="19" t="s">
        <v>997</v>
      </c>
    </row>
    <row r="8" customFormat="false" ht="15" hidden="false" customHeight="false" outlineLevel="0" collapsed="false">
      <c r="B8" s="16" t="s">
        <v>487</v>
      </c>
      <c r="C8" s="22" t="n">
        <v>5</v>
      </c>
      <c r="D8" s="18" t="s">
        <v>196</v>
      </c>
      <c r="E8" s="2" t="s">
        <v>998</v>
      </c>
      <c r="G8" s="19" t="s">
        <v>999</v>
      </c>
    </row>
    <row r="10" customFormat="false" ht="15" hidden="false" customHeight="false" outlineLevel="0" collapsed="false">
      <c r="B10" s="14" t="s">
        <v>202</v>
      </c>
      <c r="C10" s="15" t="s">
        <v>203</v>
      </c>
      <c r="D10" s="15" t="s">
        <v>204</v>
      </c>
      <c r="E10" s="15" t="s">
        <v>205</v>
      </c>
    </row>
    <row r="11" customFormat="false" ht="17.35" hidden="false" customHeight="false" outlineLevel="0" collapsed="false">
      <c r="B11" s="12" t="s">
        <v>259</v>
      </c>
      <c r="C11" s="23" t="n">
        <f aca="false">PMT(Monthly_Rate,Years*12,-Loan_Amount)</f>
        <v>302.145819361451</v>
      </c>
      <c r="D11" s="18" t="s">
        <v>177</v>
      </c>
      <c r="E11" s="24" t="s">
        <v>1000</v>
      </c>
    </row>
    <row r="12" customFormat="false" ht="17.35" hidden="false" customHeight="false" outlineLevel="0" collapsed="false">
      <c r="B12" s="12" t="s">
        <v>263</v>
      </c>
      <c r="C12" s="23" t="n">
        <f aca="false">Total_Repaid-Loan_Amount</f>
        <v>3128.74916168706</v>
      </c>
      <c r="D12" s="18" t="s">
        <v>177</v>
      </c>
      <c r="E12" s="24" t="s">
        <v>1001</v>
      </c>
    </row>
    <row r="13" customFormat="false" ht="15" hidden="false" customHeight="false" outlineLevel="0" collapsed="false">
      <c r="B13" s="16" t="s">
        <v>265</v>
      </c>
      <c r="C13" s="25" t="n">
        <f aca="false">Monthly_Repayment*Years*12</f>
        <v>18128.7491616871</v>
      </c>
      <c r="D13" s="18" t="s">
        <v>177</v>
      </c>
      <c r="E13" s="24" t="s">
        <v>1002</v>
      </c>
    </row>
    <row r="14" customFormat="false" ht="15" hidden="false" customHeight="false" outlineLevel="0" collapsed="false">
      <c r="B14" s="16" t="s">
        <v>980</v>
      </c>
      <c r="C14" s="37" t="n">
        <f aca="false">(1+APR)^(1/12)-1</f>
        <v>0.00643403011000343</v>
      </c>
      <c r="D14" s="18"/>
      <c r="E14" s="24" t="s">
        <v>981</v>
      </c>
    </row>
    <row r="16" customFormat="false" ht="15" hidden="false" customHeight="false" outlineLevel="0" collapsed="false">
      <c r="B16" s="14" t="s">
        <v>223</v>
      </c>
      <c r="C16" s="28"/>
      <c r="D16" s="28"/>
      <c r="E16" s="28"/>
    </row>
    <row r="17" customFormat="false" ht="13.5" hidden="false" customHeight="true" outlineLevel="0" collapsed="false">
      <c r="B17" s="29" t="s">
        <v>1003</v>
      </c>
      <c r="C17" s="29"/>
      <c r="D17" s="29"/>
      <c r="E17" s="29"/>
    </row>
    <row r="18" customFormat="false" ht="13.5" hidden="false" customHeight="true" outlineLevel="0" collapsed="false">
      <c r="B18" s="29" t="s">
        <v>1004</v>
      </c>
      <c r="C18" s="29"/>
      <c r="D18" s="29"/>
      <c r="E18" s="29"/>
    </row>
    <row r="19" customFormat="false" ht="13.5" hidden="false" customHeight="true" outlineLevel="0" collapsed="false">
      <c r="B19" s="30" t="s">
        <v>227</v>
      </c>
      <c r="C19" s="30"/>
      <c r="D19" s="30"/>
      <c r="E19" s="30"/>
    </row>
    <row r="20" customFormat="false" ht="13.5" hidden="false" customHeight="true" outlineLevel="0" collapsed="false">
      <c r="B20" s="29" t="s">
        <v>230</v>
      </c>
      <c r="C20" s="29"/>
      <c r="D20" s="29"/>
      <c r="E20" s="29"/>
    </row>
    <row r="22" customFormat="false" ht="15" hidden="false" customHeight="false" outlineLevel="0" collapsed="false">
      <c r="B22" s="14" t="s">
        <v>231</v>
      </c>
      <c r="C22" s="28"/>
      <c r="D22" s="28"/>
      <c r="E22" s="28"/>
    </row>
    <row r="23" customFormat="false" ht="15" hidden="false" customHeight="false" outlineLevel="0" collapsed="false">
      <c r="B23" s="16" t="s">
        <v>232</v>
      </c>
      <c r="C23" s="31" t="str">
        <f aca="false">"No goal"</f>
        <v>No goal</v>
      </c>
      <c r="E23" s="32" t="s">
        <v>383</v>
      </c>
    </row>
  </sheetData>
  <mergeCells count="4">
    <mergeCell ref="B17:E17"/>
    <mergeCell ref="B18:E18"/>
    <mergeCell ref="B19:E19"/>
    <mergeCell ref="B20:E20"/>
  </mergeCells>
  <dataValidations count="3">
    <dataValidation allowBlank="false" error="Please enter €500 to €1,000,000 · steps of €500." errorStyle="stop" errorTitle="Outside the allowed range" operator="between" prompt="Unit: €. Allowed: €500 to €1,000,000 · steps of €500." promptTitle="Loan amount" showDropDown="false" showErrorMessage="true" showInputMessage="true" sqref="C6" type="decimal">
      <formula1>500</formula1>
      <formula2>1000000</formula2>
    </dataValidation>
    <dataValidation allowBlank="false" error="Please enter 0% to 25% · steps of 0.5%." errorStyle="stop" errorTitle="Outside the allowed range" operator="between" prompt="Unit: %. Allowed: 0% to 25% · steps of 0.5%." promptTitle="Interest (APR)" showDropDown="false" showErrorMessage="true" showInputMessage="true" sqref="C7" type="decimal">
      <formula1>0</formula1>
      <formula2>0.25</formula2>
    </dataValidation>
    <dataValidation allowBlank="false" error="Please enter 1 to 10 · steps of 1." errorStyle="stop" errorTitle="Outside the allowed range" operator="between" prompt="Unit: years. Allowed: 1 to 10 · steps of 1." promptTitle="Years" showDropDown="false" showErrorMessage="true" showInputMessage="true" sqref="C8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70"/>
    <col collapsed="false" customWidth="true" hidden="false" outlineLevel="0" max="6" min="6" style="0" width="26"/>
    <col collapsed="false" customWidth="true" hidden="false" outlineLevel="0" max="7" min="7" style="0" width="2"/>
  </cols>
  <sheetData>
    <row r="1" customFormat="false" ht="19.7" hidden="false" customHeight="false" outlineLevel="0" collapsed="false">
      <c r="B1" s="11" t="s">
        <v>131</v>
      </c>
    </row>
    <row r="2" customFormat="false" ht="27.75" hidden="false" customHeight="true" outlineLevel="0" collapsed="false">
      <c r="B2" s="54" t="s">
        <v>1005</v>
      </c>
      <c r="C2" s="54"/>
      <c r="D2" s="54"/>
      <c r="E2" s="54"/>
      <c r="F2" s="54"/>
    </row>
    <row r="4" customFormat="false" ht="15" hidden="false" customHeight="false" outlineLevel="0" collapsed="false">
      <c r="B4" s="14" t="s">
        <v>1006</v>
      </c>
      <c r="C4" s="28"/>
      <c r="D4" s="28"/>
      <c r="E4" s="28"/>
      <c r="F4" s="28"/>
    </row>
    <row r="5" customFormat="false" ht="15" hidden="false" customHeight="false" outlineLevel="0" collapsed="false">
      <c r="B5" s="55" t="s">
        <v>1007</v>
      </c>
      <c r="C5" s="55" t="s">
        <v>1008</v>
      </c>
      <c r="D5" s="55" t="s">
        <v>1009</v>
      </c>
      <c r="E5" s="55" t="s">
        <v>1010</v>
      </c>
      <c r="F5" s="55" t="s">
        <v>1011</v>
      </c>
    </row>
    <row r="6" customFormat="false" ht="22.35" hidden="false" customHeight="false" outlineLevel="0" collapsed="false">
      <c r="B6" s="16" t="s">
        <v>1012</v>
      </c>
      <c r="C6" s="56" t="n">
        <v>0.02</v>
      </c>
      <c r="D6" s="8" t="s">
        <v>1013</v>
      </c>
      <c r="E6" s="57" t="s">
        <v>1014</v>
      </c>
      <c r="F6" s="2" t="s">
        <v>518</v>
      </c>
    </row>
    <row r="7" customFormat="false" ht="15" hidden="false" customHeight="false" outlineLevel="0" collapsed="false">
      <c r="B7" s="16" t="s">
        <v>1015</v>
      </c>
      <c r="C7" s="58" t="s">
        <v>1016</v>
      </c>
      <c r="D7" s="8" t="s">
        <v>1017</v>
      </c>
      <c r="E7" s="57" t="s">
        <v>1018</v>
      </c>
      <c r="F7" s="2" t="s">
        <v>518</v>
      </c>
    </row>
    <row r="8" customFormat="false" ht="15" hidden="false" customHeight="false" outlineLevel="0" collapsed="false">
      <c r="B8" s="14" t="s">
        <v>1019</v>
      </c>
      <c r="C8" s="28"/>
      <c r="D8" s="28"/>
      <c r="E8" s="28"/>
      <c r="F8" s="28"/>
    </row>
    <row r="9" customFormat="false" ht="15" hidden="false" customHeight="false" outlineLevel="0" collapsed="false">
      <c r="B9" s="55" t="s">
        <v>1020</v>
      </c>
      <c r="C9" s="55" t="s">
        <v>1016</v>
      </c>
      <c r="D9" s="55" t="s">
        <v>1021</v>
      </c>
      <c r="E9" s="55" t="s">
        <v>1022</v>
      </c>
      <c r="F9" s="55" t="s">
        <v>1023</v>
      </c>
    </row>
    <row r="10" customFormat="false" ht="15" hidden="false" customHeight="false" outlineLevel="0" collapsed="false">
      <c r="B10" s="16" t="s">
        <v>1024</v>
      </c>
      <c r="C10" s="56" t="n">
        <v>0.025</v>
      </c>
      <c r="D10" s="56" t="n">
        <v>0.03</v>
      </c>
      <c r="E10" s="59" t="n">
        <f aca="false">IF(Growth_Set="Cautious",D10,C10)</f>
        <v>0.025</v>
      </c>
      <c r="F10" s="60" t="s">
        <v>1025</v>
      </c>
    </row>
    <row r="11" customFormat="false" ht="15" hidden="false" customHeight="false" outlineLevel="0" collapsed="false">
      <c r="B11" s="16" t="s">
        <v>1026</v>
      </c>
      <c r="C11" s="56" t="n">
        <v>0.045</v>
      </c>
      <c r="D11" s="56" t="n">
        <v>0.04</v>
      </c>
      <c r="E11" s="59" t="n">
        <f aca="false">IF(Growth_Set="Cautious",D11,C11)</f>
        <v>0.045</v>
      </c>
      <c r="F11" s="60"/>
    </row>
    <row r="12" customFormat="false" ht="15" hidden="false" customHeight="false" outlineLevel="0" collapsed="false">
      <c r="B12" s="16" t="s">
        <v>1027</v>
      </c>
      <c r="C12" s="56" t="n">
        <v>0.0315</v>
      </c>
      <c r="D12" s="56" t="n">
        <v>0.028</v>
      </c>
      <c r="E12" s="59" t="n">
        <f aca="false">IF(Growth_Set="Cautious",D12,C12)</f>
        <v>0.0315</v>
      </c>
      <c r="F12" s="60"/>
    </row>
    <row r="13" customFormat="false" ht="15" hidden="false" customHeight="false" outlineLevel="0" collapsed="false">
      <c r="B13" s="14" t="s">
        <v>1028</v>
      </c>
      <c r="C13" s="28"/>
      <c r="D13" s="28"/>
      <c r="E13" s="28"/>
      <c r="F13" s="28"/>
    </row>
    <row r="14" customFormat="false" ht="15" hidden="false" customHeight="false" outlineLevel="0" collapsed="false">
      <c r="B14" s="55" t="s">
        <v>1007</v>
      </c>
      <c r="C14" s="55" t="s">
        <v>1008</v>
      </c>
      <c r="D14" s="55" t="s">
        <v>1009</v>
      </c>
      <c r="E14" s="55" t="s">
        <v>1010</v>
      </c>
      <c r="F14" s="55" t="s">
        <v>1011</v>
      </c>
    </row>
    <row r="15" customFormat="false" ht="22.35" hidden="false" customHeight="false" outlineLevel="0" collapsed="false">
      <c r="B15" s="16" t="s">
        <v>1029</v>
      </c>
      <c r="C15" s="61" t="n">
        <v>4</v>
      </c>
      <c r="D15" s="8" t="s">
        <v>23</v>
      </c>
      <c r="E15" s="57" t="s">
        <v>1030</v>
      </c>
      <c r="F15" s="2" t="s">
        <v>518</v>
      </c>
    </row>
    <row r="16" customFormat="false" ht="15" hidden="false" customHeight="false" outlineLevel="0" collapsed="false">
      <c r="B16" s="16" t="s">
        <v>1031</v>
      </c>
      <c r="C16" s="61" t="n">
        <v>3.5</v>
      </c>
      <c r="D16" s="8" t="s">
        <v>23</v>
      </c>
      <c r="E16" s="57" t="s">
        <v>1032</v>
      </c>
      <c r="F16" s="2" t="s">
        <v>518</v>
      </c>
    </row>
    <row r="17" customFormat="false" ht="15" hidden="false" customHeight="false" outlineLevel="0" collapsed="false">
      <c r="B17" s="16" t="s">
        <v>1033</v>
      </c>
      <c r="C17" s="62" t="n">
        <v>0.9</v>
      </c>
      <c r="D17" s="8" t="s">
        <v>1034</v>
      </c>
      <c r="E17" s="57" t="s">
        <v>1035</v>
      </c>
      <c r="F17" s="2" t="s">
        <v>518</v>
      </c>
    </row>
    <row r="18" customFormat="false" ht="15" hidden="false" customHeight="false" outlineLevel="0" collapsed="false">
      <c r="B18" s="16" t="s">
        <v>1036</v>
      </c>
      <c r="C18" s="63" t="n">
        <f aca="false">1-LTV_Max</f>
        <v>0.1</v>
      </c>
      <c r="D18" s="8" t="s">
        <v>1037</v>
      </c>
      <c r="E18" s="57" t="s">
        <v>1038</v>
      </c>
      <c r="F18" s="2" t="s">
        <v>518</v>
      </c>
    </row>
    <row r="19" customFormat="false" ht="15" hidden="false" customHeight="false" outlineLevel="0" collapsed="false">
      <c r="B19" s="14" t="s">
        <v>1039</v>
      </c>
      <c r="C19" s="28"/>
      <c r="D19" s="28"/>
      <c r="E19" s="28"/>
      <c r="F19" s="28"/>
    </row>
    <row r="20" customFormat="false" ht="15" hidden="false" customHeight="false" outlineLevel="0" collapsed="false">
      <c r="B20" s="55" t="s">
        <v>1007</v>
      </c>
      <c r="C20" s="55" t="s">
        <v>1008</v>
      </c>
      <c r="D20" s="55" t="s">
        <v>1009</v>
      </c>
      <c r="E20" s="55" t="s">
        <v>1010</v>
      </c>
      <c r="F20" s="55" t="s">
        <v>1011</v>
      </c>
    </row>
    <row r="21" customFormat="false" ht="15" hidden="false" customHeight="false" outlineLevel="0" collapsed="false">
      <c r="B21" s="16" t="s">
        <v>1040</v>
      </c>
      <c r="C21" s="64" t="n">
        <v>259.5</v>
      </c>
      <c r="D21" s="8" t="s">
        <v>67</v>
      </c>
      <c r="E21" s="57" t="s">
        <v>1041</v>
      </c>
      <c r="F21" s="65" t="s">
        <v>1042</v>
      </c>
    </row>
    <row r="22" customFormat="false" ht="15" hidden="false" customHeight="false" outlineLevel="0" collapsed="false">
      <c r="B22" s="16" t="s">
        <v>1043</v>
      </c>
      <c r="C22" s="64" t="n">
        <v>254</v>
      </c>
      <c r="D22" s="8" t="s">
        <v>70</v>
      </c>
      <c r="E22" s="57" t="s">
        <v>1044</v>
      </c>
      <c r="F22" s="65" t="s">
        <v>1042</v>
      </c>
    </row>
    <row r="23" customFormat="false" ht="15" hidden="false" customHeight="false" outlineLevel="0" collapsed="false">
      <c r="B23" s="16" t="s">
        <v>1045</v>
      </c>
      <c r="C23" s="62" t="n">
        <v>0.75</v>
      </c>
      <c r="D23" s="8" t="s">
        <v>70</v>
      </c>
      <c r="E23" s="57" t="s">
        <v>1046</v>
      </c>
      <c r="F23" s="65" t="s">
        <v>1047</v>
      </c>
    </row>
    <row r="24" customFormat="false" ht="15" hidden="false" customHeight="false" outlineLevel="0" collapsed="false">
      <c r="B24" s="16" t="s">
        <v>1048</v>
      </c>
      <c r="C24" s="64" t="n">
        <v>15563.6</v>
      </c>
      <c r="D24" s="8" t="s">
        <v>1049</v>
      </c>
      <c r="E24" s="57" t="s">
        <v>1050</v>
      </c>
      <c r="F24" s="2" t="s">
        <v>518</v>
      </c>
    </row>
    <row r="25" customFormat="false" ht="15" hidden="false" customHeight="false" outlineLevel="0" collapsed="false">
      <c r="B25" s="16" t="s">
        <v>1051</v>
      </c>
      <c r="C25" s="66" t="n">
        <v>52</v>
      </c>
      <c r="D25" s="8" t="s">
        <v>1052</v>
      </c>
      <c r="E25" s="57" t="s">
        <v>1053</v>
      </c>
      <c r="F25" s="2" t="s">
        <v>518</v>
      </c>
    </row>
    <row r="26" customFormat="false" ht="15" hidden="false" customHeight="false" outlineLevel="0" collapsed="false">
      <c r="B26" s="14" t="s">
        <v>1054</v>
      </c>
      <c r="C26" s="28"/>
      <c r="D26" s="28"/>
      <c r="E26" s="28"/>
      <c r="F26" s="28"/>
    </row>
    <row r="27" customFormat="false" ht="15" hidden="false" customHeight="false" outlineLevel="0" collapsed="false">
      <c r="B27" s="55" t="s">
        <v>1007</v>
      </c>
      <c r="C27" s="55" t="s">
        <v>1008</v>
      </c>
      <c r="D27" s="55" t="s">
        <v>1009</v>
      </c>
      <c r="E27" s="55" t="s">
        <v>1010</v>
      </c>
      <c r="F27" s="55" t="s">
        <v>1011</v>
      </c>
    </row>
    <row r="28" customFormat="false" ht="15" hidden="false" customHeight="false" outlineLevel="0" collapsed="false">
      <c r="B28" s="16" t="s">
        <v>1055</v>
      </c>
      <c r="C28" s="62" t="n">
        <v>0.33</v>
      </c>
      <c r="D28" s="8" t="s">
        <v>1056</v>
      </c>
      <c r="E28" s="57" t="s">
        <v>1057</v>
      </c>
      <c r="F28" s="2" t="s">
        <v>518</v>
      </c>
    </row>
    <row r="29" customFormat="false" ht="15" hidden="false" customHeight="false" outlineLevel="0" collapsed="false">
      <c r="B29" s="16" t="s">
        <v>1058</v>
      </c>
      <c r="C29" s="62" t="n">
        <v>0.38</v>
      </c>
      <c r="D29" s="8" t="s">
        <v>1056</v>
      </c>
      <c r="E29" s="57" t="s">
        <v>1059</v>
      </c>
      <c r="F29" s="2" t="s">
        <v>518</v>
      </c>
    </row>
    <row r="30" customFormat="false" ht="15" hidden="false" customHeight="false" outlineLevel="0" collapsed="false">
      <c r="B30" s="16" t="s">
        <v>1060</v>
      </c>
      <c r="C30" s="67" t="n">
        <v>44000</v>
      </c>
      <c r="D30" s="8" t="s">
        <v>1061</v>
      </c>
      <c r="E30" s="57" t="s">
        <v>1062</v>
      </c>
      <c r="F30" s="2" t="s">
        <v>518</v>
      </c>
    </row>
    <row r="31" customFormat="false" ht="15" hidden="false" customHeight="false" outlineLevel="0" collapsed="false">
      <c r="B31" s="14" t="s">
        <v>1063</v>
      </c>
      <c r="C31" s="28"/>
      <c r="D31" s="28"/>
      <c r="E31" s="28"/>
      <c r="F31" s="28"/>
    </row>
    <row r="32" customFormat="false" ht="15" hidden="false" customHeight="false" outlineLevel="0" collapsed="false">
      <c r="B32" s="55" t="s">
        <v>1007</v>
      </c>
      <c r="C32" s="55" t="s">
        <v>1008</v>
      </c>
      <c r="D32" s="55" t="s">
        <v>1009</v>
      </c>
      <c r="E32" s="55" t="s">
        <v>1010</v>
      </c>
      <c r="F32" s="55" t="s">
        <v>1011</v>
      </c>
    </row>
    <row r="33" customFormat="false" ht="15" hidden="false" customHeight="false" outlineLevel="0" collapsed="false">
      <c r="B33" s="16" t="s">
        <v>1064</v>
      </c>
      <c r="C33" s="66" t="n">
        <v>1200</v>
      </c>
      <c r="D33" s="8" t="s">
        <v>1065</v>
      </c>
      <c r="E33" s="57" t="s">
        <v>1066</v>
      </c>
      <c r="F33" s="2" t="s">
        <v>518</v>
      </c>
    </row>
    <row r="34" customFormat="false" ht="15" hidden="false" customHeight="false" outlineLevel="0" collapsed="false">
      <c r="B34" s="16" t="s">
        <v>1067</v>
      </c>
      <c r="C34" s="66" t="n">
        <v>60</v>
      </c>
      <c r="D34" s="8" t="s">
        <v>111</v>
      </c>
      <c r="E34" s="57" t="s">
        <v>1068</v>
      </c>
      <c r="F34" s="2" t="s">
        <v>518</v>
      </c>
    </row>
    <row r="35" customFormat="false" ht="15" hidden="false" customHeight="false" outlineLevel="0" collapsed="false">
      <c r="B35" s="16" t="s">
        <v>1069</v>
      </c>
      <c r="C35" s="68" t="n">
        <v>30</v>
      </c>
      <c r="D35" s="8" t="s">
        <v>36</v>
      </c>
      <c r="E35" s="57" t="s">
        <v>1070</v>
      </c>
      <c r="F35" s="2" t="s">
        <v>518</v>
      </c>
    </row>
    <row r="36" customFormat="false" ht="15" hidden="false" customHeight="false" outlineLevel="0" collapsed="false">
      <c r="B36" s="16" t="s">
        <v>1071</v>
      </c>
      <c r="C36" s="69" t="n">
        <v>0.01</v>
      </c>
      <c r="D36" s="8" t="s">
        <v>36</v>
      </c>
      <c r="E36" s="57" t="s">
        <v>1070</v>
      </c>
      <c r="F36" s="2" t="s">
        <v>518</v>
      </c>
    </row>
    <row r="37" customFormat="false" ht="15" hidden="false" customHeight="false" outlineLevel="0" collapsed="false">
      <c r="B37" s="16" t="s">
        <v>1072</v>
      </c>
      <c r="C37" s="68" t="n">
        <v>5</v>
      </c>
      <c r="D37" s="8" t="s">
        <v>43</v>
      </c>
      <c r="E37" s="57" t="s">
        <v>1070</v>
      </c>
      <c r="F37" s="2" t="s">
        <v>518</v>
      </c>
    </row>
    <row r="38" customFormat="false" ht="15" hidden="false" customHeight="false" outlineLevel="0" collapsed="false">
      <c r="B38" s="16" t="s">
        <v>1073</v>
      </c>
      <c r="C38" s="68" t="n">
        <v>25</v>
      </c>
      <c r="D38" s="8" t="s">
        <v>48</v>
      </c>
      <c r="E38" s="57" t="s">
        <v>1074</v>
      </c>
      <c r="F38" s="2" t="s">
        <v>518</v>
      </c>
    </row>
    <row r="39" customFormat="false" ht="15" hidden="false" customHeight="false" outlineLevel="0" collapsed="false">
      <c r="B39" s="16" t="s">
        <v>1075</v>
      </c>
      <c r="C39" s="62" t="n">
        <v>0.6</v>
      </c>
      <c r="D39" s="8" t="s">
        <v>67</v>
      </c>
      <c r="E39" s="57" t="s">
        <v>1070</v>
      </c>
      <c r="F39" s="2" t="s">
        <v>518</v>
      </c>
    </row>
    <row r="40" customFormat="false" ht="15" hidden="false" customHeight="false" outlineLevel="0" collapsed="false">
      <c r="B40" s="16" t="s">
        <v>1076</v>
      </c>
      <c r="C40" s="69" t="n">
        <v>0.02</v>
      </c>
      <c r="D40" s="8" t="s">
        <v>57</v>
      </c>
      <c r="E40" s="57" t="s">
        <v>1070</v>
      </c>
      <c r="F40" s="2" t="s">
        <v>518</v>
      </c>
    </row>
    <row r="41" customFormat="false" ht="15" hidden="false" customHeight="false" outlineLevel="0" collapsed="false">
      <c r="B41" s="16" t="s">
        <v>1077</v>
      </c>
      <c r="C41" s="69" t="n">
        <v>0.04</v>
      </c>
      <c r="D41" s="8" t="s">
        <v>57</v>
      </c>
      <c r="E41" s="57" t="s">
        <v>1070</v>
      </c>
      <c r="F41" s="2" t="s">
        <v>518</v>
      </c>
    </row>
    <row r="42" customFormat="false" ht="15" hidden="false" customHeight="false" outlineLevel="0" collapsed="false">
      <c r="B42" s="16" t="s">
        <v>1078</v>
      </c>
      <c r="C42" s="69" t="n">
        <v>0.06</v>
      </c>
      <c r="D42" s="8" t="s">
        <v>57</v>
      </c>
      <c r="E42" s="57" t="s">
        <v>1070</v>
      </c>
      <c r="F42" s="2" t="s">
        <v>518</v>
      </c>
    </row>
    <row r="43" customFormat="false" ht="15" hidden="false" customHeight="false" outlineLevel="0" collapsed="false">
      <c r="B43" s="16" t="s">
        <v>1079</v>
      </c>
      <c r="C43" s="58" t="s">
        <v>1021</v>
      </c>
      <c r="D43" s="8" t="s">
        <v>65</v>
      </c>
      <c r="E43" s="8" t="s">
        <v>1070</v>
      </c>
    </row>
    <row r="44" customFormat="false" ht="15" hidden="false" customHeight="false" outlineLevel="0" collapsed="false">
      <c r="B44" s="16" t="s">
        <v>1080</v>
      </c>
      <c r="C44" s="58" t="s">
        <v>1081</v>
      </c>
      <c r="D44" s="8" t="s">
        <v>65</v>
      </c>
      <c r="E44" s="8" t="s">
        <v>1070</v>
      </c>
    </row>
    <row r="45" customFormat="false" ht="15" hidden="false" customHeight="false" outlineLevel="0" collapsed="false">
      <c r="B45" s="16" t="s">
        <v>1082</v>
      </c>
      <c r="C45" s="58" t="s">
        <v>1083</v>
      </c>
      <c r="D45" s="8" t="s">
        <v>65</v>
      </c>
      <c r="E45" s="8" t="s">
        <v>1070</v>
      </c>
    </row>
    <row r="46" customFormat="false" ht="15" hidden="false" customHeight="false" outlineLevel="0" collapsed="false">
      <c r="B46" s="16" t="s">
        <v>1084</v>
      </c>
      <c r="C46" s="69" t="n">
        <v>0.02</v>
      </c>
      <c r="D46" s="8" t="s">
        <v>65</v>
      </c>
      <c r="E46" s="8" t="s">
        <v>1070</v>
      </c>
    </row>
    <row r="47" customFormat="false" ht="15" hidden="false" customHeight="false" outlineLevel="0" collapsed="false">
      <c r="B47" s="16" t="s">
        <v>1085</v>
      </c>
      <c r="C47" s="69" t="n">
        <v>0.04</v>
      </c>
      <c r="D47" s="8" t="s">
        <v>65</v>
      </c>
      <c r="E47" s="8" t="s">
        <v>1070</v>
      </c>
    </row>
    <row r="48" customFormat="false" ht="15" hidden="false" customHeight="false" outlineLevel="0" collapsed="false">
      <c r="B48" s="16" t="s">
        <v>1086</v>
      </c>
      <c r="C48" s="69" t="n">
        <v>0.06</v>
      </c>
      <c r="D48" s="8" t="s">
        <v>65</v>
      </c>
      <c r="E48" s="8" t="s">
        <v>1070</v>
      </c>
    </row>
    <row r="49" customFormat="false" ht="15" hidden="false" customHeight="false" outlineLevel="0" collapsed="false">
      <c r="B49" s="16" t="s">
        <v>1087</v>
      </c>
      <c r="C49" s="69" t="n">
        <v>0.05</v>
      </c>
      <c r="D49" s="8" t="s">
        <v>65</v>
      </c>
      <c r="E49" s="8" t="s">
        <v>1070</v>
      </c>
    </row>
    <row r="50" customFormat="false" ht="15" hidden="false" customHeight="false" outlineLevel="0" collapsed="false">
      <c r="B50" s="16" t="s">
        <v>1088</v>
      </c>
      <c r="C50" s="69" t="n">
        <v>0.1</v>
      </c>
      <c r="D50" s="8" t="s">
        <v>65</v>
      </c>
      <c r="E50" s="8" t="s">
        <v>1070</v>
      </c>
    </row>
    <row r="51" customFormat="false" ht="15" hidden="false" customHeight="false" outlineLevel="0" collapsed="false">
      <c r="B51" s="16" t="s">
        <v>1089</v>
      </c>
      <c r="C51" s="69" t="n">
        <v>0.16</v>
      </c>
      <c r="D51" s="8" t="s">
        <v>65</v>
      </c>
      <c r="E51" s="8" t="s">
        <v>1070</v>
      </c>
    </row>
    <row r="52" customFormat="false" ht="15" hidden="false" customHeight="false" outlineLevel="0" collapsed="false">
      <c r="B52" s="16" t="s">
        <v>1090</v>
      </c>
      <c r="C52" s="70" t="n">
        <v>1.6</v>
      </c>
      <c r="D52" s="8" t="s">
        <v>65</v>
      </c>
      <c r="E52" s="57" t="s">
        <v>1070</v>
      </c>
      <c r="F52" s="2" t="s">
        <v>518</v>
      </c>
    </row>
    <row r="53" customFormat="false" ht="15" hidden="false" customHeight="false" outlineLevel="0" collapsed="false">
      <c r="B53" s="16" t="s">
        <v>1091</v>
      </c>
      <c r="C53" s="62" t="n">
        <v>0.5</v>
      </c>
      <c r="D53" s="8" t="s">
        <v>79</v>
      </c>
      <c r="E53" s="57" t="s">
        <v>1092</v>
      </c>
      <c r="F53" s="2" t="s">
        <v>518</v>
      </c>
    </row>
    <row r="54" customFormat="false" ht="15" hidden="false" customHeight="false" outlineLevel="0" collapsed="false">
      <c r="B54" s="16" t="s">
        <v>1093</v>
      </c>
      <c r="C54" s="62" t="n">
        <v>0.3</v>
      </c>
      <c r="D54" s="8" t="s">
        <v>79</v>
      </c>
      <c r="E54" s="57" t="s">
        <v>1092</v>
      </c>
      <c r="F54" s="2" t="s">
        <v>518</v>
      </c>
    </row>
    <row r="55" customFormat="false" ht="15" hidden="false" customHeight="false" outlineLevel="0" collapsed="false">
      <c r="B55" s="16" t="s">
        <v>1094</v>
      </c>
      <c r="C55" s="62" t="n">
        <v>0.2</v>
      </c>
      <c r="D55" s="8" t="s">
        <v>79</v>
      </c>
      <c r="E55" s="57" t="s">
        <v>1092</v>
      </c>
      <c r="F55" s="2" t="s">
        <v>518</v>
      </c>
    </row>
    <row r="56" customFormat="false" ht="15" hidden="false" customHeight="false" outlineLevel="0" collapsed="false">
      <c r="B56" s="16" t="s">
        <v>1095</v>
      </c>
      <c r="C56" s="68" t="n">
        <v>5</v>
      </c>
      <c r="D56" s="8" t="s">
        <v>72</v>
      </c>
      <c r="E56" s="57" t="s">
        <v>1070</v>
      </c>
      <c r="F56" s="2" t="s">
        <v>518</v>
      </c>
    </row>
    <row r="57" customFormat="false" ht="15" hidden="false" customHeight="false" outlineLevel="0" collapsed="false">
      <c r="B57" s="16" t="s">
        <v>1096</v>
      </c>
      <c r="C57" s="68" t="n">
        <v>10</v>
      </c>
      <c r="D57" s="8" t="s">
        <v>72</v>
      </c>
      <c r="E57" s="57" t="s">
        <v>1070</v>
      </c>
      <c r="F57" s="2" t="s">
        <v>518</v>
      </c>
    </row>
    <row r="58" customFormat="false" ht="15" hidden="false" customHeight="false" outlineLevel="0" collapsed="false">
      <c r="B58" s="16" t="s">
        <v>1097</v>
      </c>
      <c r="C58" s="68" t="n">
        <v>15</v>
      </c>
      <c r="D58" s="8" t="s">
        <v>72</v>
      </c>
      <c r="E58" s="57" t="s">
        <v>1070</v>
      </c>
      <c r="F58" s="2" t="s">
        <v>518</v>
      </c>
    </row>
    <row r="59" customFormat="false" ht="15" hidden="false" customHeight="false" outlineLevel="0" collapsed="false">
      <c r="B59" s="16" t="s">
        <v>1098</v>
      </c>
      <c r="C59" s="68" t="n">
        <v>3</v>
      </c>
      <c r="D59" s="8" t="s">
        <v>1099</v>
      </c>
      <c r="E59" s="57" t="s">
        <v>1100</v>
      </c>
      <c r="F59" s="2" t="s">
        <v>518</v>
      </c>
    </row>
    <row r="60" customFormat="false" ht="15" hidden="false" customHeight="false" outlineLevel="0" collapsed="false">
      <c r="B60" s="16" t="s">
        <v>1101</v>
      </c>
      <c r="C60" s="68" t="n">
        <v>2</v>
      </c>
      <c r="D60" s="8" t="s">
        <v>46</v>
      </c>
      <c r="E60" s="57" t="s">
        <v>1102</v>
      </c>
      <c r="F60" s="2" t="s">
        <v>518</v>
      </c>
    </row>
  </sheetData>
  <mergeCells count="1">
    <mergeCell ref="B2:F2"/>
  </mergeCells>
  <dataValidations count="2">
    <dataValidation allowBlank="false" errorStyle="stop" operator="between" prompt="Unit: % a year. Allowed: 0% to 10%. 2% = long-term standard; 3.5% = Ireland today." promptTitle="Inflation" showDropDown="false" showErrorMessage="true" showInputMessage="true" sqref="C6" type="decimal">
      <formula1>0</formula1>
      <formula2>0.1</formula2>
    </dataValidation>
    <dataValidation allowBlank="false" errorStyle="stop" operator="between" prompt="Choose Standard or Cautious." promptTitle="Growth set" showDropDown="false" showErrorMessage="false" showInputMessage="true" sqref="C7" type="list">
      <formula1>"Standard,Cautious"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2026-10-02T09:10:12Z</dcterms:created>
  <dc:creator>openpyxl</dc:creator>
  <dc:description/>
  <dc:language>en-US</dc:language>
  <cp:lastModifiedBy/>
  <dcterms:modified xsi:type="dcterms:W3CDTF">2026-10-02T09:10:12Z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