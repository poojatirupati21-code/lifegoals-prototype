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Your lists" sheetId="32" state="visible" r:id="rId34"/>
    <sheet name="Settings" sheetId="33" state="visible" r:id="rId35"/>
    <sheet name="Assumptions" sheetId="34" state="visible" r:id="rId36"/>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Total" vbProcedure="false">'Your lists'!$D$15</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Health_Listed_Total" vbProcedure="false">'Your lists'!$D$81</definedName>
    <definedName function="false" hidden="false" name="Illness_Benefit_Week" vbProcedure="false">Assumptions!$C$68</definedName>
    <definedName function="false" hidden="false" name="IP_Listed_Total" vbProcedure="false">'Your lists'!$D$69</definedName>
    <definedName function="false" hidden="false" name="IP_Max_Pct" vbProcedure="false">Assumptions!$C$69</definedName>
    <definedName function="false" hidden="false" name="Life_Levy" vbProcedure="false">Assumptions!$C$76</definedName>
    <definedName function="false" hidden="false" name="Loans_Owed_Total" vbProcedure="false">'Your lists'!$D$30</definedName>
    <definedName function="false" hidden="false" name="Loans_Pay_Total" vbProcedure="false">'Your lists'!$D$31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artner_Name" vbProcedure="false">Settings!$C$4</definedName>
    <definedName function="false" hidden="false" name="Pension_Earliest_Age" vbProcedure="false">Assumptions!$C$59</definedName>
    <definedName function="false" hidden="false" name="Pens_Monthly_Total" vbProcedure="false">'Your lists'!$D$47</definedName>
    <definedName function="false" hidden="false" name="Pens_Own_Total" vbProcedure="false">'Your lists'!$D$48</definedName>
    <definedName function="false" hidden="false" name="Pens_Value_Total" vbProcedure="false">'Your lists'!$D$46</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<sst xmlns="http://schemas.openxmlformats.org/spreadsheetml/2006/main" count="3934" uniqueCount="1989">
  <si>
    <t xml:space="preserve">LifeMap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</si>
  <si>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</si>
  <si>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</si>
  <si>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</si>
  <si>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</si>
  <si>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</si>
  <si>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</si>
  <si>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</si>
  <si>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</si>
  <si>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</si>
  <si>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Beside each is a suggested rate with its source, from the Settings sheet: by default Central Bank of Ireland averages with their month (journey spec §18, §19).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</si>
  <si>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</si>
  <si>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</si>
  <si>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</si>
  <si>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</si>
  <si>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</si>
  <si>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</si>
  <si>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</si>
  <si>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</si>
  <si>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</si>
  <si>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</si>
  <si>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</si>
  <si>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</si>
  <si>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</si>
  <si>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</si>
  <si>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</si>
  <si>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</si>
  <si>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</si>
  <si>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</si>
  <si>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</si>
  <si>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</si>
  <si>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</si>
  <si>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</si>
  <si>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</si>
  <si>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</si>
  <si>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</si>
  <si>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</si>
  <si>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</si>
  <si>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</si>
  <si>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</si>
  <si>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</si>
  <si>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</si>
  <si>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</si>
  <si>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</si>
  <si>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</si>
  <si>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</si>
  <si>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</si>
  <si>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</si>
  <si>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</si>
  <si>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</si>
  <si>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</si>
  <si>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</si>
  <si>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</si>
  <si>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</si>
  <si>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</si>
  <si>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</si>
  <si>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</si>
  <si>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</si>
  <si>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</si>
  <si>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</si>
  <si>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</si>
  <si>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</si>
  <si>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</si>
  <si>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</si>
  <si>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</si>
  <si>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</si>
  <si>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</si>
  <si>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</si>
  <si>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</si>
  <si>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</si>
  <si>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</si>
  <si>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</si>
  <si>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</si>
  <si>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</si>
  <si>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</si>
  <si>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</si>
  <si>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</si>
  <si>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</si>
  <si>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</si>
  <si>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</si>
  <si>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</si>
  <si>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</si>
  <si>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</si>
  <si>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</si>
  <si>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</si>
  <si>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</si>
  <si>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</si>
  <si>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</si>
  <si>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</si>
  <si>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</si>
  <si>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</si>
  <si>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</si>
  <si>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</si>
  <si>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</si>
  <si>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</si>
  <si>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</si>
  <si>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</si>
  <si>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</si>
  <si>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</si>
  <si>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</si>
  <si>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</si>
  <si>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</si>
  <si>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</si>
  <si>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</si>
  <si>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</si>
  <si>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</si>
  <si>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</si>
  <si>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</si>
  <si>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</si>
  <si>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</si>
  <si>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</si>
  <si>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</si>
  <si>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</si>
  <si>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</si>
  <si>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</si>
  <si>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</si>
  <si>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</si>
  <si>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</si>
  <si>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</si>
  <si>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</si>
  <si>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</si>
  <si>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</si>
  <si>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</si>
  <si>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</si>
  <si>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</si>
  <si>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</si>
  <si>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</si>
  <si>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</si>
  <si>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</si>
  <si>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</si>
  <si>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</si>
  <si>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</si>
  <si>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</si>
  <si>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</si>
  <si>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</si>
  <si>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</si>
  <si>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</si>
  <si>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</si>
  <si>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</si>
  <si>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</si>
  <si>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</si>
  <si>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</si>
  <si>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</si>
  <si>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</si>
  <si>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</si>
  <si>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</si>
  <si>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</si>
  <si>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</si>
  <si>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</si>
  <si>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</si>
  <si>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</si>
  <si>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</si>
  <si>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</si>
  <si>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</si>
  <si>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</si>
  <si>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</si>
  <si>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</si>
  <si>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</si>
  <si>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</si>
  <si>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</si>
  <si>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</si>
  <si>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</si>
  <si>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</si>
  <si>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</si>
  <si>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</si>
  <si>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</si>
  <si>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</si>
  <si>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</si>
  <si>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</si>
  <si>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</si>
  <si>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</si>
  <si>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</si>
  <si>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</si>
  <si>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</si>
  <si>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</si>
  <si>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</si>
  <si>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</si>
  <si>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</si>
  <si>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</si>
  <si>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</si>
  <si>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</si>
  <si>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</si>
  <si>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</si>
  <si>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</si>
  <si>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</si>
  <si>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</si>
  <si>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</si>
  <si>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</si>
  <si>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</si>
  <si>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</si>
  <si>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</si>
  <si>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</si>
  <si>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</si>
  <si>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</si>
  <si>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</si>
  <si>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</si>
  <si>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</si>
  <si>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</si>
  <si>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</si>
  <si>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</si>
  <si>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</si>
  <si>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</si>
  <si>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</si>
  <si>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</si>
  <si>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</si>
  <si>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</si>
  <si>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</si>
  <si>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</si>
  <si>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</si>
  <si>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</si>
  <si>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</si>
  <si>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</si>
  <si>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</si>
  <si>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</si>
  <si>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</si>
  <si>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</si>
  <si>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</si>
  <si>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</si>
  <si>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</si>
  <si>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</si>
  <si>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</si>
  <si>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</si>
  <si>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</si>
  <si>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</si>
  <si>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</si>
  <si>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</si>
  <si>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</si>
  <si>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</si>
  <si>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</si>
  <si>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</si>
  <si>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</si>
  <si>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</si>
  <si>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</si>
  <si>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</si>
  <si>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</si>
  <si>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</si>
  <si>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</si>
  <si>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</si>
  <si>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</si>
  <si>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</si>
  <si>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</si>
  <si>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</si>
  <si>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</si>
  <si>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</si>
  <si>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</si>
  <si>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</si>
  <si>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</si>
  <si>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</si>
  <si>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</si>
  <si>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</si>
  <si>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</si>
  <si>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</si>
  <si>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</si>
  <si>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</si>
  <si>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</si>
  <si>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</si>
  <si>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</si>
  <si>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</si>
  <si>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</si>
  <si>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</si>
  <si>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</si>
  <si>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</si>
  <si>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</si>
  <si>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</si>
  <si>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</si>
  <si>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</si>
  <si>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</si>
  <si>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</si>
  <si>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</si>
  <si>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</si>
  <si>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</si>
  <si>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</si>
  <si>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</si>
  <si>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</si>
  <si>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</si>
  <si>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</si>
  <si>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</si>
  <si>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</si>
  <si>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</si>
  <si>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</si>
  <si>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</si>
  <si>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</si>
  <si>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</si>
  <si>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</si>
  <si>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</si>
  <si>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</si>
  <si>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</si>
  <si>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</si>
  <si>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</si>
  <si>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</si>
  <si>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</si>
  <si>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</si>
  <si>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</si>
  <si>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</si>
  <si>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</si>
  <si>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</si>
  <si>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</si>
  <si>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</si>
  <si>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</si>
  <si>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</si>
  <si>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</si>
  <si>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</si>
  <si>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</si>
  <si>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</si>
  <si>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</si>
  <si>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</si>
  <si>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</si>
  <si>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</si>
  <si>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</si>
  <si>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</si>
  <si>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</si>
  <si>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</si>
  <si>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</si>
  <si>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</si>
  <si>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</si>
  <si>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</si>
  <si>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</si>
  <si>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</si>
  <si>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</si>
  <si>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</si>
  <si>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</si>
  <si>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</si>
  <si>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</si>
  <si>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</si>
  <si>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</si>
  <si>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</si>
  <si>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</si>
  <si>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</si>
  <si>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</si>
  <si>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</si>
  <si>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</si>
  <si>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</si>
  <si>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</si>
  <si>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</si>
  <si>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</si>
  <si>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</si>
  <si>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</si>
  <si>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</si>
  <si>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</si>
  <si>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</si>
  <si>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</si>
  <si>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</si>
  <si>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</si>
  <si>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</si>
  <si>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</si>
  <si>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</si>
  <si>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</si>
  <si>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</si>
  <si>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</si>
  <si>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</si>
  <si>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</si>
  <si>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</si>
  <si>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</si>
  <si>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</si>
  <si>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</si>
  <si>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</si>
  <si>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</si>
  <si>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</si>
  <si>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</si>
  <si>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</si>
  <si>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</si>
  <si>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</si>
  <si>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</si>
  <si>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</si>
  <si>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</si>
  <si>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</si>
  <si>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</si>
  <si>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</si>
  <si>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</si>
  <si>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</si>
  <si>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</si>
  <si>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</si>
  <si>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</si>
  <si>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</si>
  <si>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</si>
  <si>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</si>
  <si>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</si>
  <si>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</si>
  <si>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</si>
  <si>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</si>
  <si>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</si>
  <si>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</si>
  <si>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</si>
  <si>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</si>
  <si>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</si>
  <si>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</si>
  <si>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</si>
  <si>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</si>
  <si>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</si>
  <si>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</si>
  <si>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</si>
  <si>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</si>
  <si>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</si>
  <si>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</si>
  <si>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</si>
  <si>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</si>
  <si>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</si>
  <si>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</si>
  <si>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</si>
  <si>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</si>
  <si>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</si>
  <si>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</si>
  <si>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</si>
  <si>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</si>
  <si>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</si>
  <si>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</si>
  <si>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</si>
  <si>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</si>
  <si>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</si>
  <si>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</si>
  <si>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</si>
  <si>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</si>
  <si>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</si>
  <si>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</si>
  <si>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</si>
  <si>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</si>
  <si>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</si>
  <si>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</si>
  <si>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</si>
  <si>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</si>
  <si>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</si>
  <si>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</si>
  <si>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</si>
  <si>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</si>
  <si>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</si>
  <si>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</si>
  <si>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</si>
  <si>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</si>
  <si>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</si>
  <si>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</si>
  <si>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</si>
  <si>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</si>
  <si>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</si>
  <si>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</si>
  <si>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</si>
  <si>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</si>
  <si>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</si>
  <si>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</si>
  <si>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</si>
  <si>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</si>
  <si>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</si>
  <si>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</si>
  <si>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</si>
  <si>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</si>
  <si>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</si>
  <si>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</si>
  <si>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</si>
  <si>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</si>
  <si>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</si>
  <si>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</si>
  <si>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</si>
  <si>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</si>
  <si>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</si>
  <si>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</si>
  <si>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</si>
  <si>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</si>
  <si>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</si>
  <si>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</si>
  <si>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</si>
  <si>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</si>
  <si>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</si>
  <si>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</si>
  <si>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</si>
  <si>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</si>
  <si>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</si>
  <si>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</si>
  <si>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</si>
  <si>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</si>
  <si>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</si>
  <si>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</si>
  <si>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</si>
  <si>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</si>
  <si>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</si>
  <si>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</si>
  <si>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</si>
  <si>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</si>
  <si>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</si>
  <si>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</si>
  <si>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</si>
  <si>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</si>
  <si>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</si>
  <si>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</si>
  <si>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</si>
  <si>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</si>
  <si>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</si>
  <si>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</si>
  <si>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</si>
  <si>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</si>
  <si>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</si>
  <si>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</si>
  <si>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</si>
  <si>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</si>
  <si>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</si>
  <si>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</si>
  <si>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</si>
  <si>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</si>
  <si>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</si>
  <si>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</si>
  <si>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</si>
  <si>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</si>
  <si>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</si>
  <si>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</si>
  <si>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</si>
  <si>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</si>
  <si>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</si>
  <si>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</si>
  <si>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</si>
  <si>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</si>
  <si>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</si>
  <si>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</si>
  <si>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</si>
  <si>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</si>
  <si>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</si>
  <si>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</si>
  <si>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</si>
  <si>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</si>
  <si>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</si>
  <si>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</si>
  <si>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</si>
  <si>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</si>
  <si>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</si>
  <si>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</si>
  <si>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</si>
  <si>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</si>
  <si>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</si>
  <si>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</si>
  <si>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</si>
  <si>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</si>
  <si>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</si>
  <si>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</si>
  <si>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</si>
  <si>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</si>
  <si>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</si>
  <si>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</si>
  <si>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</si>
  <si>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</si>
  <si>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</si>
  <si>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</si>
  <si>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</si>
  <si>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</si>
  <si>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</si>
  <si>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</si>
  <si>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</si>
  <si>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</si>
  <si>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</si>
  <si>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</si>
  <si>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</si>
  <si>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</si>
  <si>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</si>
  <si>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</si>
  <si>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</si>
  <si>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</si>
  <si>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</si>
  <si>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</si>
  <si>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</si>
  <si>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</si>
  <si>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</si>
  <si>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</si>
  <si>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</si>
  <si>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</si>
  <si>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</si>
  <si>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</si>
  <si>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</si>
  <si>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</si>
  <si>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</si>
  <si>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</si>
  <si>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</si>
  <si>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</si>
  <si>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</si>
  <si>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</si>
  <si>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</si>
  <si>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</si>
  <si>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</si>
  <si>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</si>
  <si>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</si>
  <si>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</si>
  <si>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</si>
  <si>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</si>
  <si>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</si>
  <si>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</si>
  <si>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</si>
  <si>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</si>
  <si>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</si>
  <si>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</si>
  <si>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</si>
  <si>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</si>
  <si>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</si>
  <si>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</si>
  <si>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</si>
  <si>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</si>
  <si>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</si>
  <si>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</si>
  <si>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</si>
  <si>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</si>
  <si>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</si>
  <si>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</si>
  <si>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</si>
  <si>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</si>
  <si>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(LifeMap standard, not a forecast).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</si>
  <si>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</si>
  <si>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</si>
  <si>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</si>
  <si>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</si>
  <si>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</si>
  <si>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</si>
  <si>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</si>
  <si>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</si>
  <si>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</si>
  <si>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</si>
  <si>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</si>
  <si>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</si>
  <si>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</si>
  <si>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</si>
  <si>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</si>
  <si>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</si>
  <si>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</si>
  <si>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</si>
  <si>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</si>
  <si>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</si>
  <si>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</si>
  <si>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</si>
  <si>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</si>
  <si>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</si>
  <si>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</si>
  <si>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</si>
  <si>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</si>
  <si>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</si>
  <si>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</si>
  <si>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</si>
  <si>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</si>
  <si>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</si>
  <si>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</si>
  <si>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</si>
  <si>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</si>
  <si>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</si>
  <si>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</si>
  <si>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</si>
  <si>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</si>
  <si>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</si>
  <si>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</si>
  <si>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</si>
  <si>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</si>
  <si>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</si>
  <si>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</si>
  <si>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</si>
  <si>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</si>
  <si>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</si>
  <si>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</si>
  <si>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</si>
  <si>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</si>
  <si>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</si>
  <si>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</si>
  <si>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</si>
  <si>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</si>
  <si>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</si>
  <si>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</si>
  <si>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</si>
  <si>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</si>
  <si>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</si>
  <si>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</si>
  <si>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</si>
  <si>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</si>
  <si>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</si>
  <si>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</si>
  <si>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</si>
  <si>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</si>
  <si>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</si>
  <si>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</si>
  <si>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</si>
  <si>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</si>
  <si>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</si>
  <si>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</si>
  <si>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</si>
  <si>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</si>
  <si>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</si>
  <si>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</si>
  <si>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</si>
  <si>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</si>
  <si>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</si>
  <si>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</si>
  <si>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</si>
  <si>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</si>
  <si>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</si>
  <si>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</si>
  <si>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</si>
  <si>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</si>
  <si>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</si>
  <si>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</si>
  <si>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</si>
  <si>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</si>
  <si>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</si>
  <si>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</si>
  <si>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</si>
  <si>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</si>
  <si>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</si>
  <si>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</si>
  <si>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</si>
  <si>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</si>
  <si>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</si>
  <si>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</si>
  <si>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</si>
  <si>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</si>
  <si>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</si>
  <si>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</si>
  <si>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</si>
  <si>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</si>
  <si>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</si>
  <si>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</si>
  <si>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</si>
  <si>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</si>
  <si>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</si>
  <si>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</si>
  <si>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</si>
  <si>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</si>
  <si>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</si>
  <si>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</si>
  <si>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</si>
  <si>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</si>
  <si>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</si>
  <si>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</si>
  <si>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</si>
  <si>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</si>
  <si>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</si>
  <si>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</si>
  <si>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</si>
  <si>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</si>
  <si>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</si>
  <si>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</si>
  <si>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</si>
  <si>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</si>
  <si>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</si>
  <si>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</si>
  <si>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</si>
  <si>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</si>
  <si>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</si>
  <si>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</si>
  <si>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</si>
  <si>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</si>
  <si>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</si>
  <si>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</si>
  <si>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</si>
  <si>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</si>
  <si>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</si>
  <si>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</si>
  <si>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</si>
  <si>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</si>
  <si>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</si>
  <si>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</si>
  <si>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</si>
  <si>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</si>
  <si>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</si>
  <si>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</si>
  <si>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</si>
  <si>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</si>
  <si>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</si>
  <si>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</si>
  <si>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</si>
  <si>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</si>
  <si>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</si>
  <si>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</si>
  <si>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</si>
  <si>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</si>
  <si>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</si>
  <si>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</si>
  <si>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</si>
  <si>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</si>
  <si>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</si>
  <si>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</si>
  <si>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</si>
  <si>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</si>
  <si>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</si>
  <si>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</si>
  <si>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</si>
  <si>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</si>
  <si>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</si>
  <si>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</si>
  <si>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</si>
  <si>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</si>
  <si>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</si>
  <si>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</si>
  <si>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</si>
  <si>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</si>
  <si>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</si>
  <si>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</si>
  <si>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</si>
  <si>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</si>
  <si>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</si>
  <si>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</si>
  <si>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</si>
  <si>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</si>
  <si>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</si>
  <si>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</si>
  <si>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</si>
  <si>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</si>
  <si>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</si>
  <si>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</si>
  <si>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</si>
  <si>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</si>
  <si>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</si>
  <si>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</si>
  <si>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</si>
  <si>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</si>
  <si>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</si>
  <si>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</si>
  <si>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</si>
  <si>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</si>
  <si>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</si>
  <si>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</si>
  <si>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</si>
  <si>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</si>
  <si>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</si>
  <si>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</si>
  <si>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</si>
  <si>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</si>
  <si>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</si>
  <si>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</si>
  <si>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</si>
  <si>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</si>
  <si>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</si>
  <si>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</si>
  <si>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</si>
  <si>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</si>
  <si>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</si>
  <si>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</si>
  <si>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</si>
  <si>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</si>
  <si>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</si>
  <si>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</si>
  <si>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</si>
  <si>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</si>
  <si>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</si>
  <si>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</si>
  <si>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</si>
  <si>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</si>
  <si>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</si>
  <si>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</si>
  <si>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</si>
  <si>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</si>
  <si>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</si>
  <si>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</si>
  <si>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</si>
  <si>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</si>
  <si>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</si>
  <si>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</si>
  <si>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</si>
  <si>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</si>
  <si>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</si>
  <si>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</si>
  <si>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</si>
  <si>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</si>
  <si>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</si>
  <si>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</si>
  <si>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</si>
  <si>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</si>
  <si>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</si>
  <si>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</si>
  <si>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</si>
  <si>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</si>
  <si>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</si>
  <si>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</si>
  <si>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</si>
  <si>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</si>
  <si>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</si>
  <si>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</si>
  <si>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</si>
  <si>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</si>
  <si>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</si>
  <si>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</si>
  <si>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</si>
  <si>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</si>
  <si>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</si>
  <si>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</si>
  <si>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</si>
  <si>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</si>
  <si>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</si>
  <si>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</si>
  <si>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</si>
  <si>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</si>
  <si>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</si>
  <si>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</si>
  <si>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</si>
  <si>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</si>
  <si>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</si>
  <si>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</si>
  <si>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</si>
  <si>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</si>
  <si>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</si>
  <si>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</si>
  <si>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</si>
  <si>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</si>
  <si>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</si>
  <si>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</si>
  <si>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</si>
  <si>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</si>
  <si>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</si>
  <si>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</si>
  <si>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</si>
  <si>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</si>
  <si>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</si>
  <si>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</si>
  <si>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</si>
  <si>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</si>
  <si>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</si>
  <si>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</si>
  <si>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</si>
  <si>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</si>
  <si>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</si>
  <si>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</si>
  <si>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</si>
  <si>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</si>
  <si>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</si>
  <si>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</si>
  <si>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</si>
  <si>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</si>
  <si>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</si>
  <si>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</si>
  <si>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</si>
  <si>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</si>
  <si>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</si>
  <si>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</si>
  <si>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</si>
  <si>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</si>
  <si>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</si>
  <si>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</si>
  <si>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</si>
  <si>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</si>
  <si>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</si>
  <si>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</si>
  <si>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</si>
  <si>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</si>
  <si>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</si>
  <si>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</si>
  <si>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</si>
  <si>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</si>
  <si>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</si>
  <si>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</si>
  <si>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</si>
  <si>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</si>
  <si>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</si>
  <si>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(LifeMap standard, not a forecast).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</si>
  <si>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</si>
  <si>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</si>
  <si>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</si>
  <si>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</si>
  <si>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</si>
  <si>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</si>
  <si>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</si>
  <si>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</si>
  <si>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</si>
  <si>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</si>
  <si>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</si>
  <si>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</si>
  <si>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</si>
  <si>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</si>
  <si>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</si>
  <si>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</si>
  <si>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</si>
  <si>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</si>
  <si>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</si>
  <si>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</si>
  <si>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</si>
  <si>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</si>
  <si>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</si>
  <si>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</si>
  <si>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</si>
  <si>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</si>
  <si>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</si>
  <si>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</si>
  <si>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</si>
  <si>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</si>
  <si>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</si>
  <si>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</si>
  <si>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</si>
  <si>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</si>
  <si>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</si>
  <si>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</si>
  <si>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</si>
  <si>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</si>
  <si>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</si>
  <si>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</si>
  <si>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</si>
  <si>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</si>
  <si>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</si>
  <si>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</si>
  <si>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</si>
  <si>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</si>
  <si>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</si>
  <si>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</si>
  <si>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</si>
  <si>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</si>
  <si>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</si>
  <si>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</si>
  <si>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</si>
  <si>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</si>
  <si>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</si>
  <si>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</si>
  <si>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</si>
  <si>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</si>
  <si>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</si>
  <si>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</si>
  <si>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</si>
  <si>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</si>
  <si>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</si>
  <si>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</si>
  <si>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</si>
  <si>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</si>
  <si>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</si>
  <si>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</si>
  <si>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</si>
  <si>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</si>
  <si>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</si>
  <si>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</si>
  <si>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</si>
  <si>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</si>
  <si>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</si>
  <si>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</si>
  <si>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</si>
  <si>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</si>
  <si>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</si>
  <si>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</si>
  <si>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</si>
  <si>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</si>
  <si>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</si>
  <si>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</si>
  <si>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</si>
  <si>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</si>
  <si>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</si>
  <si>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</si>
  <si>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</si>
  <si>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</si>
  <si>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</si>
  <si>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</si>
  <si>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</si>
  <si>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</si>
  <si>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</si>
  <si>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</si>
  <si>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</si>
  <si>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</si>
  <si>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</si>
  <si>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</si>
  <si>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</si>
  <si>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</si>
  <si>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</si>
  <si>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</si>
  <si>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</si>
  <si>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</si>
  <si>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</si>
  <si>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</si>
  <si>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</si>
  <si>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</si>
  <si>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</si>
  <si>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</si>
  <si>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</si>
  <si>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</si>
  <si>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</si>
  <si>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</si>
  <si>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</si>
  <si>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</si>
  <si>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</si>
  <si>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</si>
  <si>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</si>
  <si>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</si>
  <si>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</si>
  <si>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</si>
  <si>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</si>
  <si>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</si>
  <si>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</si>
  <si>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</si>
  <si>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</si>
  <si>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</si>
  <si>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</si>
  <si>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</si>
  <si>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</si>
  <si>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</si>
  <si>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</si>
  <si>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</si>
  <si>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</si>
  <si>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</si>
  <si>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</si>
  <si>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</si>
  <si>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</si>
  <si>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</si>
  <si>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</si>
  <si>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</si>
  <si>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</si>
  <si>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</si>
  <si>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</si>
  <si>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</si>
  <si>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</si>
  <si>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</si>
  <si>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</si>
  <si>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</si>
  <si>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</si>
  <si>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</si>
  <si>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</si>
  <si>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</si>
  <si>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</si>
  <si>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</si>
  <si>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</si>
  <si>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</si>
  <si>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</si>
  <si>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</si>
  <si>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</si>
  <si>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</si>
  <si>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</si>
  <si>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</si>
  <si>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</si>
  <si>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</si>
  <si>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</si>
  <si>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</si>
  <si>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</si>
  <si>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</si>
  <si>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</si>
  <si>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</si>
  <si>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</si>
  <si>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</si>
  <si>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</si>
  <si>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</si>
  <si>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</si>
  <si>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</si>
  <si>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</si>
  <si>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</si>
  <si>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</si>
  <si>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</si>
  <si>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</si>
  <si>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</si>
  <si>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</si>
  <si>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</si>
  <si>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</si>
  <si>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</si>
  <si>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</si>
  <si>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</si>
  <si>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</si>
  <si>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</si>
  <si>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</si>
  <si>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</si>
  <si>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</si>
  <si>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</si>
  <si>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</si>
  <si>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</si>
  <si>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</si>
  <si>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</si>
  <si>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</si>
  <si>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</si>
  <si>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</si>
  <si>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</si>
  <si>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</si>
  <si>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</si>
  <si>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</si>
  <si>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</si>
  <si>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</si>
  <si>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</si>
  <si>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</si>
  <si>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</si>
  <si>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</si>
  <si>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</si>
  <si>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</si>
  <si>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</si>
  <si>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</si>
  <si>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</si>
  <si>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</si>
  <si>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</si>
  <si>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</si>
  <si>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</si>
  <si>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</si>
  <si>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</si>
  <si>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</si>
  <si>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</si>
  <si>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</si>
  <si>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</si>
  <si>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</si>
  <si>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</si>
  <si>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</si>
  <si>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</si>
  <si>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</si>
  <si>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</si>
  <si>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</si>
  <si>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</si>
  <si>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</si>
  <si>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</si>
  <si>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</si>
  <si>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</si>
  <si>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</si>
  <si>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</si>
  <si>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</si>
  <si>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</si>
  <si>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</si>
  <si>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</si>
  <si>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</si>
  <si>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</si>
  <si>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</si>
  <si>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</si>
  <si>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</si>
  <si>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</si>
  <si>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</si>
  <si>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</si>
  <si>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</si>
  <si>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</si>
  <si>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</si>
  <si>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</si>
  <si>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</si>
  <si>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</si>
  <si>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</si>
  <si>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</si>
  <si>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</si>
  <si>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</si>
  <si>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</si>
  <si>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</si>
  <si>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</si>
  <si>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</si>
  <si>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</si>
  <si>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</si>
  <si>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</si>
  <si>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</si>
  <si>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</si>
  <si>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</si>
  <si>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</si>
  <si>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</si>
  <si>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</si>
  <si>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</si>
  <si>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</si>
  <si>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</si>
  <si>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</si>
  <si>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</si>
  <si>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</si>
  <si>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</si>
  <si>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</si>
  <si>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</si>
  <si>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</si>
  <si>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</si>
  <si>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</si>
  <si>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</si>
  <si>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</si>
  <si>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</si>
  <si>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</si>
  <si>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</si>
  <si>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</si>
  <si>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</si>
  <si>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</si>
  <si>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</si>
  <si>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</si>
  <si>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</si>
  <si>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</si>
  <si>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</si>
  <si>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</si>
  <si>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</si>
  <si>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</si>
  <si>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</si>
  <si>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</si>
  <si>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</si>
  <si>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</si>
  <si>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</si>
  <si>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</si>
  <si>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</si>
  <si>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</si>
  <si>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</si>
  <si>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</si>
  <si>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</si>
  <si>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</si>
  <si>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</si>
  <si>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</si>
  <si>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</si>
  <si>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</si>
  <si>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</si>
  <si>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</si>
  <si>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</si>
  <si>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</si>
  <si>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</si>
  <si>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</si>
  <si>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</si>
  <si>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</si>
  <si>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</si>
  <si>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</si>
  <si>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</si>
  <si>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</si>
  <si>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</si>
  <si>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</si>
  <si>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</si>
  <si>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</si>
  <si>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</si>
  <si>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</si>
  <si>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</si>
  <si>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</si>
  <si>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</si>
  <si>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</si>
  <si>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</si>
  <si>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</si>
  <si>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</si>
  <si>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</si>
  <si>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</si>
  <si>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</si>
  <si>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</si>
  <si>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</si>
  <si>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</si>
  <si>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</si>
  <si>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</si>
  <si>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</si>
  <si>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</si>
  <si>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</si>
  <si>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</si>
  <si>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</si>
  <si>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</si>
  <si>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</si>
  <si>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</si>
  <si>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</si>
  <si>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</si>
  <si>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</si>
  <si>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</si>
  <si>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</si>
  <si>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</si>
  <si>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</si>
  <si>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</si>
  <si>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</si>
  <si>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</si>
  <si>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</si>
  <si>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</si>
  <si>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</si>
  <si>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</si>
  <si>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</si>
  <si>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</si>
  <si>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</si>
  <si>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</si>
  <si>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</si>
  <si>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</si>
  <si>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</si>
  <si>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</si>
  <si>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</si>
  <si>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</si>
  <si>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</si>
  <si>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</si>
  <si>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</si>
  <si>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</si>
  <si>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</si>
  <si>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</si>
  <si>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</si>
  <si>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</si>
  <si>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</si>
  <si>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</si>
  <si>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</si>
  <si>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</si>
  <si>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</si>
  <si>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</si>
  <si>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</si>
  <si>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</si>
  <si>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</si>
  <si>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</si>
  <si>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</si>
  <si>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</si>
  <si>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</si>
  <si>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</si>
  <si>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</si>
  <si>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</si>
  <si>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</si>
  <si>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</si>
  <si>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</si>
  <si>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</si>
  <si>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</si>
  <si>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</si>
  <si>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</si>
  <si>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</si>
  <si>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</si>
  <si>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</si>
  <si>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</si>
  <si>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</si>
  <si>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</si>
  <si>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</si>
  <si>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</si>
  <si>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</si>
  <si>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</si>
  <si>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</si>
  <si>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</si>
  <si>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</si>
  <si>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</si>
  <si>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</si>
  <si>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</si>
  <si>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</si>
  <si>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</si>
  <si>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</si>
  <si>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</si>
  <si>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</si>
  <si>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</si>
  <si>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</si>
  <si>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</si>
  <si>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</si>
  <si>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</si>
  <si>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</si>
  <si>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</si>
  <si>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</si>
  <si>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</si>
  <si>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</si>
  <si>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</si>
  <si>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</si>
  <si>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</si>
  <si>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</si>
  <si>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</si>
  <si>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</si>
  <si>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</si>
  <si>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</si>
  <si>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</si>
  <si>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</si>
  <si>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</si>
  <si>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</si>
  <si>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</si>
  <si>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</si>
  <si>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</si>
  <si>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</si>
  <si>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</si>
  <si>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</si>
  <si>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</si>
  <si>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</si>
  <si>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</si>
  <si>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</si>
  <si>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</si>
  <si>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</si>
  <si>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</si>
  <si>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</si>
  <si>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</si>
  <si>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</si>
  <si>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</si>
  <si>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</si>
  <si>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</si>
  <si>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</si>
  <si>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</si>
  <si>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</si>
  <si>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</si>
  <si>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</si>
  <si>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</si>
  <si>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</si>
  <si>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</si>
  <si>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</si>
  <si>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</si>
  <si>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</si>
  <si>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</si>
  <si>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</si>
  <si>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</si>
  <si>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</si>
  <si>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</si>
  <si>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</si>
  <si>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</si>
  <si>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</si>
  <si>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</si>
  <si>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</si>
  <si>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</si>
  <si>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</si>
  <si>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</si>
  <si>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</si>
  <si>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</si>
  <si>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</si>
  <si>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</si>
  <si>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</si>
  <si>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</si>
  <si>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</si>
  <si>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</si>
  <si>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</si>
  <si>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</si>
  <si>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</si>
  <si>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</si>
  <si>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</si>
  <si>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</si>
  <si>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</si>
  <si>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</si>
  <si>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</si>
  <si>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</si>
  <si>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</si>
  <si>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</si>
  <si>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</si>
  <si>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</si>
  <si>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</si>
  <si>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</si>
  <si>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</si>
  <si>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</si>
  <si>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</si>
  <si>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</si>
  <si>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</si>
  <si>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</si>
  <si>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</si>
  <si>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</si>
  <si>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</si>
  <si>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</si>
  <si>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</si>
  <si>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</si>
  <si>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</si>
  <si>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</si>
  <si>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</si>
  <si>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</si>
  <si>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</si>
  <si>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</si>
  <si>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</si>
  <si>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</si>
  <si>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</si>
  <si>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</si>
  <si>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</si>
  <si>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</si>
  <si>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</si>
  <si>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</si>
  <si>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</si>
  <si>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</si>
  <si>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</si>
  <si>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</si>
  <si>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</si>
  <si>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</si>
  <si>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</si>
  <si>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</si>
  <si>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</si>
  <si>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</si>
  <si>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</si>
  <si>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</si>
  <si>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</si>
  <si>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</si>
  <si>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</si>
  <si>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</si>
  <si>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</si>
  <si>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</si>
  <si>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</si>
  <si>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</si>
  <si>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</si>
  <si>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</si>
  <si>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</si>
  <si>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</si>
  <si>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</si>
  <si>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</si>
  <si>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</si>
  <si>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</si>
  <si>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</si>
  <si>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</si>
  <si>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</si>
  <si>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</si>
  <si>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</si>
  <si>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</si>
  <si>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</si>
  <si>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</si>
  <si>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</si>
  <si>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</si>
  <si>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</si>
  <si>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</si>
  <si>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</si>
  <si>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</si>
  <si>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</si>
  <si>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</si>
  <si>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</si>
  <si>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</si>
  <si>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</si>
  <si>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</si>
  <si>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</si>
  <si>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</si>
  <si>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</si>
  <si>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</si>
  <si>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</si>
  <si>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</si>
  <si>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</si>
  <si>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</si>
  <si>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</si>
  <si>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</si>
  <si>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</si>
  <si>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</si>
  <si>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</si>
  <si>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</si>
  <si>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</si>
  <si>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</si>
  <si>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</si>
  <si>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</si>
  <si>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</si>
  <si>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</si>
  <si>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</si>
  <si>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</si>
  <si>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</si>
  <si>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</si>
  <si>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</si>
  <si>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standard in Settings: Set_ownShare)  [Pens_Own_Total]</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</si>
  <si>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</si>
  <si>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</si>
  <si>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</si>
  <si>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</si>
  <si>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</si>
  <si>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</si>
  <si>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</si>
  <si>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</si>
  <si>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</si>
  <si>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</si>
  <si>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</si>
  <si>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</si>
  <si>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</si>
  <si>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</si>
  <si>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</si>
  <si>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</si>
  <si>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</si>
  <si>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</si>
  <si>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</si>
  <si>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</si>
  <si>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</si>
  <si>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</si>
  <si>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</si>
  <si>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</si>
  <si>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</si>
  <si>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</si>
  <si>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</si>
  <si>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</si>
  <si>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Plan</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</si>
  <si>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</si>
  <si>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</si>
  <si>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</si>
  <si>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</si>
  <si>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</si>
  <si>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</si>
  <si>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</si>
  <si>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</si>
  <si>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</si>
  <si>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</si>
  <si>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</si>
  <si>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</si>
  <si>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</si>
  <si>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</si>
  <si>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</si>
  <si>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</si>
  <si>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</si>
  <si>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</si>
  <si>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</si>
  <si>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</si>
  <si>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</si>
  <si>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</si>
  <si>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</si>
  <si>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</si>
  <si>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</si>
  <si>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</si>
  <si>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</si>
  <si>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</si>
  <si>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</si>
  <si>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</si>
  <si>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</si>
  <si>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</si>
  <si>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</si>
  <si>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</si>
  <si>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</si>
  <si>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</si>
  <si>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</si>
  <si>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a typical mixed fund after about 1% charges and 38% exit tax</t>
  </si>
  <si>
    <t xml:space="preserve">deliverables/irish-rules-and-rates-audit.md §3 B3</t>
  </si>
  <si>
    <t xml:space="preserve">Growth is never guaranteed.</t>
  </si>
  <si>
    <t xml:space="preserve">Investments grow before fees and tax (a year; growth and fees tools)  [Set_invGross]</t>
  </si>
  <si>
    <t xml:space="preserve">LifeMap standard, not a forecast</t>
  </si>
  <si>
    <t xml:space="preserve">Used by the lump sum, regular investing, fees and real return tools. Growth is never guaranteed.</t>
  </si>
  <si>
    <t xml:space="preserve">Pension grows while you work (a year, after charges)  [Set_pen]</t>
  </si>
  <si>
    <t xml:space="preserve">a typical pension fund after charges</t>
  </si>
  <si>
    <t xml:space="preserve">deliverables/irish-rules-and-rates-audit.md §3 B5</t>
  </si>
  <si>
    <t xml:space="preserve">Pension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</si>
  <si>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</si>
  <si>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</si>
  <si>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</si>
  <si>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Home</t>
  </si>
  <si>
    <t xml:space="preserve">Rent vs buy: rent rises (a year)  [Set_rentRise]</t>
  </si>
  <si>
    <t xml:space="preserve">a long-run planning figure</t>
  </si>
  <si>
    <t xml:space="preserve">deliverables/irish-rules-and-rates-audit.md §3 B25</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</si>
  <si>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</si>
  <si>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</si>
  <si>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</si>
  <si>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</si>
  <si>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House prices can fall as well as rise.</t>
  </si>
  <si>
    <t xml:space="preserve">Rent vs buy: upkeep a year (share of home value)  [Set_upkeep]</t>
  </si>
  <si>
    <t xml:space="preserve">repairs, insurance and maintenance</t>
  </si>
  <si>
    <t xml:space="preserve">Retirement</t>
  </si>
  <si>
    <t xml:space="preserve">Share of pension contributions you pay yourself  [Set_ownShare]</t>
  </si>
  <si>
    <t xml:space="preserve">a common 5% + 5% split with your employer; 100% if self-employed</t>
  </si>
  <si>
    <t xml:space="preserve">deliverables/irish-rules-and-rates-audit.md §3 B1</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</si>
  <si>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</si>
  <si>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</si>
  <si>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</si>
  <si>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</si>
  <si>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deliverables/irish-rules-and-rates-audit.md §3 B17</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</si>
  <si>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</si>
  <si>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</si>
  <si>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</si>
  <si>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</si>
  <si>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deliverables/irish-rules-and-rates-audit.md §3 B18</t>
  </si>
  <si>
    <t xml:space="preserve">Tax-free lump sum to take (share of pension; law limit 25%)  [Set_lumpSum]</t>
  </si>
  <si>
    <t xml:space="preserve">most people take the full tax-free amount</t>
  </si>
  <si>
    <t xml:space="preserve">deliverables/irish-rules-and-rates-audit.md §3 B19</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</si>
  <si>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</si>
  <si>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</si>
  <si>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</si>
  <si>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</si>
  <si>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deliverables/irish-rules-and-rates-audit.md §3 B16</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</si>
  <si>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</si>
  <si>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</si>
  <si>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</si>
  <si>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</si>
  <si>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Money for goals sooner than this is kept as cash (years)  [Set_cashYears]</t>
  </si>
  <si>
    <t xml:space="preserve">money needed within 5 years is usually kept as cash</t>
  </si>
  <si>
    <t xml:space="preserve">deliverables/irish-rules-and-rates-audit.md §3 B21</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</si>
  <si>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</si>
  <si>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</si>
  <si>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</si>
  <si>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</si>
  <si>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Emergency fund &amp; saving · pct</t>
  </si>
  <si>
    <t xml:space="preserve">Share of spare money saved, at most  [Set_saveShare]</t>
  </si>
  <si>
    <t xml:space="preserve">half of your spare money</t>
  </si>
  <si>
    <t xml:space="preserve">deliverables/irish-rules-and-rates-audit.md §3 B22</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</si>
  <si>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</si>
  <si>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</si>
  <si>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</si>
  <si>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</si>
  <si>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</si>
  <si>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</si>
  <si>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</si>
  <si>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deliverables/irish-rules-and-rates-audit.md §3 B24</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</si>
  <si>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</si>
  <si>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</si>
  <si>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</si>
  <si>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</si>
  <si>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</si>
  <si>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</si>
  <si>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</si>
  <si>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deliverables/irish-rules-and-rates-audit.md §3 B26</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</si>
  <si>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</si>
  <si>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</si>
  <si>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</si>
  <si>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</si>
  <si>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</si>
  <si>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</si>
  <si>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deliverables/irish-rules-and-rates-audit.md §3 B27</t>
  </si>
  <si>
    <t xml:space="preserve">Choices</t>
  </si>
  <si>
    <t xml:space="preserve">Tax bands in future  [Set_bands]</t>
  </si>
  <si>
    <t xml:space="preserve">prices</t>
  </si>
  <si>
    <t xml:space="preserve">Budgets have broadly kept pace over time</t>
  </si>
  <si>
    <t xml:space="preserve">deliverables/irish-rules-and-rates-audit.md §3 B10</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</si>
  <si>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</si>
  <si>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</si>
  <si>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</si>
  <si>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</si>
  <si>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deliverables/irish-rules-and-rates-audit.md §3 B11</t>
  </si>
  <si>
    <t xml:space="preserve">The State Pension is set each Budget.</t>
  </si>
  <si>
    <t xml:space="preserve">How you draw your pension  [Set_drawRule]</t>
  </si>
  <si>
    <t xml:space="preserve">spread</t>
  </si>
  <si>
    <t xml:space="preserve">spread over your plan, at least the legal minimum</t>
  </si>
  <si>
    <t xml:space="preserve">deliverables/irish-rules-and-rates-audit.md §3 B20</t>
  </si>
  <si>
    <t xml:space="preserve">Drawdown tools: withdrawals taken at the  [Set_ddTiming]</t>
  </si>
  <si>
    <t xml:space="preserve">start</t>
  </si>
  <si>
    <t xml:space="preserve">the prudent choice: the money has less time to grow before you take it</t>
  </si>
  <si>
    <t xml:space="preserve">Lump sum tool: years you might wait before investing  [Set_waitYears]</t>
  </si>
  <si>
    <t xml:space="preserve">an illustration of the cost of waiting</t>
  </si>
  <si>
    <t xml:space="preserve">deliverables/LifeGoals-Calculators.xlsx C10</t>
  </si>
  <si>
    <t xml:space="preserve">Choices · yrs</t>
  </si>
  <si>
    <t xml:space="preserve">Risk and return tool: investment style (1 Cautious, 2 Balanced, 3 Growth)  [Set_style]</t>
  </si>
  <si>
    <t xml:space="preserve">Balanced; an adviser checks your attitude to risk</t>
  </si>
  <si>
    <t xml:space="preserve">deliverables/LifeGoals-Calculators.xlsx C20</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</si>
  <si>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</si>
  <si>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</si>
  <si>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</si>
  <si>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</si>
  <si>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</si>
  <si>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</si>
  <si>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</si>
  <si>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</si>
  <si>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</si>
  <si>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</si>
  <si>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</si>
  <si>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</si>
  <si>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</si>
  <si>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</si>
  <si>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</si>
  <si>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</si>
  <si>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</si>
  <si>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</si>
  <si>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</si>
  <si>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</si>
  <si>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</si>
  <si>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</si>
  <si>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</si>
  <si>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</si>
  <si>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</si>
  <si>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</si>
  <si>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</si>
  <si>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</si>
  <si>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</si>
  <si>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</si>
  <si>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</si>
  <si>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</si>
  <si>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</si>
  <si>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</si>
  <si>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</si>
  <si>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</si>
  <si>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</si>
  <si>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</si>
  <si>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</si>
  <si>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</si>
  <si>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</si>
  <si>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</si>
  <si>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</si>
  <si>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</si>
  <si>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</si>
  <si>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</si>
  <si>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</si>
  <si>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</si>
  <si>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</si>
  <si>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</si>
  <si>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</si>
  <si>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</si>
  <si>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</si>
  <si>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</si>
  <si>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</si>
  <si>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</si>
  <si>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</si>
  <si>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</si>
  <si>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</si>
  <si>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</si>
  <si>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</si>
  <si>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</si>
  <si>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</si>
  <si>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</si>
  <si>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</si>
  <si>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</si>
  <si>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</si>
  <si>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</si>
  <si>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</si>
  <si>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</si>
  <si>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</si>
  <si>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</si>
  <si>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</si>
  <si>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</si>
  <si>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</si>
  <si>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</si>
  <si>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</si>
  <si>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</si>
  <si>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</si>
  <si>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</si>
  <si>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</si>
  <si>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</si>
  <si>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</si>
  <si>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</si>
  <si>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</si>
  <si>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</si>
  <si>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</si>
  <si>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</si>
  <si>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</si>
  <si>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</si>
  <si>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</si>
  <si>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</si>
  <si>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</si>
  <si>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</si>
  <si>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</si>
  <si>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</si>
  <si>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</si>
  <si>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</si>
  <si>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</si>
  <si>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</si>
  <si>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</si>
  <si>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</si>
  <si>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</si>
  <si>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</si>
  <si>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</si>
  <si>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</si>
  <si>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</si>
  <si>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</si>
  <si>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</si>
  <si>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</si>
  <si>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</si>
  <si>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</si>
  <si>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</si>
  <si>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</si>
  <si>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</si>
  <si>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</si>
  <si>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</si>
  <si>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</si>
  <si>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</si>
  <si>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</si>
  <si>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</si>
  <si>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</si>
  <si>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</si>
  <si>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</si>
  <si>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</si>
  <si>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</si>
  <si>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</si>
  <si>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</si>
  <si>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</si>
  <si>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</si>
  <si>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</si>
  <si>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</si>
  <si>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</si>
  <si>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</si>
  <si>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</si>
  <si>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</si>
  <si>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</si>
  <si>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</si>
  <si>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</si>
  <si>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</si>
  <si>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</si>
  <si>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</si>
  <si>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</si>
  <si>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</si>
  <si>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</si>
  <si>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</si>
  <si>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</si>
  <si>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</si>
  <si>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</si>
  <si>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</si>
  <si>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</si>
  <si>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</si>
  <si>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</si>
  <si>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</si>
  <si>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</si>
  <si>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</si>
  <si>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</si>
  <si>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</si>
  <si>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</si>
  <si>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</si>
  <si>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</si>
  <si>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</si>
  <si>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</si>
  <si>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</si>
  <si>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</si>
  <si>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</si>
  <si>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</si>
  <si>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</si>
  <si>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</si>
  <si>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</si>
  <si>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</si>
  <si>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</si>
  <si>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</si>
  <si>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</si>
  <si>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</si>
  <si>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</si>
  <si>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</si>
  <si>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</si>
  <si>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</si>
  <si>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</si>
  <si>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</si>
  <si>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</si>
  <si>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</si>
  <si>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</si>
  <si>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</si>
  <si>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</si>
  <si>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</si>
  <si>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</si>
  <si>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</si>
  <si>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</si>
  <si>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</si>
  <si>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</si>
  <si>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</si>
  <si>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</si>
  <si>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</si>
  <si>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</si>
  <si>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</si>
  <si>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</si>
  <si>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</si>
  <si>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</si>
  <si>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</si>
  <si>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</si>
  <si>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</si>
  <si>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</si>
  <si>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</si>
  <si>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</si>
  <si>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</si>
  <si>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</si>
  <si>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</si>
  <si>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</si>
  <si>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</si>
  <si>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</si>
  <si>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</si>
  <si>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</si>
  <si>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</si>
  <si>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</si>
  <si>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</si>
  <si>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</si>
  <si>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</si>
  <si>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</si>
  <si>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</si>
  <si>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</si>
  <si>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</si>
  <si>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</si>
  <si>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</si>
  <si>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</si>
  <si>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</si>
  <si>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</si>
  <si>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</si>
  <si>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</si>
  <si>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</si>
  <si>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</si>
  <si>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</si>
  <si>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</si>
  <si>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</si>
  <si>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</si>
  <si>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</si>
  <si>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</si>
  <si>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</si>
  <si>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</si>
  <si>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</si>
  <si>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</si>
  <si>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</si>
  <si>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</si>
  <si>
    <t xml:space="preserve">Market rates, partner name and every other standard now live on the Settings sheet (journey spec §19, option C). Names (Suggest_*, Partner_Name, Card_APR_Cap) are unchanged.</t>
  </si>
</sst>
</file>

<file path=xl/styles.xml><?xml version="1.0" encoding="utf-8"?>
<styleSheet xmlns="http://schemas.openxmlformats.org/spreadsheetml/2006/main">
  <numFmts count="13">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
    <numFmt numFmtId="176" formatCode="0.000"/>
  </numFmts>
  <fonts count="48">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4"/>
      <name val="Cambria"/>
      <family val="0"/>
      <charset val="1"/>
    </font>
    <font>
      <b val="true"/>
      <sz val="11"/>
      <name val="Cambria"/>
      <family val="0"/>
      <charset val="1"/>
    </font>
    <font>
      <b val="true"/>
      <sz val="11"/>
      <color rgb="FFFFFFFF"/>
      <name val="Cambria"/>
      <family val="0"/>
      <charset val="1"/>
    </font>
    <font>
      <sz val="11"/>
      <color rgb="FF0000FF"/>
      <name val="Cambria"/>
      <family val="0"/>
      <charset val="1"/>
    </font>
    <font>
      <sz val="11"/>
      <color rgb="FF7F7F7F"/>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23" fillId="2" borderId="1" xfId="0" applyFont="true" applyBorder="tru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5" fontId="26"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3" fillId="2" borderId="1" xfId="0" applyFont="true" applyBorder="true" applyAlignment="true" applyProtection="true">
      <alignment horizontal="right" vertical="bottom" textRotation="0" wrapText="false" indent="0" shrinkToFit="false"/>
      <protection locked="true" hidden="false"/>
    </xf>
    <xf numFmtId="164" fontId="26"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2" borderId="1" xfId="0" applyFont="true" applyBorder="true" applyAlignment="true" applyProtection="true">
      <alignment horizontal="right"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6" fontId="26"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3" fillId="2" borderId="1" xfId="0" applyFont="true" applyBorder="true" applyAlignment="true" applyProtection="true">
      <alignment horizontal="right" vertical="bottom" textRotation="0" wrapText="false" indent="0" shrinkToFit="false"/>
      <protection locked="true" hidden="false"/>
    </xf>
    <xf numFmtId="167" fontId="26"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28" fillId="5"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top" textRotation="0" wrapText="true" indent="0" shrinkToFit="false"/>
      <protection locked="true" hidden="false"/>
    </xf>
    <xf numFmtId="165" fontId="23" fillId="6" borderId="1" xfId="0" applyFont="true" applyBorder="true" applyAlignment="true" applyProtection="true">
      <alignment horizontal="right" vertical="bottom" textRotation="0" wrapText="false" indent="0" shrinkToFit="false"/>
      <protection locked="true" hidden="false"/>
    </xf>
    <xf numFmtId="166" fontId="23" fillId="6" borderId="1" xfId="0" applyFont="true" applyBorder="true" applyAlignment="true" applyProtection="true">
      <alignment horizontal="right" vertical="bottom" textRotation="0" wrapText="false" indent="0" shrinkToFit="false"/>
      <protection locked="true" hidden="false"/>
    </xf>
    <xf numFmtId="167" fontId="23" fillId="6" borderId="1" xfId="0" applyFont="true" applyBorder="true" applyAlignment="true" applyProtection="true">
      <alignment horizontal="right" vertical="bottom" textRotation="0" wrapText="false" indent="0" shrinkToFit="false"/>
      <protection locked="true" hidden="false"/>
    </xf>
    <xf numFmtId="169" fontId="23"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28"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28" fillId="5" borderId="1" xfId="0" applyFont="true" applyBorder="true" applyAlignment="true" applyProtection="true">
      <alignment horizontal="right" vertical="bottom" textRotation="0" wrapText="false" indent="0" shrinkToFit="true"/>
      <protection locked="true" hidden="false"/>
    </xf>
    <xf numFmtId="164" fontId="23" fillId="6" borderId="1" xfId="0" applyFont="true" applyBorder="true" applyAlignment="true" applyProtection="true">
      <alignment horizontal="righ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3" fillId="7" borderId="0" xfId="0" applyFont="true" applyBorder="true" applyAlignment="true" applyProtection="true">
      <alignment horizontal="general" vertical="bottom" textRotation="0" wrapText="false" indent="0" shrinkToFit="false"/>
      <protection locked="true" hidden="false"/>
    </xf>
    <xf numFmtId="172" fontId="23" fillId="2" borderId="1" xfId="0" applyFont="true" applyBorder="true" applyAlignment="true" applyProtection="true">
      <alignment horizontal="right" vertical="bottom" textRotation="0" wrapText="false" indent="0" shrinkToFit="false"/>
      <protection locked="true" hidden="false"/>
    </xf>
    <xf numFmtId="172" fontId="26"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28" fillId="5" borderId="1" xfId="0" applyFont="true" applyBorder="true" applyAlignment="true" applyProtection="true">
      <alignment horizontal="right" vertical="bottom" textRotation="0" wrapText="false" indent="0" shrinkToFit="true"/>
      <protection locked="true" hidden="false"/>
    </xf>
    <xf numFmtId="174" fontId="23" fillId="2" borderId="1" xfId="0" applyFont="true" applyBorder="true" applyAlignment="true" applyProtection="true">
      <alignment horizontal="right" vertical="bottom" textRotation="0" wrapText="false" indent="0" shrinkToFit="false"/>
      <protection locked="true" hidden="false"/>
    </xf>
    <xf numFmtId="174" fontId="26"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35"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true" indent="0" shrinkToFit="false"/>
      <protection locked="true" hidden="false"/>
    </xf>
    <xf numFmtId="164" fontId="43" fillId="2" borderId="0" xfId="0" applyFont="true" applyBorder="false" applyAlignment="true" applyProtection="true">
      <alignment horizontal="general" vertical="bottom" textRotation="0" wrapText="false" indent="0" shrinkToFit="false"/>
      <protection locked="true" hidden="false"/>
    </xf>
    <xf numFmtId="175" fontId="43" fillId="2" borderId="0" xfId="0" applyFont="true" applyBorder="false" applyAlignment="true" applyProtection="true">
      <alignment horizontal="general" vertical="bottom" textRotation="0" wrapText="false" indent="0" shrinkToFit="false"/>
      <protection locked="true" hidden="false"/>
    </xf>
    <xf numFmtId="173" fontId="43" fillId="2" borderId="0" xfId="0" applyFont="true" applyBorder="false" applyAlignment="true" applyProtection="true">
      <alignment horizontal="general" vertical="bottom" textRotation="0" wrapText="false" indent="0" shrinkToFit="false"/>
      <protection locked="true" hidden="false"/>
    </xf>
    <xf numFmtId="175" fontId="0" fillId="5" borderId="0" xfId="0" applyFont="false" applyBorder="false" applyAlignment="true" applyProtection="true">
      <alignment horizontal="general" vertical="bottom" textRotation="0" wrapText="false" indent="0" shrinkToFit="false"/>
      <protection locked="true" hidden="false"/>
    </xf>
    <xf numFmtId="173" fontId="0" fillId="5" borderId="0" xfId="0" applyFont="false" applyBorder="false" applyAlignment="true" applyProtection="true">
      <alignment horizontal="general" vertical="bottom" textRotation="0" wrapText="false" indent="0" shrinkToFit="false"/>
      <protection locked="true" hidden="false"/>
    </xf>
    <xf numFmtId="175" fontId="0" fillId="9" borderId="0" xfId="0" applyFont="fals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bottom" textRotation="0" wrapText="false" indent="0" shrinkToFit="false"/>
      <protection locked="true" hidden="false"/>
    </xf>
    <xf numFmtId="164" fontId="42" fillId="8" borderId="0" xfId="0" applyFont="true" applyBorder="false" applyAlignment="true" applyProtection="true">
      <alignment horizontal="general" vertical="top" textRotation="0" wrapText="true" indent="0" shrinkToFit="false"/>
      <protection locked="true" hidden="false"/>
    </xf>
    <xf numFmtId="164" fontId="41" fillId="9" borderId="0" xfId="0" applyFont="true" applyBorder="false" applyAlignment="true" applyProtection="true">
      <alignment horizontal="general" vertical="bottom" textRotation="0" wrapText="false" indent="0" shrinkToFit="false"/>
      <protection locked="true" hidden="false"/>
    </xf>
    <xf numFmtId="164" fontId="44" fillId="0" borderId="0" xfId="0" applyFont="true" applyBorder="false" applyAlignment="true" applyProtection="true">
      <alignment horizontal="general" vertical="bottom" textRotation="0" wrapText="false" indent="0" shrinkToFit="false"/>
      <protection locked="true" hidden="false"/>
    </xf>
    <xf numFmtId="172" fontId="43" fillId="2" borderId="0" xfId="0" applyFont="true" applyBorder="false" applyAlignment="true" applyProtection="true">
      <alignment horizontal="general" vertical="bottom" textRotation="0" wrapText="false" indent="0" shrinkToFit="false"/>
      <protection locked="true" hidden="false"/>
    </xf>
    <xf numFmtId="173" fontId="44" fillId="0" borderId="0" xfId="0" applyFont="true" applyBorder="false" applyAlignment="true" applyProtection="true">
      <alignment horizontal="general" vertical="bottom" textRotation="0" wrapText="false" indent="0" shrinkToFit="false"/>
      <protection locked="true" hidden="false"/>
    </xf>
    <xf numFmtId="175" fontId="44" fillId="0" borderId="0" xfId="0" applyFont="true" applyBorder="false" applyAlignment="true" applyProtection="true">
      <alignment horizontal="general" vertical="bottom" textRotation="0" wrapText="false" indent="0" shrinkToFit="false"/>
      <protection locked="true" hidden="false"/>
    </xf>
    <xf numFmtId="173" fontId="0" fillId="0" borderId="0" xfId="0" applyFont="false" applyBorder="false" applyAlignment="true" applyProtection="true">
      <alignment horizontal="general" vertical="bottom" textRotation="0" wrapText="false" indent="0" shrinkToFit="false"/>
      <protection locked="true" hidden="false"/>
    </xf>
    <xf numFmtId="172" fontId="0" fillId="0" borderId="0" xfId="0" applyFont="false" applyBorder="false" applyAlignment="true" applyProtection="true">
      <alignment horizontal="general" vertical="bottom"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6"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6" fillId="0" borderId="0" xfId="0" applyFont="true" applyBorder="false" applyAlignment="true" applyProtection="true">
      <alignment horizontal="general" vertical="bottom" textRotation="0" wrapText="false" indent="0" shrinkToFit="false"/>
      <protection locked="true" hidden="false"/>
    </xf>
    <xf numFmtId="164" fontId="47"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6" fontId="12" fillId="4"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fals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4" customFormat="false" ht="15" hidden="false" customHeight="true" outlineLevel="0" collapsed="false">
      <c r="B24" s="7" t="s">
        <v>24</v>
      </c>
    </row>
    <row r="25" customFormat="false" ht="15" hidden="false" customHeight="true" outlineLevel="0" collapsed="false">
      <c r="B25" s="8" t="s">
        <v>25</v>
      </c>
      <c r="C25" s="8"/>
      <c r="D25" s="8"/>
      <c r="E25" s="8"/>
    </row>
    <row r="27" customFormat="false" ht="15" hidden="false" customHeight="true" outlineLevel="0" collapsed="false">
      <c r="B27" s="7" t="s">
        <v>26</v>
      </c>
    </row>
    <row r="28" customFormat="false" ht="15" hidden="false" customHeight="true" outlineLevel="0" collapsed="false">
      <c r="B28" s="8" t="s">
        <v>27</v>
      </c>
      <c r="C28" s="8"/>
      <c r="D28" s="8"/>
      <c r="E28" s="8"/>
    </row>
    <row r="30" customFormat="false" ht="15" hidden="false" customHeight="true" outlineLevel="0" collapsed="false">
      <c r="B30" s="7" t="s">
        <v>28</v>
      </c>
    </row>
    <row r="31" customFormat="false" ht="15" hidden="false" customHeight="true" outlineLevel="0" collapsed="false">
      <c r="B31" s="9" t="s">
        <v>29</v>
      </c>
      <c r="C31" s="9" t="s">
        <v>30</v>
      </c>
      <c r="D31" s="9" t="s">
        <v>31</v>
      </c>
      <c r="E31" s="9" t="s">
        <v>32</v>
      </c>
    </row>
    <row r="32" customFormat="false" ht="15" hidden="false" customHeight="true" outlineLevel="0" collapsed="false">
      <c r="B32" s="10" t="s">
        <v>33</v>
      </c>
      <c r="C32" s="11" t="str">
        <f aca="false">HYPERLINK("#'C01 Borrowing'!A1","How much could I borrow?")</f>
        <v>How much could I borrow?</v>
      </c>
      <c r="D32" s="12" t="s">
        <v>34</v>
      </c>
      <c r="E32" s="12" t="s">
        <v>35</v>
      </c>
    </row>
    <row r="33" customFormat="false" ht="15" hidden="false" customHeight="true" outlineLevel="0" collapsed="false">
      <c r="B33" s="10" t="s">
        <v>36</v>
      </c>
      <c r="C33" s="11" t="str">
        <f aca="false">HYPERLINK("#'C02 Mortgage repayment'!A1","Monthly mortgage repayment")</f>
        <v>Monthly mortgage repayment</v>
      </c>
      <c r="D33" s="12" t="s">
        <v>37</v>
      </c>
      <c r="E33" s="12" t="s">
        <v>35</v>
      </c>
    </row>
    <row r="34" customFormat="false" ht="15" hidden="false" customHeight="true" outlineLevel="0" collapsed="false">
      <c r="B34" s="10" t="s">
        <v>38</v>
      </c>
      <c r="C34" s="11" t="str">
        <f aca="false">HYPERLINK("#'C03 Deposit'!A1","Deposit calculator")</f>
        <v>Deposit calculator</v>
      </c>
      <c r="D34" s="12" t="s">
        <v>39</v>
      </c>
      <c r="E34" s="12" t="s">
        <v>35</v>
      </c>
    </row>
    <row r="35" customFormat="false" ht="15" hidden="false" customHeight="true" outlineLevel="0" collapsed="false">
      <c r="B35" s="10" t="s">
        <v>40</v>
      </c>
      <c r="C35" s="11" t="str">
        <f aca="false">HYPERLINK("#'C04 Mortgage overpayment'!A1","Mortgage overpayment")</f>
        <v>Mortgage overpayment</v>
      </c>
      <c r="D35" s="12" t="s">
        <v>41</v>
      </c>
      <c r="E35" s="12" t="s">
        <v>35</v>
      </c>
    </row>
    <row r="36" customFormat="false" ht="15" hidden="false" customHeight="true" outlineLevel="0" collapsed="false">
      <c r="B36" s="10" t="s">
        <v>42</v>
      </c>
      <c r="C36" s="11" t="str">
        <f aca="false">HYPERLINK("#'C05 Interest rate impact'!A1","Interest-rate impact")</f>
        <v>Interest-rate impact</v>
      </c>
      <c r="D36" s="12" t="s">
        <v>43</v>
      </c>
      <c r="E36" s="12" t="s">
        <v>35</v>
      </c>
    </row>
    <row r="37" customFormat="false" ht="15" hidden="false" customHeight="true" outlineLevel="0" collapsed="false">
      <c r="B37" s="10" t="s">
        <v>44</v>
      </c>
      <c r="C37" s="11" t="str">
        <f aca="false">HYPERLINK("#'C06 Term comparison'!A1","Mortgage term comparison")</f>
        <v>Mortgage term comparison</v>
      </c>
      <c r="D37" s="12" t="s">
        <v>45</v>
      </c>
      <c r="E37" s="12" t="s">
        <v>35</v>
      </c>
    </row>
    <row r="38" customFormat="false" ht="15" hidden="false" customHeight="true" outlineLevel="0" collapsed="false">
      <c r="B38" s="10" t="s">
        <v>46</v>
      </c>
      <c r="C38" s="11" t="str">
        <f aca="false">HYPERLINK("#'C07 Rent vs buy'!A1","Rent vs buy")</f>
        <v>Rent vs buy</v>
      </c>
      <c r="D38" s="12" t="s">
        <v>47</v>
      </c>
      <c r="E38" s="12" t="s">
        <v>35</v>
      </c>
    </row>
    <row r="39" customFormat="false" ht="15" hidden="false" customHeight="true" outlineLevel="0" collapsed="false">
      <c r="B39" s="10" t="s">
        <v>48</v>
      </c>
      <c r="C39" s="11" t="str">
        <f aca="false">HYPERLINK("#'C08 Goal planner'!A1","Goal planner")</f>
        <v>Goal planner</v>
      </c>
      <c r="D39" s="12" t="s">
        <v>49</v>
      </c>
      <c r="E39" s="12" t="s">
        <v>50</v>
      </c>
    </row>
    <row r="40" customFormat="false" ht="15" hidden="false" customHeight="true" outlineLevel="0" collapsed="false">
      <c r="B40" s="10" t="s">
        <v>51</v>
      </c>
      <c r="C40" s="11" t="str">
        <f aca="false">HYPERLINK("#'C09 Compound growth'!A1","Compound growth")</f>
        <v>Compound growth</v>
      </c>
      <c r="D40" s="12" t="s">
        <v>52</v>
      </c>
      <c r="E40" s="12" t="s">
        <v>50</v>
      </c>
    </row>
    <row r="41" customFormat="false" ht="15" hidden="false" customHeight="true" outlineLevel="0" collapsed="false">
      <c r="B41" s="10" t="s">
        <v>53</v>
      </c>
      <c r="C41" s="11" t="str">
        <f aca="false">HYPERLINK("#'C10 Lump sum growth'!A1","Lump-sum growth")</f>
        <v>Lump-sum growth</v>
      </c>
      <c r="D41" s="12" t="s">
        <v>54</v>
      </c>
      <c r="E41" s="12" t="s">
        <v>55</v>
      </c>
    </row>
    <row r="42" customFormat="false" ht="15" hidden="false" customHeight="true" outlineLevel="0" collapsed="false">
      <c r="B42" s="10" t="s">
        <v>56</v>
      </c>
      <c r="C42" s="11" t="str">
        <f aca="false">HYPERLINK("#'C11 Emergency fund'!A1","Emergency fund")</f>
        <v>Emergency fund</v>
      </c>
      <c r="D42" s="12" t="s">
        <v>57</v>
      </c>
      <c r="E42" s="12" t="s">
        <v>50</v>
      </c>
    </row>
    <row r="43" customFormat="false" ht="15" hidden="false" customHeight="true" outlineLevel="0" collapsed="false">
      <c r="B43" s="10" t="s">
        <v>58</v>
      </c>
      <c r="C43" s="11" t="str">
        <f aca="false">HYPERLINK("#'C12 Retirement projection'!A1","Retirement projection")</f>
        <v>Retirement projection</v>
      </c>
      <c r="D43" s="12" t="s">
        <v>59</v>
      </c>
      <c r="E43" s="12" t="s">
        <v>60</v>
      </c>
    </row>
    <row r="44" customFormat="false" ht="15" hidden="false" customHeight="true" outlineLevel="0" collapsed="false">
      <c r="B44" s="10" t="s">
        <v>61</v>
      </c>
      <c r="C44" s="11" t="str">
        <f aca="false">HYPERLINK("#'C13 Contribution impact'!A1","Contribution impact")</f>
        <v>Contribution impact</v>
      </c>
      <c r="D44" s="12" t="s">
        <v>62</v>
      </c>
      <c r="E44" s="12" t="s">
        <v>60</v>
      </c>
    </row>
    <row r="45" customFormat="false" ht="15" hidden="false" customHeight="true" outlineLevel="0" collapsed="false">
      <c r="B45" s="10" t="s">
        <v>63</v>
      </c>
      <c r="C45" s="11" t="str">
        <f aca="false">HYPERLINK("#'C14 AVC impact'!A1","AVC impact")</f>
        <v>AVC impact</v>
      </c>
      <c r="D45" s="12" t="s">
        <v>64</v>
      </c>
      <c r="E45" s="12" t="s">
        <v>60</v>
      </c>
    </row>
    <row r="46" customFormat="false" ht="15" hidden="false" customHeight="true" outlineLevel="0" collapsed="false">
      <c r="B46" s="10" t="s">
        <v>65</v>
      </c>
      <c r="C46" s="11" t="str">
        <f aca="false">HYPERLINK("#'C15 Will my money last'!A1","Will my money last?")</f>
        <v>Will my money last?</v>
      </c>
      <c r="D46" s="12" t="s">
        <v>66</v>
      </c>
      <c r="E46" s="12" t="s">
        <v>60</v>
      </c>
    </row>
    <row r="47" customFormat="false" ht="15" hidden="false" customHeight="true" outlineLevel="0" collapsed="false">
      <c r="B47" s="10" t="s">
        <v>67</v>
      </c>
      <c r="C47" s="11" t="str">
        <f aca="false">HYPERLINK("#'C16 Drawdown scenarios'!A1","Retirement drawdown scenarios")</f>
        <v>Retirement drawdown scenarios</v>
      </c>
      <c r="D47" s="12" t="s">
        <v>68</v>
      </c>
      <c r="E47" s="12" t="s">
        <v>60</v>
      </c>
    </row>
    <row r="48" customFormat="false" ht="15" hidden="false" customHeight="true" outlineLevel="0" collapsed="false">
      <c r="B48" s="10" t="s">
        <v>69</v>
      </c>
      <c r="C48" s="11" t="str">
        <f aca="false">HYPERLINK("#'C17 Inflation adjusted return'!A1","Inflation-adjusted return")</f>
        <v>Inflation-adjusted return</v>
      </c>
      <c r="D48" s="12" t="s">
        <v>70</v>
      </c>
      <c r="E48" s="12" t="s">
        <v>55</v>
      </c>
    </row>
    <row r="49" customFormat="false" ht="15" hidden="false" customHeight="true" outlineLevel="0" collapsed="false">
      <c r="B49" s="10" t="s">
        <v>71</v>
      </c>
      <c r="C49" s="11" t="str">
        <f aca="false">HYPERLINK("#'C18 Regular investing'!A1","Regular investing")</f>
        <v>Regular investing</v>
      </c>
      <c r="D49" s="12" t="s">
        <v>72</v>
      </c>
      <c r="E49" s="12" t="s">
        <v>55</v>
      </c>
    </row>
    <row r="50" customFormat="false" ht="15" hidden="false" customHeight="true" outlineLevel="0" collapsed="false">
      <c r="B50" s="10" t="s">
        <v>73</v>
      </c>
      <c r="C50" s="11" t="str">
        <f aca="false">HYPERLINK("#'C19 Fees impact'!A1","Fees impact")</f>
        <v>Fees impact</v>
      </c>
      <c r="D50" s="12" t="s">
        <v>74</v>
      </c>
      <c r="E50" s="12" t="s">
        <v>55</v>
      </c>
    </row>
    <row r="51" customFormat="false" ht="15" hidden="false" customHeight="true" outlineLevel="0" collapsed="false">
      <c r="B51" s="10" t="s">
        <v>75</v>
      </c>
      <c r="C51" s="11" t="str">
        <f aca="false">HYPERLINK("#'C20 Risk and return'!A1","Risk &amp; return simulator")</f>
        <v>Risk &amp; return simulator</v>
      </c>
      <c r="D51" s="12" t="s">
        <v>76</v>
      </c>
      <c r="E51" s="12" t="s">
        <v>55</v>
      </c>
    </row>
    <row r="52" customFormat="false" ht="15" hidden="false" customHeight="true" outlineLevel="0" collapsed="false">
      <c r="B52" s="10" t="s">
        <v>77</v>
      </c>
      <c r="C52" s="11" t="str">
        <f aca="false">HYPERLINK("#'C21 Life cover'!A1","Life cover estimator")</f>
        <v>Life cover estimator</v>
      </c>
      <c r="D52" s="12" t="s">
        <v>78</v>
      </c>
      <c r="E52" s="12" t="s">
        <v>79</v>
      </c>
    </row>
    <row r="53" customFormat="false" ht="15" hidden="false" customHeight="true" outlineLevel="0" collapsed="false">
      <c r="B53" s="10" t="s">
        <v>80</v>
      </c>
      <c r="C53" s="11" t="str">
        <f aca="false">HYPERLINK("#'C22 Income protection gap'!A1","Income protection gap")</f>
        <v>Income protection gap</v>
      </c>
      <c r="D53" s="12" t="s">
        <v>81</v>
      </c>
      <c r="E53" s="12" t="s">
        <v>79</v>
      </c>
    </row>
    <row r="54" customFormat="false" ht="15" hidden="false" customHeight="true" outlineLevel="0" collapsed="false">
      <c r="B54" s="10" t="s">
        <v>82</v>
      </c>
      <c r="C54" s="11" t="str">
        <f aca="false">HYPERLINK("#'C23 Mortgage protection'!A1","Mortgage protection")</f>
        <v>Mortgage protection</v>
      </c>
      <c r="D54" s="12" t="s">
        <v>83</v>
      </c>
      <c r="E54" s="12" t="s">
        <v>79</v>
      </c>
    </row>
    <row r="55" customFormat="false" ht="15" hidden="false" customHeight="true" outlineLevel="0" collapsed="false">
      <c r="B55" s="10" t="s">
        <v>84</v>
      </c>
      <c r="C55" s="11" t="str">
        <f aca="false">HYPERLINK("#'C24 Net worth'!A1","Net worth")</f>
        <v>Net worth</v>
      </c>
      <c r="D55" s="12" t="s">
        <v>85</v>
      </c>
      <c r="E55" s="12" t="s">
        <v>86</v>
      </c>
    </row>
    <row r="56" customFormat="false" ht="15" hidden="false" customHeight="true" outlineLevel="0" collapsed="false">
      <c r="B56" s="10" t="s">
        <v>87</v>
      </c>
      <c r="C56" s="11" t="str">
        <f aca="false">HYPERLINK("#'C25 Monthly surplus'!A1","Monthly surplus")</f>
        <v>Monthly surplus</v>
      </c>
      <c r="D56" s="12" t="s">
        <v>88</v>
      </c>
      <c r="E56" s="12" t="s">
        <v>86</v>
      </c>
    </row>
    <row r="57" customFormat="false" ht="15" hidden="false" customHeight="true" outlineLevel="0" collapsed="false">
      <c r="B57" s="10" t="s">
        <v>89</v>
      </c>
      <c r="C57" s="11" t="str">
        <f aca="false">HYPERLINK("#'C26 Budget 50 30 20'!A1","Budget (50/30/20)")</f>
        <v>Budget (50/30/20)</v>
      </c>
      <c r="D57" s="12" t="s">
        <v>90</v>
      </c>
      <c r="E57" s="12" t="s">
        <v>86</v>
      </c>
    </row>
    <row r="58" customFormat="false" ht="15" hidden="false" customHeight="true" outlineLevel="0" collapsed="false">
      <c r="B58" s="10" t="s">
        <v>91</v>
      </c>
      <c r="C58" s="11" t="str">
        <f aca="false">HYPERLINK("#'C27 Debt repayment'!A1","Debt repayment")</f>
        <v>Debt repayment</v>
      </c>
      <c r="D58" s="12" t="s">
        <v>92</v>
      </c>
      <c r="E58" s="12" t="s">
        <v>86</v>
      </c>
    </row>
    <row r="59" customFormat="false" ht="15" hidden="false" customHeight="true" outlineLevel="0" collapsed="false">
      <c r="B59" s="10" t="s">
        <v>93</v>
      </c>
      <c r="C59" s="11" t="str">
        <f aca="false">HYPERLINK("#'C28 Loan repayment'!A1","Loan repayment")</f>
        <v>Loan repayment</v>
      </c>
      <c r="D59" s="12" t="s">
        <v>94</v>
      </c>
      <c r="E59" s="12" t="s">
        <v>86</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95</v>
      </c>
      <c r="C64" s="14"/>
      <c r="D64" s="14"/>
      <c r="E64" s="14"/>
      <c r="F64" s="14"/>
      <c r="G64" s="14"/>
      <c r="H64" s="14"/>
    </row>
    <row r="65" customFormat="false" ht="42" hidden="false" customHeight="true" outlineLevel="0" collapsed="false">
      <c r="B65" s="15" t="s">
        <v>96</v>
      </c>
      <c r="C65" s="15"/>
      <c r="D65" s="15"/>
      <c r="E65" s="15"/>
      <c r="F65" s="15"/>
      <c r="G65" s="15"/>
    </row>
    <row r="66" customFormat="false" ht="15" hidden="false" customHeight="true" outlineLevel="0" collapsed="false">
      <c r="B66" s="16" t="s">
        <v>97</v>
      </c>
      <c r="C66" s="16" t="s">
        <v>98</v>
      </c>
      <c r="D66" s="16" t="s">
        <v>99</v>
      </c>
    </row>
    <row r="67" customFormat="false" ht="25.5" hidden="false" customHeight="true" outlineLevel="0" collapsed="false">
      <c r="B67" s="17" t="s">
        <v>100</v>
      </c>
      <c r="C67" s="17" t="s">
        <v>101</v>
      </c>
      <c r="D67" s="17" t="s">
        <v>102</v>
      </c>
    </row>
    <row r="68" customFormat="false" ht="25.5" hidden="false" customHeight="true" outlineLevel="0" collapsed="false">
      <c r="B68" s="17" t="s">
        <v>103</v>
      </c>
      <c r="C68" s="17" t="s">
        <v>104</v>
      </c>
      <c r="D68" s="17" t="s">
        <v>105</v>
      </c>
    </row>
    <row r="69" customFormat="false" ht="25.5" hidden="false" customHeight="true" outlineLevel="0" collapsed="false">
      <c r="B69" s="17" t="s">
        <v>106</v>
      </c>
      <c r="C69" s="17" t="s">
        <v>107</v>
      </c>
      <c r="D69" s="17" t="s">
        <v>105</v>
      </c>
    </row>
    <row r="70" customFormat="false" ht="25.5" hidden="false" customHeight="true" outlineLevel="0" collapsed="false">
      <c r="B70" s="17" t="s">
        <v>108</v>
      </c>
      <c r="C70" s="17" t="s">
        <v>109</v>
      </c>
      <c r="D70" s="17" t="s">
        <v>110</v>
      </c>
    </row>
    <row r="71" customFormat="false" ht="25.5" hidden="false" customHeight="true" outlineLevel="0" collapsed="false">
      <c r="B71" s="17" t="s">
        <v>111</v>
      </c>
      <c r="C71" s="17" t="s">
        <v>112</v>
      </c>
      <c r="D71" s="17" t="s">
        <v>113</v>
      </c>
    </row>
    <row r="72" customFormat="false" ht="25.5" hidden="false" customHeight="true" outlineLevel="0" collapsed="false">
      <c r="B72" s="17" t="s">
        <v>114</v>
      </c>
      <c r="C72" s="17" t="s">
        <v>115</v>
      </c>
      <c r="D72" s="17" t="s">
        <v>116</v>
      </c>
    </row>
    <row r="73" customFormat="false" ht="25.5" hidden="false" customHeight="true" outlineLevel="0" collapsed="false">
      <c r="B73" s="17" t="s">
        <v>117</v>
      </c>
      <c r="C73" s="17" t="s">
        <v>118</v>
      </c>
      <c r="D73" s="17" t="s">
        <v>119</v>
      </c>
    </row>
    <row r="74" customFormat="false" ht="25.5" hidden="false" customHeight="true" outlineLevel="0" collapsed="false">
      <c r="B74" s="17" t="s">
        <v>120</v>
      </c>
      <c r="C74" s="17" t="s">
        <v>121</v>
      </c>
      <c r="D74" s="17" t="s">
        <v>122</v>
      </c>
    </row>
    <row r="75" customFormat="false" ht="25.5" hidden="false" customHeight="true" outlineLevel="0" collapsed="false">
      <c r="B75" s="17" t="s">
        <v>123</v>
      </c>
      <c r="C75" s="17" t="s">
        <v>124</v>
      </c>
      <c r="D75" s="17" t="s">
        <v>105</v>
      </c>
    </row>
    <row r="76" customFormat="false" ht="25.5" hidden="false" customHeight="true" outlineLevel="0" collapsed="false">
      <c r="B76" s="17" t="s">
        <v>125</v>
      </c>
      <c r="C76" s="17" t="s">
        <v>126</v>
      </c>
      <c r="D76" s="17" t="s">
        <v>105</v>
      </c>
    </row>
    <row r="77" customFormat="false" ht="25.5" hidden="false" customHeight="true" outlineLevel="0" collapsed="false">
      <c r="B77" s="17" t="s">
        <v>127</v>
      </c>
      <c r="C77" s="17" t="s">
        <v>128</v>
      </c>
      <c r="D77" s="17" t="s">
        <v>129</v>
      </c>
    </row>
    <row r="79" customFormat="false" ht="15" hidden="false" customHeight="true" outlineLevel="0" collapsed="false">
      <c r="B79" s="7" t="s">
        <v>130</v>
      </c>
    </row>
    <row r="80" customFormat="false" ht="15" hidden="false" customHeight="true" outlineLevel="0" collapsed="false">
      <c r="B80" s="9" t="s">
        <v>131</v>
      </c>
      <c r="C80" s="9" t="s">
        <v>132</v>
      </c>
      <c r="D80" s="9" t="s">
        <v>133</v>
      </c>
    </row>
    <row r="81" customFormat="false" ht="12.75" hidden="false" customHeight="true" outlineLevel="0" collapsed="false">
      <c r="B81" s="12" t="s">
        <v>58</v>
      </c>
      <c r="C81" s="18" t="s">
        <v>134</v>
      </c>
      <c r="D81" s="19" t="s">
        <v>135</v>
      </c>
      <c r="E81" s="19"/>
    </row>
    <row r="82" customFormat="false" ht="12.75" hidden="false" customHeight="true" outlineLevel="0" collapsed="false">
      <c r="B82" s="12" t="s">
        <v>58</v>
      </c>
      <c r="C82" s="18" t="s">
        <v>134</v>
      </c>
      <c r="D82" s="19" t="s">
        <v>136</v>
      </c>
      <c r="E82" s="19"/>
    </row>
    <row r="83" customFormat="false" ht="12.75" hidden="false" customHeight="true" outlineLevel="0" collapsed="false">
      <c r="B83" s="12" t="s">
        <v>36</v>
      </c>
      <c r="C83" s="18" t="s">
        <v>134</v>
      </c>
      <c r="D83" s="19" t="s">
        <v>137</v>
      </c>
      <c r="E83" s="19"/>
    </row>
    <row r="84" customFormat="false" ht="25.5" hidden="false" customHeight="true" outlineLevel="0" collapsed="false">
      <c r="B84" s="12" t="s">
        <v>40</v>
      </c>
      <c r="C84" s="18" t="s">
        <v>134</v>
      </c>
      <c r="D84" s="19" t="s">
        <v>138</v>
      </c>
      <c r="E84" s="19"/>
    </row>
    <row r="85" customFormat="false" ht="12.75" hidden="false" customHeight="true" outlineLevel="0" collapsed="false">
      <c r="B85" s="12" t="s">
        <v>40</v>
      </c>
      <c r="C85" s="18" t="s">
        <v>134</v>
      </c>
      <c r="D85" s="19" t="s">
        <v>139</v>
      </c>
      <c r="E85" s="19"/>
    </row>
    <row r="86" customFormat="false" ht="25.5" hidden="false" customHeight="true" outlineLevel="0" collapsed="false">
      <c r="B86" s="12" t="s">
        <v>140</v>
      </c>
      <c r="C86" s="18" t="s">
        <v>134</v>
      </c>
      <c r="D86" s="19" t="s">
        <v>141</v>
      </c>
      <c r="E86" s="19"/>
    </row>
    <row r="87" customFormat="false" ht="12.75" hidden="false" customHeight="true" outlineLevel="0" collapsed="false">
      <c r="B87" s="12" t="s">
        <v>142</v>
      </c>
      <c r="C87" s="18" t="s">
        <v>134</v>
      </c>
      <c r="D87" s="19" t="s">
        <v>143</v>
      </c>
      <c r="E87" s="19"/>
    </row>
    <row r="88" customFormat="false" ht="12.75" hidden="false" customHeight="true" outlineLevel="0" collapsed="false">
      <c r="B88" s="12" t="s">
        <v>144</v>
      </c>
      <c r="C88" s="18" t="s">
        <v>134</v>
      </c>
      <c r="D88" s="19" t="s">
        <v>145</v>
      </c>
      <c r="E88" s="19"/>
    </row>
    <row r="89" customFormat="false" ht="12.75" hidden="false" customHeight="true" outlineLevel="0" collapsed="false">
      <c r="B89" s="12" t="s">
        <v>71</v>
      </c>
      <c r="C89" s="18" t="s">
        <v>134</v>
      </c>
      <c r="D89" s="19" t="s">
        <v>146</v>
      </c>
      <c r="E89" s="19"/>
    </row>
    <row r="90" customFormat="false" ht="12.75" hidden="false" customHeight="true" outlineLevel="0" collapsed="false">
      <c r="B90" s="12" t="s">
        <v>75</v>
      </c>
      <c r="C90" s="18" t="s">
        <v>134</v>
      </c>
      <c r="D90" s="19" t="s">
        <v>147</v>
      </c>
      <c r="E90" s="19"/>
    </row>
    <row r="91" customFormat="false" ht="12.75" hidden="false" customHeight="true" outlineLevel="0" collapsed="false">
      <c r="B91" s="12" t="s">
        <v>77</v>
      </c>
      <c r="C91" s="18" t="s">
        <v>134</v>
      </c>
      <c r="D91" s="19" t="s">
        <v>148</v>
      </c>
      <c r="E91" s="19"/>
    </row>
    <row r="92" customFormat="false" ht="12.75" hidden="false" customHeight="true" outlineLevel="0" collapsed="false">
      <c r="B92" s="12" t="s">
        <v>91</v>
      </c>
      <c r="C92" s="18" t="s">
        <v>134</v>
      </c>
      <c r="D92" s="19" t="s">
        <v>149</v>
      </c>
      <c r="E92" s="19"/>
    </row>
    <row r="93" customFormat="false" ht="12.75" hidden="false" customHeight="true" outlineLevel="0" collapsed="false">
      <c r="B93" s="12" t="s">
        <v>150</v>
      </c>
      <c r="C93" s="12" t="s">
        <v>151</v>
      </c>
      <c r="D93" s="19" t="s">
        <v>152</v>
      </c>
      <c r="E93" s="19"/>
    </row>
    <row r="94" customFormat="false" ht="12.75" hidden="false" customHeight="true" outlineLevel="0" collapsed="false">
      <c r="B94" s="12" t="s">
        <v>46</v>
      </c>
      <c r="C94" s="12" t="s">
        <v>151</v>
      </c>
      <c r="D94" s="19" t="s">
        <v>153</v>
      </c>
      <c r="E94" s="19"/>
    </row>
    <row r="95" customFormat="false" ht="12.75" hidden="false" customHeight="true" outlineLevel="0" collapsed="false">
      <c r="B95" s="12" t="s">
        <v>154</v>
      </c>
      <c r="C95" s="12" t="s">
        <v>151</v>
      </c>
      <c r="D95" s="19" t="s">
        <v>155</v>
      </c>
      <c r="E95" s="19"/>
    </row>
    <row r="96" customFormat="false" ht="12.75" hidden="false" customHeight="true" outlineLevel="0" collapsed="false">
      <c r="B96" s="12" t="s">
        <v>156</v>
      </c>
      <c r="C96" s="12" t="s">
        <v>151</v>
      </c>
      <c r="D96" s="19" t="s">
        <v>157</v>
      </c>
      <c r="E96" s="19"/>
    </row>
    <row r="97" customFormat="false" ht="25.5" hidden="false" customHeight="true" outlineLevel="0" collapsed="false">
      <c r="B97" s="12" t="s">
        <v>77</v>
      </c>
      <c r="C97" s="12" t="s">
        <v>151</v>
      </c>
      <c r="D97" s="19" t="s">
        <v>158</v>
      </c>
      <c r="E97" s="19"/>
    </row>
    <row r="98" customFormat="false" ht="25.5" hidden="false" customHeight="true" outlineLevel="0" collapsed="false">
      <c r="B98" s="12" t="s">
        <v>80</v>
      </c>
      <c r="C98" s="12" t="s">
        <v>151</v>
      </c>
      <c r="D98" s="19" t="s">
        <v>159</v>
      </c>
      <c r="E98" s="19"/>
    </row>
    <row r="99" customFormat="false" ht="12.75" hidden="false" customHeight="true" outlineLevel="0" collapsed="false">
      <c r="B99" s="12" t="s">
        <v>82</v>
      </c>
      <c r="C99" s="12" t="s">
        <v>151</v>
      </c>
      <c r="D99" s="19" t="s">
        <v>160</v>
      </c>
      <c r="E99" s="19"/>
    </row>
    <row r="100" customFormat="false" ht="12.75" hidden="false" customHeight="true" outlineLevel="0" collapsed="false">
      <c r="B100" s="12" t="s">
        <v>161</v>
      </c>
      <c r="C100" s="12" t="s">
        <v>151</v>
      </c>
      <c r="D100" s="19" t="s">
        <v>162</v>
      </c>
      <c r="E100" s="19"/>
    </row>
    <row r="101" customFormat="false" ht="12.75" hidden="false" customHeight="true" outlineLevel="0" collapsed="false">
      <c r="B101" s="12" t="s">
        <v>163</v>
      </c>
      <c r="C101" s="12" t="s">
        <v>151</v>
      </c>
      <c r="D101" s="19" t="s">
        <v>164</v>
      </c>
      <c r="E101" s="19"/>
    </row>
    <row r="102" customFormat="false" ht="12.75" hidden="false" customHeight="true" outlineLevel="0" collapsed="false">
      <c r="B102" s="12" t="s">
        <v>33</v>
      </c>
      <c r="C102" s="12" t="s">
        <v>165</v>
      </c>
      <c r="D102" s="19" t="s">
        <v>166</v>
      </c>
      <c r="E102" s="19"/>
    </row>
    <row r="103" customFormat="false" ht="12.75" hidden="false" customHeight="true" outlineLevel="0" collapsed="false">
      <c r="B103" s="12" t="s">
        <v>167</v>
      </c>
      <c r="C103" s="12" t="s">
        <v>165</v>
      </c>
      <c r="D103" s="19" t="s">
        <v>168</v>
      </c>
      <c r="E103" s="19"/>
    </row>
    <row r="104" customFormat="false" ht="12.75" hidden="false" customHeight="true" outlineLevel="0" collapsed="false">
      <c r="B104" s="12" t="s">
        <v>40</v>
      </c>
      <c r="C104" s="12" t="s">
        <v>165</v>
      </c>
      <c r="D104" s="19" t="s">
        <v>169</v>
      </c>
      <c r="E104" s="19"/>
    </row>
    <row r="105" customFormat="false" ht="12.75" hidden="false" customHeight="true" outlineLevel="0" collapsed="false">
      <c r="B105" s="12" t="s">
        <v>44</v>
      </c>
      <c r="C105" s="12" t="s">
        <v>165</v>
      </c>
      <c r="D105" s="19" t="s">
        <v>170</v>
      </c>
      <c r="E105" s="19"/>
    </row>
    <row r="106" customFormat="false" ht="12.75" hidden="false" customHeight="true" outlineLevel="0" collapsed="false">
      <c r="B106" s="12" t="s">
        <v>171</v>
      </c>
      <c r="C106" s="12" t="s">
        <v>165</v>
      </c>
      <c r="D106" s="19" t="s">
        <v>172</v>
      </c>
      <c r="E106" s="19"/>
    </row>
    <row r="107" customFormat="false" ht="12.75" hidden="false" customHeight="true" outlineLevel="0" collapsed="false">
      <c r="B107" s="12" t="s">
        <v>144</v>
      </c>
      <c r="C107" s="12" t="s">
        <v>165</v>
      </c>
      <c r="D107" s="19" t="s">
        <v>173</v>
      </c>
      <c r="E107" s="19"/>
    </row>
    <row r="108" customFormat="false" ht="12.75" hidden="false" customHeight="true" outlineLevel="0" collapsed="false">
      <c r="B108" s="12" t="s">
        <v>67</v>
      </c>
      <c r="C108" s="12" t="s">
        <v>165</v>
      </c>
      <c r="D108" s="19" t="s">
        <v>174</v>
      </c>
      <c r="E108" s="19"/>
    </row>
    <row r="109" customFormat="false" ht="12.75" hidden="false" customHeight="true" outlineLevel="0" collapsed="false">
      <c r="B109" s="12" t="s">
        <v>87</v>
      </c>
      <c r="C109" s="12" t="s">
        <v>165</v>
      </c>
      <c r="D109" s="19" t="s">
        <v>175</v>
      </c>
      <c r="E109" s="19"/>
    </row>
    <row r="110" customFormat="false" ht="25.5" hidden="false" customHeight="true" outlineLevel="0" collapsed="false">
      <c r="B110" s="12" t="s">
        <v>176</v>
      </c>
      <c r="C110" s="12" t="s">
        <v>165</v>
      </c>
      <c r="D110" s="19" t="s">
        <v>177</v>
      </c>
      <c r="E110" s="19"/>
    </row>
    <row r="112" customFormat="false" ht="15" hidden="false" customHeight="true" outlineLevel="0" collapsed="false">
      <c r="B112" s="7" t="s">
        <v>178</v>
      </c>
    </row>
    <row r="113" customFormat="false" ht="15" hidden="false" customHeight="true" outlineLevel="0" collapsed="false">
      <c r="B113" s="9" t="s">
        <v>131</v>
      </c>
      <c r="C113" s="9" t="s">
        <v>132</v>
      </c>
      <c r="D113" s="9" t="s">
        <v>133</v>
      </c>
    </row>
    <row r="114" customFormat="false" ht="51.75" hidden="false" customHeight="true" outlineLevel="0" collapsed="false">
      <c r="B114" s="12" t="s">
        <v>179</v>
      </c>
      <c r="C114" s="12" t="s">
        <v>180</v>
      </c>
      <c r="D114" s="19" t="s">
        <v>181</v>
      </c>
      <c r="E114" s="19"/>
    </row>
    <row r="115" customFormat="false" ht="39" hidden="false" customHeight="true" outlineLevel="0" collapsed="false">
      <c r="B115" s="12" t="s">
        <v>182</v>
      </c>
      <c r="C115" s="12" t="s">
        <v>183</v>
      </c>
      <c r="D115" s="19" t="s">
        <v>184</v>
      </c>
      <c r="E115" s="19"/>
    </row>
    <row r="116" customFormat="false" ht="25.5" hidden="false" customHeight="true" outlineLevel="0" collapsed="false">
      <c r="B116" s="12" t="s">
        <v>33</v>
      </c>
      <c r="C116" s="12" t="s">
        <v>151</v>
      </c>
      <c r="D116" s="19" t="s">
        <v>185</v>
      </c>
      <c r="E116" s="19"/>
    </row>
    <row r="117" customFormat="false" ht="12.75" hidden="false" customHeight="true" outlineLevel="0" collapsed="false">
      <c r="B117" s="12" t="s">
        <v>186</v>
      </c>
      <c r="C117" s="12" t="s">
        <v>165</v>
      </c>
      <c r="D117" s="19" t="s">
        <v>187</v>
      </c>
      <c r="E117" s="19"/>
    </row>
    <row r="118" customFormat="false" ht="12.75" hidden="false" customHeight="true" outlineLevel="0" collapsed="false">
      <c r="B118" s="12" t="s">
        <v>36</v>
      </c>
      <c r="C118" s="12" t="s">
        <v>165</v>
      </c>
      <c r="D118" s="19" t="s">
        <v>188</v>
      </c>
      <c r="E118" s="19"/>
    </row>
    <row r="119" customFormat="false" ht="12.75" hidden="false" customHeight="true" outlineLevel="0" collapsed="false">
      <c r="B119" s="12" t="s">
        <v>38</v>
      </c>
      <c r="C119" s="12" t="s">
        <v>151</v>
      </c>
      <c r="D119" s="19" t="s">
        <v>189</v>
      </c>
      <c r="E119" s="19"/>
    </row>
    <row r="120" customFormat="false" ht="12.75" hidden="false" customHeight="true" outlineLevel="0" collapsed="false">
      <c r="B120" s="12" t="s">
        <v>46</v>
      </c>
      <c r="C120" s="12" t="s">
        <v>165</v>
      </c>
      <c r="D120" s="19" t="s">
        <v>190</v>
      </c>
      <c r="E120" s="19"/>
    </row>
    <row r="121" customFormat="false" ht="25.5" hidden="false" customHeight="true" outlineLevel="0" collapsed="false">
      <c r="B121" s="12" t="s">
        <v>191</v>
      </c>
      <c r="C121" s="12" t="s">
        <v>151</v>
      </c>
      <c r="D121" s="19" t="s">
        <v>192</v>
      </c>
      <c r="E121" s="19"/>
    </row>
    <row r="122" customFormat="false" ht="12.75" hidden="false" customHeight="true" outlineLevel="0" collapsed="false">
      <c r="B122" s="12" t="s">
        <v>53</v>
      </c>
      <c r="C122" s="12" t="s">
        <v>165</v>
      </c>
      <c r="D122" s="19" t="s">
        <v>193</v>
      </c>
      <c r="E122" s="19"/>
    </row>
    <row r="123" customFormat="false" ht="12.75" hidden="false" customHeight="true" outlineLevel="0" collapsed="false">
      <c r="B123" s="12" t="s">
        <v>56</v>
      </c>
      <c r="C123" s="12" t="s">
        <v>165</v>
      </c>
      <c r="D123" s="19" t="s">
        <v>194</v>
      </c>
      <c r="E123" s="19"/>
    </row>
    <row r="124" customFormat="false" ht="12.75" hidden="false" customHeight="true" outlineLevel="0" collapsed="false">
      <c r="B124" s="12" t="s">
        <v>58</v>
      </c>
      <c r="C124" s="12" t="s">
        <v>151</v>
      </c>
      <c r="D124" s="19" t="s">
        <v>195</v>
      </c>
      <c r="E124" s="19"/>
    </row>
    <row r="125" customFormat="false" ht="12.75" hidden="false" customHeight="true" outlineLevel="0" collapsed="false">
      <c r="B125" s="12" t="s">
        <v>61</v>
      </c>
      <c r="C125" s="12" t="s">
        <v>151</v>
      </c>
      <c r="D125" s="19" t="s">
        <v>196</v>
      </c>
      <c r="E125" s="19"/>
    </row>
    <row r="126" customFormat="false" ht="12.75" hidden="false" customHeight="true" outlineLevel="0" collapsed="false">
      <c r="B126" s="12" t="s">
        <v>65</v>
      </c>
      <c r="C126" s="12" t="s">
        <v>165</v>
      </c>
      <c r="D126" s="19" t="s">
        <v>197</v>
      </c>
      <c r="E126" s="19"/>
    </row>
    <row r="127" customFormat="false" ht="12.75" hidden="false" customHeight="true" outlineLevel="0" collapsed="false">
      <c r="B127" s="12" t="s">
        <v>75</v>
      </c>
      <c r="C127" s="12" t="s">
        <v>151</v>
      </c>
      <c r="D127" s="19" t="s">
        <v>198</v>
      </c>
      <c r="E127" s="19"/>
    </row>
    <row r="128" customFormat="false" ht="25.5" hidden="false" customHeight="true" outlineLevel="0" collapsed="false">
      <c r="B128" s="12" t="s">
        <v>77</v>
      </c>
      <c r="C128" s="12" t="s">
        <v>165</v>
      </c>
      <c r="D128" s="19" t="s">
        <v>199</v>
      </c>
      <c r="E128" s="19"/>
    </row>
    <row r="129" customFormat="false" ht="25.5" hidden="false" customHeight="true" outlineLevel="0" collapsed="false">
      <c r="B129" s="12" t="s">
        <v>80</v>
      </c>
      <c r="C129" s="12" t="s">
        <v>165</v>
      </c>
      <c r="D129" s="19" t="s">
        <v>200</v>
      </c>
      <c r="E129" s="19"/>
    </row>
    <row r="130" customFormat="false" ht="12.75" hidden="false" customHeight="true" outlineLevel="0" collapsed="false">
      <c r="B130" s="12" t="s">
        <v>82</v>
      </c>
      <c r="C130" s="12" t="s">
        <v>165</v>
      </c>
      <c r="D130" s="19" t="s">
        <v>201</v>
      </c>
      <c r="E130" s="19"/>
    </row>
    <row r="131" customFormat="false" ht="12.75" hidden="false" customHeight="true" outlineLevel="0" collapsed="false">
      <c r="B131" s="12" t="s">
        <v>202</v>
      </c>
      <c r="C131" s="12" t="s">
        <v>165</v>
      </c>
      <c r="D131" s="19" t="s">
        <v>203</v>
      </c>
      <c r="E131" s="19"/>
    </row>
    <row r="132" customFormat="false" ht="64.5" hidden="false" customHeight="true" outlineLevel="0" collapsed="false">
      <c r="B132" s="12" t="s">
        <v>204</v>
      </c>
      <c r="C132" s="12" t="s">
        <v>205</v>
      </c>
      <c r="D132" s="19" t="s">
        <v>206</v>
      </c>
      <c r="E132" s="19"/>
    </row>
    <row r="133" customFormat="false" ht="12.75" hidden="false" customHeight="true" outlineLevel="0" collapsed="false">
      <c r="B133" s="12" t="s">
        <v>207</v>
      </c>
      <c r="C133" s="12" t="s">
        <v>165</v>
      </c>
      <c r="D133" s="19" t="s">
        <v>208</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209</v>
      </c>
      <c r="E1" s="3" t="s">
        <v>210</v>
      </c>
    </row>
    <row r="2" customFormat="false" ht="15" hidden="false" customHeight="true" outlineLevel="0" collapsed="false">
      <c r="B2" s="21" t="s">
        <v>211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212</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217</v>
      </c>
      <c r="C6" s="26"/>
      <c r="D6" s="27" t="s">
        <v>218</v>
      </c>
      <c r="E6" s="28" t="s">
        <v>219</v>
      </c>
      <c r="F6" s="29" t="n">
        <v>60000</v>
      </c>
      <c r="G6" s="30" t="str">
        <f aca="false">IF(ISBLANK(C6),IF(Fill_Example="Yes",F6,""),C6)</f>
        <v/>
      </c>
    </row>
    <row r="7" customFormat="false" ht="21.75" hidden="false" customHeight="true" outlineLevel="0" collapsed="false">
      <c r="B7" s="25" t="s">
        <v>220</v>
      </c>
      <c r="C7" s="26"/>
      <c r="D7" s="27" t="s">
        <v>218</v>
      </c>
      <c r="E7" s="28" t="s">
        <v>221</v>
      </c>
      <c r="F7" s="29" t="n">
        <v>0</v>
      </c>
      <c r="G7" s="30" t="str">
        <f aca="false">IF(ISBLANK(C7),IF(Fill_Example="Yes",F7,""),C7)</f>
        <v/>
      </c>
    </row>
    <row r="8" customFormat="false" ht="21.75" hidden="false" customHeight="true" outlineLevel="0" collapsed="false">
      <c r="B8" s="25" t="s">
        <v>222</v>
      </c>
      <c r="C8" s="26"/>
      <c r="D8" s="27" t="s">
        <v>218</v>
      </c>
      <c r="E8" s="28" t="s">
        <v>223</v>
      </c>
      <c r="F8" s="29" t="n">
        <v>25000</v>
      </c>
      <c r="G8" s="30" t="str">
        <f aca="false">IF(ISBLANK(C8),IF(Fill_Example="Yes",F8,""),C8)</f>
        <v/>
      </c>
    </row>
    <row r="9" customFormat="false" ht="21.75" hidden="false" customHeight="true" outlineLevel="0" collapsed="false">
      <c r="B9" s="25" t="s">
        <v>224</v>
      </c>
      <c r="C9" s="31"/>
      <c r="D9" s="27" t="s">
        <v>225</v>
      </c>
      <c r="E9" s="28" t="s">
        <v>226</v>
      </c>
      <c r="F9" s="32" t="s">
        <v>227</v>
      </c>
      <c r="G9" s="33" t="str">
        <f aca="false">IF(ISBLANK(C9),IF(Fill_Example="Yes",F9,""),C9)</f>
        <v/>
      </c>
    </row>
    <row r="10" customFormat="false" ht="21.75" hidden="false" customHeight="true" outlineLevel="0" collapsed="false">
      <c r="B10" s="25" t="s">
        <v>228</v>
      </c>
      <c r="C10" s="34"/>
      <c r="D10" s="27" t="s">
        <v>229</v>
      </c>
      <c r="E10"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36" t="n">
        <f aca="false">IF(ISNUMBER(Suggest_Mortgage_Rate),Suggest_Mortgage_Rate,"")</f>
        <v>0.0348</v>
      </c>
      <c r="G10" s="37" t="str">
        <f aca="false">IF(ISBLANK(C10),IF(Fill_Example="Yes",F10,""),C10)</f>
        <v/>
      </c>
    </row>
    <row r="11" customFormat="false" ht="15" hidden="false" customHeight="true" outlineLevel="0" collapsed="false">
      <c r="B11" s="25" t="s">
        <v>230</v>
      </c>
      <c r="C11" s="38"/>
      <c r="D11" s="27" t="s">
        <v>231</v>
      </c>
      <c r="E11" s="28" t="s">
        <v>232</v>
      </c>
      <c r="F11" s="39" t="n">
        <v>30</v>
      </c>
      <c r="G11" s="40" t="str">
        <f aca="false">IF(ISBLANK(C11),IF(Fill_Example="Yes",F11,""),C11)</f>
        <v/>
      </c>
    </row>
    <row r="12" customFormat="false" ht="21.75" hidden="false" customHeight="true" outlineLevel="0" collapsed="false">
      <c r="B12" s="25" t="s">
        <v>233</v>
      </c>
      <c r="C12" s="26"/>
      <c r="D12" s="27" t="s">
        <v>218</v>
      </c>
      <c r="E12"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29" t="str">
        <f aca="false">IF(ISNUMBER(Suggest_Buying_Fees),Suggest_Buying_Fees,"")</f>
        <v/>
      </c>
      <c r="G12" s="30" t="n">
        <f aca="false">IF(ISBLANK(C12),IF(AND(Fill_Example="Yes",ISNUMBER(F12)),F12,0),C12)</f>
        <v>0</v>
      </c>
    </row>
    <row r="13" customFormat="false" ht="15" hidden="false" customHeight="true" outlineLevel="0" collapsed="false">
      <c r="B13" s="25" t="s">
        <v>234</v>
      </c>
      <c r="C13" s="38"/>
      <c r="D13" s="27" t="s">
        <v>231</v>
      </c>
      <c r="E13" s="28" t="s">
        <v>235</v>
      </c>
      <c r="F13" s="39" t="n">
        <v>3</v>
      </c>
      <c r="G13" s="40" t="str">
        <f aca="false">IF(ISBLANK(C13),IF(Fill_Example="Yes",F13,""),C13)</f>
        <v/>
      </c>
    </row>
    <row r="14" customFormat="false" ht="15" hidden="false" customHeight="true" outlineLevel="0" collapsed="false">
      <c r="B14" s="25" t="s">
        <v>236</v>
      </c>
      <c r="C14" s="26"/>
      <c r="D14" s="27" t="s">
        <v>218</v>
      </c>
      <c r="E14" s="28" t="s">
        <v>237</v>
      </c>
      <c r="F14" s="29" t="n">
        <v>0</v>
      </c>
      <c r="G14" s="30" t="n">
        <f aca="false">IF(ISBLANK(C14),F14,C14)</f>
        <v>0</v>
      </c>
    </row>
    <row r="16" customFormat="false" ht="15" hidden="false" customHeight="true" outlineLevel="0" collapsed="false">
      <c r="B16" s="13" t="s">
        <v>238</v>
      </c>
      <c r="C16" s="24" t="s">
        <v>239</v>
      </c>
      <c r="D16" s="24" t="s">
        <v>240</v>
      </c>
      <c r="E16" s="24" t="s">
        <v>241</v>
      </c>
      <c r="F16" s="14"/>
      <c r="G16" s="14"/>
    </row>
    <row r="17" customFormat="false" ht="17.25" hidden="false" customHeight="true" outlineLevel="0" collapsed="false">
      <c r="B17" s="21" t="s">
        <v>242</v>
      </c>
      <c r="C17" s="41" t="str">
        <f aca="false">IF(Need_1&lt;&gt;"",Need_1,MIN(Price_By_Deposit,Price_By_Income))</f>
        <v>Choose your gross yearly income to see this</v>
      </c>
      <c r="D17" s="27" t="s">
        <v>218</v>
      </c>
      <c r="E17" s="42" t="s">
        <v>243</v>
      </c>
    </row>
    <row r="18" customFormat="false" ht="17.25" hidden="false" customHeight="true" outlineLevel="0" collapsed="false">
      <c r="B18" s="21" t="s">
        <v>244</v>
      </c>
      <c r="C18" s="41" t="str">
        <f aca="false">IF(Need_1&lt;&gt;"",Need_1,MIN(Borrow_By_Income,LTV_Max*Home_Price))</f>
        <v>Choose your gross yearly income to see this</v>
      </c>
      <c r="D18" s="27" t="s">
        <v>218</v>
      </c>
      <c r="E18" s="42" t="s">
        <v>245</v>
      </c>
    </row>
    <row r="19" customFormat="false" ht="17.25" hidden="false" customHeight="true" outlineLevel="0" collapsed="false">
      <c r="B19" s="21" t="s">
        <v>246</v>
      </c>
      <c r="C19" s="41" t="str">
        <f aca="false">IF(Need_2&lt;&gt;"",Need_2,PMT(Interest_Rate/12,Term_Years*12,-Max_Loan))</f>
        <v>Choose your gross yearly income to see this</v>
      </c>
      <c r="D19" s="27" t="s">
        <v>218</v>
      </c>
      <c r="E19" s="42" t="s">
        <v>247</v>
      </c>
    </row>
    <row r="20" customFormat="false" ht="21.75" hidden="false" customHeight="true" outlineLevel="0" collapsed="false">
      <c r="B20" s="21" t="s">
        <v>248</v>
      </c>
      <c r="C20" s="41" t="str">
        <f aca="false">IF(Need_1&lt;&gt;"",Need_1,SD_Rate_1*MIN(Home_Price,SD_Band_1)+SD_Rate_2*MAX(0,MIN(Home_Price,SD_Band_2)-SD_Band_1)+SD_Rate_3*MAX(0,Home_Price-SD_Band_2))</f>
        <v>Choose your gross yearly income to see this</v>
      </c>
      <c r="D20" s="27" t="s">
        <v>218</v>
      </c>
      <c r="E20" s="42" t="s">
        <v>249</v>
      </c>
    </row>
    <row r="21" customFormat="false" ht="15" hidden="false" customHeight="true" outlineLevel="0" collapsed="false">
      <c r="B21" s="25" t="s">
        <v>250</v>
      </c>
      <c r="C21" s="43" t="str">
        <f aca="false">IF(Need_3&lt;&gt;"",Need_3,(Income+Partner_Income)*Income_Multiple)</f>
        <v>Choose your gross yearly income to see this</v>
      </c>
      <c r="D21" s="27" t="s">
        <v>218</v>
      </c>
      <c r="E21" s="42" t="s">
        <v>251</v>
      </c>
    </row>
    <row r="22" customFormat="false" ht="15" hidden="false" customHeight="true" outlineLevel="0" collapsed="false">
      <c r="B22" s="25" t="s">
        <v>252</v>
      </c>
      <c r="C22" s="44" t="str">
        <f aca="false">IF(Need_4&lt;&gt;"",Need_4,IF(First_Time_Buyer="Yes",LTI_FTB,LTI_SSB))</f>
        <v>Choose your first-time buyer answer to see this</v>
      </c>
      <c r="D22" s="27" t="s">
        <v>253</v>
      </c>
      <c r="E22" s="42" t="s">
        <v>254</v>
      </c>
    </row>
    <row r="23" customFormat="false" ht="15" hidden="false" customHeight="true" outlineLevel="0" collapsed="false">
      <c r="B23" s="25" t="s">
        <v>255</v>
      </c>
      <c r="C23" s="43" t="str">
        <f aca="false">IF(Need_5&lt;&gt;"",Need_5,Deposit+Extra_Deposit)</f>
        <v>Choose your deposit saved to see this</v>
      </c>
      <c r="D23" s="27" t="s">
        <v>218</v>
      </c>
      <c r="E23" s="42" t="s">
        <v>256</v>
      </c>
    </row>
    <row r="24" customFormat="false" ht="15" hidden="false" customHeight="true" outlineLevel="0" collapsed="false">
      <c r="B24" s="25" t="s">
        <v>257</v>
      </c>
      <c r="C24" s="43" t="str">
        <f aca="false">IF(Need_6&lt;&gt;"",Need_6,MAX(0,Total_Deposit-Buying_Fees))</f>
        <v>Choose your deposit saved to see this</v>
      </c>
      <c r="D24" s="27" t="s">
        <v>218</v>
      </c>
      <c r="E24" s="42" t="s">
        <v>258</v>
      </c>
    </row>
    <row r="25" customFormat="false" ht="15" hidden="false" customHeight="true" outlineLevel="0" collapsed="false">
      <c r="B25" s="25" t="s">
        <v>259</v>
      </c>
      <c r="C25" s="43" t="n">
        <f aca="false">(1-LTV_Max+SD_Rate_1)*SD_Band_1</f>
        <v>110000</v>
      </c>
      <c r="D25" s="27" t="s">
        <v>218</v>
      </c>
      <c r="E25" s="42" t="s">
        <v>260</v>
      </c>
    </row>
    <row r="26" customFormat="false" ht="15" hidden="false" customHeight="true" outlineLevel="0" collapsed="false">
      <c r="B26" s="25" t="s">
        <v>261</v>
      </c>
      <c r="C26" s="43" t="n">
        <f aca="false">Cash_At_Band_1+(1-LTV_Max+SD_Rate_2)*(SD_Band_2-SD_Band_1)</f>
        <v>170000</v>
      </c>
      <c r="D26" s="27" t="s">
        <v>218</v>
      </c>
      <c r="E26" s="42" t="s">
        <v>262</v>
      </c>
    </row>
    <row r="27" customFormat="false" ht="32.25" hidden="false" customHeight="true" outlineLevel="0" collapsed="false">
      <c r="B27" s="25" t="s">
        <v>263</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218</v>
      </c>
      <c r="E27" s="42" t="s">
        <v>264</v>
      </c>
    </row>
    <row r="28" customFormat="false" ht="15" hidden="false" customHeight="true" outlineLevel="0" collapsed="false">
      <c r="B28" s="25" t="s">
        <v>265</v>
      </c>
      <c r="C28" s="43" t="str">
        <f aca="false">IF(Need_1&lt;&gt;"",Need_1,Borrow_By_Income+Cash_For_Price)</f>
        <v>Choose your gross yearly income to see this</v>
      </c>
      <c r="D28" s="27" t="s">
        <v>218</v>
      </c>
      <c r="E28" s="42" t="s">
        <v>266</v>
      </c>
    </row>
    <row r="29" customFormat="false" ht="42.75" hidden="false" customHeight="true" outlineLevel="0" collapsed="false">
      <c r="B29" s="25" t="s">
        <v>267</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218</v>
      </c>
      <c r="E29" s="42" t="s">
        <v>268</v>
      </c>
    </row>
    <row r="30" customFormat="false" ht="15" hidden="false" customHeight="true" outlineLevel="0" collapsed="false">
      <c r="B30" s="25" t="s">
        <v>269</v>
      </c>
      <c r="C30" s="45" t="str">
        <f aca="false">IF(Need_1&lt;&gt;"",Need_1,IF(Price_By_Deposit&lt;Price_By_Income,"Your deposit","Your income"))</f>
        <v>Choose your gross yearly income to see this</v>
      </c>
      <c r="D30" s="27"/>
      <c r="E30" s="42" t="s">
        <v>270</v>
      </c>
    </row>
    <row r="32" customFormat="false" ht="15" hidden="false" customHeight="true" outlineLevel="0" collapsed="false">
      <c r="B32" s="13" t="s">
        <v>271</v>
      </c>
      <c r="C32" s="14"/>
      <c r="D32" s="14"/>
      <c r="E32" s="14"/>
      <c r="F32" s="14"/>
      <c r="G32" s="14"/>
    </row>
    <row r="33" customFormat="false" ht="13.5" hidden="false" customHeight="true" outlineLevel="0" collapsed="false">
      <c r="B33" s="46" t="s">
        <v>272</v>
      </c>
      <c r="C33" s="46"/>
      <c r="D33" s="46"/>
      <c r="E33" s="46"/>
    </row>
    <row r="34" customFormat="false" ht="27.75" hidden="false" customHeight="true" outlineLevel="0" collapsed="false">
      <c r="B34" s="46" t="s">
        <v>273</v>
      </c>
      <c r="C34" s="46"/>
      <c r="D34" s="46"/>
      <c r="E34" s="46"/>
    </row>
    <row r="35" customFormat="false" ht="13.5" hidden="false" customHeight="true" outlineLevel="0" collapsed="false">
      <c r="B35" s="46" t="s">
        <v>274</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276</v>
      </c>
      <c r="C37" s="46"/>
      <c r="D37" s="46"/>
      <c r="E37" s="46"/>
    </row>
    <row r="38" customFormat="false" ht="13.5" hidden="false" customHeight="true" outlineLevel="0" collapsed="false">
      <c r="B38" s="46" t="s">
        <v>277</v>
      </c>
      <c r="C38" s="46"/>
      <c r="D38" s="46"/>
      <c r="E38" s="46"/>
    </row>
    <row r="39" customFormat="false" ht="13.5" hidden="false" customHeight="true" outlineLevel="0" collapsed="false">
      <c r="B39" s="46" t="s">
        <v>278</v>
      </c>
      <c r="C39" s="46"/>
      <c r="D39" s="46"/>
      <c r="E39" s="46"/>
    </row>
    <row r="40" customFormat="false" ht="13.5" hidden="false" customHeight="true" outlineLevel="0" collapsed="false">
      <c r="B40" s="46" t="s">
        <v>279</v>
      </c>
      <c r="C40" s="46"/>
      <c r="D40" s="46"/>
      <c r="E40" s="46"/>
    </row>
    <row r="42" customFormat="false" ht="15" hidden="false" customHeight="true" outlineLevel="0" collapsed="false">
      <c r="B42" s="13" t="s">
        <v>280</v>
      </c>
      <c r="C42" s="14"/>
      <c r="D42" s="14"/>
      <c r="E42" s="14"/>
      <c r="F42" s="14"/>
      <c r="G42" s="14"/>
    </row>
    <row r="43" customFormat="false" ht="15" hidden="false" customHeight="true" outlineLevel="0" collapsed="false">
      <c r="B43" s="25" t="s">
        <v>281</v>
      </c>
      <c r="C43" s="48" t="str">
        <f aca="false">"Buy a home (deposit goal)"</f>
        <v>Buy a home (deposit goal)</v>
      </c>
      <c r="E43" s="49" t="s">
        <v>282</v>
      </c>
    </row>
    <row r="44" customFormat="false" ht="15" hidden="false" customHeight="true" outlineLevel="0" collapsed="false">
      <c r="B44" s="25" t="s">
        <v>283</v>
      </c>
      <c r="C44" s="50" t="str">
        <f aca="false">IF(Need_1&lt;&gt;"",Need_1,ROUND(Home_Price*Min_Deposit_Pct+Stamp_Duty+Buying_Fees,0))</f>
        <v>Choose your gross yearly income to see this</v>
      </c>
      <c r="E44" s="49" t="s">
        <v>284</v>
      </c>
    </row>
    <row r="45" customFormat="false" ht="15" hidden="false" customHeight="true" outlineLevel="0" collapsed="false">
      <c r="B45" s="25" t="s">
        <v>285</v>
      </c>
      <c r="C45" s="50" t="str">
        <f aca="false">IF(Need_5&lt;&gt;"",Need_5,Total_Deposit)</f>
        <v>Choose your deposit saved to see this</v>
      </c>
      <c r="E45" s="49" t="s">
        <v>286</v>
      </c>
    </row>
    <row r="46" customFormat="false" ht="15" hidden="false" customHeight="true" outlineLevel="0" collapsed="false">
      <c r="B46" s="25" t="s">
        <v>287</v>
      </c>
      <c r="C46" s="51" t="str">
        <f aca="false">IF(Need_7&lt;&gt;"",Need_7,Home_Goal_Years)</f>
        <v>Choose your years until you buy to see this</v>
      </c>
      <c r="E46" s="49" t="s">
        <v>288</v>
      </c>
    </row>
    <row r="48" customFormat="false" ht="15" hidden="false" customHeight="true" outlineLevel="0" collapsed="false">
      <c r="B48" s="13" t="s">
        <v>289</v>
      </c>
      <c r="C48" s="14"/>
      <c r="D48" s="14"/>
      <c r="E48" s="14"/>
      <c r="F48" s="14"/>
      <c r="G48" s="14"/>
    </row>
    <row r="49" customFormat="false" ht="15" hidden="false" customHeight="true" outlineLevel="0" collapsed="false">
      <c r="B49" s="52" t="s">
        <v>290</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291</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292</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293</v>
      </c>
      <c r="C52" s="52" t="str">
        <f aca="false">IF(First_Time_Buyer="","Choose your first-time buyer answer to see this","")</f>
        <v>Choose your first-time buyer answer to see this</v>
      </c>
    </row>
    <row r="53" customFormat="false" ht="15" hidden="false" customHeight="true" outlineLevel="0" collapsed="false">
      <c r="B53" s="52" t="s">
        <v>294</v>
      </c>
      <c r="C53" s="52" t="str">
        <f aca="false">IF(Deposit="","Choose your deposit saved to see this","")</f>
        <v>Choose your deposit saved to see this</v>
      </c>
    </row>
    <row r="54" customFormat="false" ht="15" hidden="false" customHeight="true" outlineLevel="0" collapsed="false">
      <c r="B54" s="52" t="s">
        <v>295</v>
      </c>
      <c r="C54" s="52" t="str">
        <f aca="false">IF(Deposit="","Choose your deposit saved to see this",IF(Buying_Fees="","Choose your buying fees to see this",""))</f>
        <v>Choose your deposit saved to see this</v>
      </c>
    </row>
    <row r="55" customFormat="false" ht="15" hidden="false" customHeight="true" outlineLevel="0" collapsed="false">
      <c r="B55" s="52" t="s">
        <v>296</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297</v>
      </c>
      <c r="E1" s="3" t="s">
        <v>298</v>
      </c>
    </row>
    <row r="2" customFormat="false" ht="15" hidden="false" customHeight="true" outlineLevel="0" collapsed="false">
      <c r="B2" s="21" t="s">
        <v>299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300</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316</v>
      </c>
      <c r="C14" s="26"/>
      <c r="D14" s="27" t="s">
        <v>218</v>
      </c>
      <c r="E14" s="28" t="s">
        <v>317</v>
      </c>
      <c r="F14" s="29" t="n">
        <v>300000</v>
      </c>
      <c r="G14" s="30" t="str">
        <f aca="false">IF(ISBLANK(C14),IF(Fill_Example="Yes",F14,""),C14)</f>
        <v/>
      </c>
    </row>
    <row r="15" customFormat="false" ht="33" hidden="false" customHeight="true" outlineLevel="0" collapsed="false">
      <c r="B15" s="25" t="s">
        <v>306</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318</v>
      </c>
      <c r="C16" s="38"/>
      <c r="D16" s="27" t="s">
        <v>231</v>
      </c>
      <c r="E16" s="28" t="s">
        <v>319</v>
      </c>
      <c r="F16" s="39" t="n">
        <v>30</v>
      </c>
      <c r="G16" s="40" t="str">
        <f aca="false">IF(ISBLANK(C16),IF(Fill_Example="Yes",F16,""),C16)</f>
        <v/>
      </c>
    </row>
    <row r="17" customFormat="false" ht="15" hidden="false" customHeight="true" outlineLevel="0" collapsed="false">
      <c r="B17" s="25" t="s">
        <v>320</v>
      </c>
      <c r="C17" s="26"/>
      <c r="D17" s="27" t="s">
        <v>218</v>
      </c>
      <c r="E17" s="28" t="s">
        <v>321</v>
      </c>
      <c r="F17" s="29" t="n">
        <v>0</v>
      </c>
      <c r="G17" s="30" t="n">
        <f aca="false">IF(ISBLANK(C17),F17,C17)</f>
        <v>0</v>
      </c>
    </row>
    <row r="18" customFormat="false" ht="15" hidden="false" customHeight="true" outlineLevel="0" collapsed="false">
      <c r="B18" s="25" t="s">
        <v>234</v>
      </c>
      <c r="C18" s="38"/>
      <c r="D18" s="27" t="s">
        <v>231</v>
      </c>
      <c r="E18" s="28" t="s">
        <v>235</v>
      </c>
      <c r="F18" s="39" t="n">
        <v>3</v>
      </c>
      <c r="G18" s="40" t="str">
        <f aca="false">IF(ISBLANK(C18),IF(Fill_Example="Yes",F18,""),C18)</f>
        <v/>
      </c>
    </row>
    <row r="19" customFormat="false" ht="15" hidden="false" customHeight="true" outlineLevel="0" collapsed="false">
      <c r="B19" s="25" t="s">
        <v>322</v>
      </c>
      <c r="C19" s="34"/>
      <c r="D19" s="27" t="s">
        <v>229</v>
      </c>
      <c r="E19" s="28" t="s">
        <v>323</v>
      </c>
      <c r="F19" s="36" t="n">
        <v>0</v>
      </c>
      <c r="G19" s="37" t="n">
        <f aca="false">IF(ISBLANK(C19),F19,C19)</f>
        <v>0</v>
      </c>
    </row>
    <row r="21" customFormat="false" ht="15" hidden="false" customHeight="true" outlineLevel="0" collapsed="false">
      <c r="B21" s="13" t="s">
        <v>324</v>
      </c>
      <c r="C21" s="14"/>
      <c r="D21" s="14"/>
      <c r="E21" s="14"/>
      <c r="F21" s="14"/>
      <c r="G21" s="14"/>
    </row>
    <row r="22" customFormat="false" ht="15" hidden="false" customHeight="true" outlineLevel="0" collapsed="false">
      <c r="B22" s="25" t="s">
        <v>316</v>
      </c>
      <c r="C22" s="58" t="str">
        <f aca="false">IF(ISBLANK(Stmt_Balance),Loan_Amount,Stmt_Balance)</f>
        <v/>
      </c>
      <c r="D22" s="59" t="str">
        <f aca="false">IF(ISBLANK(Stmt_Balance),"Your figure","From your statement")</f>
        <v>Your figure</v>
      </c>
      <c r="E22" s="49" t="s">
        <v>325</v>
      </c>
    </row>
    <row r="23" customFormat="false" ht="15" hidden="false" customHeight="true" outlineLevel="0" collapsed="false">
      <c r="B23" s="25" t="s">
        <v>306</v>
      </c>
      <c r="C23" s="60" t="str">
        <f aca="false">IF(ISBLANK(Stmt_Rate),Interest_Rate,Stmt_Rate)</f>
        <v/>
      </c>
      <c r="D23" s="59" t="str">
        <f aca="false">IF(ISBLANK(Stmt_Rate),"Your figure","From your statement")</f>
        <v>Your figure</v>
      </c>
      <c r="E23" s="49" t="s">
        <v>326</v>
      </c>
    </row>
    <row r="24" customFormat="false" ht="15" hidden="false" customHeight="true" outlineLevel="0" collapsed="false">
      <c r="B24" s="25" t="s">
        <v>318</v>
      </c>
      <c r="C24" s="61" t="str">
        <f aca="false">IF(ISBLANK(Stmt_Term),Term_Years,Stmt_Term)</f>
        <v/>
      </c>
      <c r="D24" s="59" t="str">
        <f aca="false">IF(ISBLANK(Stmt_Term),"Your figure","From your statement")</f>
        <v>Your figure</v>
      </c>
      <c r="E24" s="49" t="s">
        <v>327</v>
      </c>
    </row>
    <row r="25" customFormat="false" ht="15" hidden="false" customHeight="true" outlineLevel="0" collapsed="false">
      <c r="B25" s="25" t="s">
        <v>328</v>
      </c>
      <c r="C25" s="58" t="n">
        <f aca="false">IF(ISBLANK(Stmt_Repayment),Actual_Repayment,Stmt_Repayment)</f>
        <v>0</v>
      </c>
      <c r="D25" s="59" t="str">
        <f aca="false">IF(ISBLANK(Stmt_Repayment),"Your figure","From your statement")</f>
        <v>Your figure</v>
      </c>
      <c r="E25" s="49" t="s">
        <v>329</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310</v>
      </c>
      <c r="C29" s="41" t="str">
        <f aca="false">IF(Need_1&lt;&gt;"",Need_1,IF(Used_Actual_Repayment&gt;0,Used_Actual_Repayment,Formula_Repayment))</f>
        <v>Choose your mortgage amount to see this</v>
      </c>
      <c r="D29" s="27" t="s">
        <v>218</v>
      </c>
      <c r="E29" s="42" t="s">
        <v>332</v>
      </c>
    </row>
    <row r="30" customFormat="false" ht="23.25" hidden="false" customHeight="true" outlineLevel="0" collapsed="false">
      <c r="B30" s="21" t="s">
        <v>333</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334</v>
      </c>
    </row>
    <row r="31" customFormat="false" ht="17.25" hidden="false" customHeight="true" outlineLevel="0" collapsed="false">
      <c r="B31" s="21" t="s">
        <v>335</v>
      </c>
      <c r="C31" s="41" t="str">
        <f aca="false">IF(Need_1&lt;&gt;"",Need_1,IF(Months_To_Pay="Never","—",Monthly_Repayment*(Months_To_Pay-1)+Final_Payment-Used_Loan_Amount))</f>
        <v>Choose your mortgage amount to see this</v>
      </c>
      <c r="D31" s="27" t="s">
        <v>218</v>
      </c>
      <c r="E31" s="42" t="s">
        <v>336</v>
      </c>
    </row>
    <row r="32" customFormat="false" ht="15" hidden="false" customHeight="true" outlineLevel="0" collapsed="false">
      <c r="B32" s="25" t="s">
        <v>337</v>
      </c>
      <c r="C32" s="43" t="str">
        <f aca="false">IF(Need_1&lt;&gt;"",Need_1,IF(Months_To_Pay="Never","—",Used_Loan_Amount+Total_Interest))</f>
        <v>Choose your mortgage amount to see this</v>
      </c>
      <c r="D32" s="27" t="s">
        <v>218</v>
      </c>
      <c r="E32" s="42" t="s">
        <v>338</v>
      </c>
    </row>
    <row r="33" customFormat="false" ht="15" hidden="false" customHeight="true" outlineLevel="0" collapsed="false">
      <c r="B33" s="25" t="s">
        <v>339</v>
      </c>
      <c r="C33" s="64" t="str">
        <f aca="false">IF(Need_2&lt;&gt;"",Need_2,Used_Interest_Rate/12)</f>
        <v>Choose your interest rate to see this</v>
      </c>
      <c r="D33" s="27"/>
      <c r="E33" s="42" t="s">
        <v>340</v>
      </c>
    </row>
    <row r="34" customFormat="false" ht="15" hidden="false" customHeight="true" outlineLevel="0" collapsed="false">
      <c r="B34" s="25" t="s">
        <v>341</v>
      </c>
      <c r="C34" s="43" t="str">
        <f aca="false">IF(Need_3&lt;&gt;"",Need_3,PMT(Monthly_Rate,Used_Term_Years*12,-Used_Loan_Amount))</f>
        <v>Choose your mortgage amount to see this</v>
      </c>
      <c r="D34" s="27" t="s">
        <v>218</v>
      </c>
      <c r="E34" s="42" t="s">
        <v>342</v>
      </c>
    </row>
    <row r="35" customFormat="false" ht="21.75" hidden="false" customHeight="true" outlineLevel="0" collapsed="false">
      <c r="B35" s="25" t="s">
        <v>343</v>
      </c>
      <c r="C35" s="43" t="str">
        <f aca="false">IF(Need_1&lt;&gt;"",Need_1,IF(Months_To_Pay="Never","—",-FV(Monthly_Rate,Months_To_Pay-1,-Monthly_Repayment,Used_Loan_Amount)*(1+Monthly_Rate)))</f>
        <v>Choose your mortgage amount to see this</v>
      </c>
      <c r="D35" s="27" t="s">
        <v>218</v>
      </c>
      <c r="E35" s="42" t="s">
        <v>344</v>
      </c>
    </row>
    <row r="36" customFormat="false" ht="15" hidden="false" customHeight="true" outlineLevel="0" collapsed="false">
      <c r="B36" s="25" t="s">
        <v>345</v>
      </c>
      <c r="C36" s="65" t="str">
        <f aca="false">IF(Need_2&lt;&gt;"",Need_2,MAX(0,Used_Interest_Rate+Rate_Change))</f>
        <v>Choose your interest rate to see this</v>
      </c>
      <c r="D36" s="27" t="s">
        <v>229</v>
      </c>
      <c r="E36" s="42" t="s">
        <v>346</v>
      </c>
    </row>
    <row r="37" customFormat="false" ht="17.25" hidden="false" customHeight="true" outlineLevel="0" collapsed="false">
      <c r="B37" s="21" t="s">
        <v>347</v>
      </c>
      <c r="C37" s="41" t="str">
        <f aca="false">IF(Need_1&lt;&gt;"",Need_1,Monthly_Repayment+PMT(New_Rate/12,Used_Term_Years*12,-Used_Loan_Amount)-Formula_Repayment)</f>
        <v>Choose your mortgage amount to see this</v>
      </c>
      <c r="D37" s="27" t="s">
        <v>218</v>
      </c>
      <c r="E37" s="42" t="s">
        <v>348</v>
      </c>
    </row>
    <row r="38" customFormat="false" ht="15" hidden="false" customHeight="true" outlineLevel="0" collapsed="false">
      <c r="B38" s="25" t="s">
        <v>349</v>
      </c>
      <c r="C38" s="43" t="str">
        <f aca="false">IF(Need_1&lt;&gt;"",Need_1,(Repayment_If_Changed-Monthly_Repayment)*12)</f>
        <v>Choose your mortgage amount to see this</v>
      </c>
      <c r="D38" s="27" t="s">
        <v>218</v>
      </c>
      <c r="E38" s="42" t="s">
        <v>350</v>
      </c>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351</v>
      </c>
      <c r="C41" s="46"/>
      <c r="D41" s="46"/>
      <c r="E41" s="46"/>
    </row>
    <row r="42" customFormat="false" ht="27.75" hidden="false" customHeight="true" outlineLevel="0" collapsed="false">
      <c r="B42" s="46" t="s">
        <v>352</v>
      </c>
      <c r="C42" s="46"/>
      <c r="D42" s="46"/>
      <c r="E42" s="46"/>
    </row>
    <row r="43" customFormat="false" ht="27.75" hidden="false" customHeight="true" outlineLevel="0" collapsed="false">
      <c r="B43" s="46" t="s">
        <v>353</v>
      </c>
      <c r="C43" s="46"/>
      <c r="D43" s="46"/>
      <c r="E43" s="46"/>
    </row>
    <row r="44" customFormat="false" ht="13.5" hidden="false" customHeight="true" outlineLevel="0" collapsed="false">
      <c r="B44" s="47" t="s">
        <v>275</v>
      </c>
      <c r="C44" s="47"/>
      <c r="D44" s="47"/>
      <c r="E44" s="47"/>
    </row>
    <row r="45" customFormat="false" ht="27.75" hidden="false" customHeight="true" outlineLevel="0" collapsed="false">
      <c r="B45" s="46" t="s">
        <v>354</v>
      </c>
      <c r="C45" s="46"/>
      <c r="D45" s="46"/>
      <c r="E45" s="46"/>
    </row>
    <row r="46" customFormat="false" ht="13.5" hidden="false" customHeight="true" outlineLevel="0" collapsed="false">
      <c r="B46" s="46" t="s">
        <v>355</v>
      </c>
      <c r="C46" s="46"/>
      <c r="D46" s="46"/>
      <c r="E46" s="46"/>
    </row>
    <row r="47" customFormat="false" ht="27.75" hidden="false" customHeight="true" outlineLevel="0" collapsed="false">
      <c r="B47" s="46" t="s">
        <v>356</v>
      </c>
      <c r="C47" s="46"/>
      <c r="D47" s="46"/>
      <c r="E47" s="46"/>
    </row>
    <row r="48" customFormat="false" ht="13.5" hidden="false" customHeight="true" outlineLevel="0" collapsed="false">
      <c r="B48" s="46" t="s">
        <v>279</v>
      </c>
      <c r="C48" s="46"/>
      <c r="D48" s="46"/>
      <c r="E48" s="46"/>
    </row>
    <row r="50" customFormat="false" ht="15" hidden="false" customHeight="true" outlineLevel="0" collapsed="false">
      <c r="B50" s="13" t="s">
        <v>280</v>
      </c>
      <c r="C50" s="14"/>
      <c r="D50" s="14"/>
      <c r="E50" s="14"/>
      <c r="F50" s="14"/>
      <c r="G50" s="14"/>
    </row>
    <row r="51" customFormat="false" ht="15" hidden="false" customHeight="true" outlineLevel="0" collapsed="false">
      <c r="B51" s="25" t="s">
        <v>281</v>
      </c>
      <c r="C51" s="48" t="str">
        <f aca="false">"Buy a home (deposit goal)"</f>
        <v>Buy a home (deposit goal)</v>
      </c>
      <c r="E51" s="49" t="s">
        <v>282</v>
      </c>
    </row>
    <row r="52" customFormat="false" ht="15" hidden="false" customHeight="true" outlineLevel="0" collapsed="false">
      <c r="B52" s="25" t="s">
        <v>357</v>
      </c>
      <c r="C52" s="50" t="str">
        <f aca="false">IF(Need_4&lt;&gt;"",Need_4,ROUND(Used_Loan_Amount*(1-LTV_Max)/LTV_Max,0))</f>
        <v>Choose your mortgage amount to see this</v>
      </c>
      <c r="E52" s="49" t="s">
        <v>358</v>
      </c>
    </row>
    <row r="53" customFormat="false" ht="15" hidden="false" customHeight="true" outlineLevel="0" collapsed="false">
      <c r="B53" s="25" t="s">
        <v>287</v>
      </c>
      <c r="C53" s="51" t="str">
        <f aca="false">IF(Need_5&lt;&gt;"",Need_5,Home_Goal_Years)</f>
        <v>Choose your years until you buy to see this</v>
      </c>
      <c r="E53" s="49" t="s">
        <v>288</v>
      </c>
    </row>
    <row r="54" customFormat="false" ht="13.5" hidden="false" customHeight="true" outlineLevel="0" collapsed="false">
      <c r="B54" s="53" t="s">
        <v>359</v>
      </c>
      <c r="C54" s="53"/>
      <c r="D54" s="53"/>
      <c r="E54" s="53"/>
    </row>
    <row r="56" customFormat="false" ht="15" hidden="false" customHeight="true" outlineLevel="0" collapsed="false">
      <c r="B56" s="13" t="s">
        <v>289</v>
      </c>
      <c r="C56" s="14"/>
      <c r="D56" s="14"/>
      <c r="E56" s="14"/>
      <c r="F56" s="14"/>
      <c r="G56" s="14"/>
    </row>
    <row r="57" customFormat="false" ht="15" hidden="false" customHeight="true" outlineLevel="0" collapsed="false">
      <c r="B57" s="52" t="s">
        <v>360</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361</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362</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363</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296</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364</v>
      </c>
      <c r="E1" s="3" t="s">
        <v>365</v>
      </c>
    </row>
    <row r="2" customFormat="false" ht="15" hidden="false" customHeight="true" outlineLevel="0" collapsed="false">
      <c r="B2" s="21" t="s">
        <v>366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367</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368</v>
      </c>
      <c r="C6" s="26"/>
      <c r="D6" s="27" t="s">
        <v>218</v>
      </c>
      <c r="E6" s="28" t="s">
        <v>369</v>
      </c>
      <c r="F6" s="29" t="n">
        <v>350000</v>
      </c>
      <c r="G6" s="30" t="str">
        <f aca="false">IF(ISBLANK(C6),IF(Fill_Example="Yes",F6,""),C6)</f>
        <v/>
      </c>
    </row>
    <row r="7" customFormat="false" ht="21.75" hidden="false" customHeight="true" outlineLevel="0" collapsed="false">
      <c r="B7" s="25" t="s">
        <v>370</v>
      </c>
      <c r="C7" s="34"/>
      <c r="D7" s="27" t="s">
        <v>229</v>
      </c>
      <c r="E7" s="28" t="s">
        <v>371</v>
      </c>
      <c r="F7" s="36" t="n">
        <v>0.1</v>
      </c>
      <c r="G7" s="37" t="str">
        <f aca="false">IF(ISBLANK(C7),IF(Fill_Example="Yes",F7,""),C7)</f>
        <v/>
      </c>
    </row>
    <row r="8" customFormat="false" ht="21.75" hidden="false" customHeight="true" outlineLevel="0" collapsed="false">
      <c r="B8" s="25" t="s">
        <v>233</v>
      </c>
      <c r="C8" s="26"/>
      <c r="D8" s="27" t="s">
        <v>218</v>
      </c>
      <c r="E8"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29" t="str">
        <f aca="false">IF(ISNUMBER(Suggest_Buying_Fees),Suggest_Buying_Fees,"")</f>
        <v/>
      </c>
      <c r="G8" s="30" t="n">
        <f aca="false">IF(ISBLANK(C8),IF(AND(Fill_Example="Yes",ISNUMBER(F8)),F8,0),C8)</f>
        <v>0</v>
      </c>
    </row>
    <row r="9" customFormat="false" ht="21.75" hidden="false" customHeight="true" outlineLevel="0" collapsed="false">
      <c r="B9" s="25" t="s">
        <v>372</v>
      </c>
      <c r="C9" s="26"/>
      <c r="D9" s="27" t="s">
        <v>218</v>
      </c>
      <c r="E9" s="28" t="s">
        <v>373</v>
      </c>
      <c r="F9" s="29" t="n">
        <v>12000</v>
      </c>
      <c r="G9" s="30" t="str">
        <f aca="false">IF(ISBLANK(C9),IF(Fill_Example="Yes",F9,""),C9)</f>
        <v/>
      </c>
    </row>
    <row r="10" customFormat="false" ht="15" hidden="false" customHeight="true" outlineLevel="0" collapsed="false">
      <c r="B10" s="25" t="s">
        <v>374</v>
      </c>
      <c r="C10" s="26"/>
      <c r="D10" s="27" t="s">
        <v>218</v>
      </c>
      <c r="E10" s="28" t="s">
        <v>375</v>
      </c>
      <c r="F10" s="29" t="n">
        <v>800</v>
      </c>
      <c r="G10" s="30" t="str">
        <f aca="false">IF(ISBLANK(C10),IF(Fill_Example="Yes",F10,""),C10)</f>
        <v/>
      </c>
    </row>
    <row r="11" customFormat="false" ht="15" hidden="false" customHeight="true" outlineLevel="0" collapsed="false">
      <c r="B11" s="25" t="s">
        <v>376</v>
      </c>
      <c r="C11" s="26"/>
      <c r="D11" s="27" t="s">
        <v>218</v>
      </c>
      <c r="E11" s="28" t="s">
        <v>377</v>
      </c>
      <c r="F11" s="29" t="n">
        <v>0</v>
      </c>
      <c r="G11" s="30" t="n">
        <f aca="false">IF(ISBLANK(C11),F11,C11)</f>
        <v>0</v>
      </c>
    </row>
    <row r="13" customFormat="false" ht="15" hidden="false" customHeight="true" outlineLevel="0" collapsed="false">
      <c r="B13" s="13" t="s">
        <v>238</v>
      </c>
      <c r="C13" s="24" t="s">
        <v>239</v>
      </c>
      <c r="D13" s="24" t="s">
        <v>240</v>
      </c>
      <c r="E13" s="24" t="s">
        <v>241</v>
      </c>
      <c r="F13" s="14"/>
      <c r="G13" s="14"/>
    </row>
    <row r="14" customFormat="false" ht="23.25" hidden="false" customHeight="true" outlineLevel="0" collapsed="false">
      <c r="B14" s="21" t="s">
        <v>378</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379</v>
      </c>
    </row>
    <row r="15" customFormat="false" ht="17.25" hidden="false" customHeight="true" outlineLevel="0" collapsed="false">
      <c r="B15" s="21" t="s">
        <v>380</v>
      </c>
      <c r="C15" s="41" t="str">
        <f aca="false">IF(Need_2&lt;&gt;"",Need_2,Deposit_Needed+Stamp_Duty+Buying_Fees)</f>
        <v>Choose your home price to see this</v>
      </c>
      <c r="D15" s="27" t="s">
        <v>218</v>
      </c>
      <c r="E15" s="42" t="s">
        <v>381</v>
      </c>
    </row>
    <row r="16" customFormat="false" ht="17.25" hidden="false" customHeight="true" outlineLevel="0" collapsed="false">
      <c r="B16" s="21" t="s">
        <v>382</v>
      </c>
      <c r="C16" s="41" t="str">
        <f aca="false">IF(Need_3&lt;&gt;"",Need_3,MAX(0,Total_Needed-Saved))</f>
        <v>Choose your home price to see this</v>
      </c>
      <c r="D16" s="27" t="s">
        <v>218</v>
      </c>
      <c r="E16" s="42" t="s">
        <v>383</v>
      </c>
    </row>
    <row r="17" customFormat="false" ht="15" hidden="false" customHeight="true" outlineLevel="0" collapsed="false">
      <c r="B17" s="25" t="s">
        <v>384</v>
      </c>
      <c r="C17" s="43" t="str">
        <f aca="false">IF(Need_4&lt;&gt;"",Need_4,Home_Price*Deposit_Pct)</f>
        <v>Choose your home price to see this</v>
      </c>
      <c r="D17" s="27" t="s">
        <v>218</v>
      </c>
      <c r="E17" s="42" t="s">
        <v>385</v>
      </c>
    </row>
    <row r="18" customFormat="false" ht="21.75" hidden="false" customHeight="true" outlineLevel="0" collapsed="false">
      <c r="B18" s="25" t="s">
        <v>386</v>
      </c>
      <c r="C18" s="43" t="str">
        <f aca="false">IF(Need_5&lt;&gt;"",Need_5,SD_Rate_1*MIN(Home_Price,SD_Band_1)+SD_Rate_2*MAX(0,MIN(Home_Price,SD_Band_2)-SD_Band_1)+SD_Rate_3*MAX(0,Home_Price-SD_Band_2))</f>
        <v>Choose your home price to see this</v>
      </c>
      <c r="D18" s="27" t="s">
        <v>218</v>
      </c>
      <c r="E18" s="42" t="s">
        <v>249</v>
      </c>
    </row>
    <row r="20" customFormat="false" ht="15" hidden="false" customHeight="true" outlineLevel="0" collapsed="false">
      <c r="B20" s="13" t="s">
        <v>271</v>
      </c>
      <c r="C20" s="14"/>
      <c r="D20" s="14"/>
      <c r="E20" s="14"/>
      <c r="F20" s="14"/>
      <c r="G20" s="14"/>
    </row>
    <row r="21" customFormat="false" ht="13.5" hidden="false" customHeight="true" outlineLevel="0" collapsed="false">
      <c r="B21" s="46" t="s">
        <v>387</v>
      </c>
      <c r="C21" s="46"/>
      <c r="D21" s="46"/>
      <c r="E21" s="46"/>
    </row>
    <row r="22" customFormat="false" ht="13.5" hidden="false" customHeight="true" outlineLevel="0" collapsed="false">
      <c r="B22" s="46" t="s">
        <v>388</v>
      </c>
      <c r="C22" s="46"/>
      <c r="D22" s="46"/>
      <c r="E22" s="46"/>
    </row>
    <row r="23" customFormat="false" ht="13.5" hidden="false" customHeight="true" outlineLevel="0" collapsed="false">
      <c r="B23" s="47" t="s">
        <v>275</v>
      </c>
      <c r="C23" s="47"/>
      <c r="D23" s="47"/>
      <c r="E23" s="47"/>
    </row>
    <row r="24" customFormat="false" ht="13.5" hidden="false" customHeight="true" outlineLevel="0" collapsed="false">
      <c r="B24" s="46" t="s">
        <v>389</v>
      </c>
      <c r="C24" s="46"/>
      <c r="D24" s="46"/>
      <c r="E24" s="46"/>
    </row>
    <row r="25" customFormat="false" ht="13.5" hidden="false" customHeight="true" outlineLevel="0" collapsed="false">
      <c r="B25" s="46" t="s">
        <v>390</v>
      </c>
      <c r="C25" s="46"/>
      <c r="D25" s="46"/>
      <c r="E25" s="46"/>
    </row>
    <row r="26" customFormat="false" ht="13.5" hidden="false" customHeight="true" outlineLevel="0" collapsed="false">
      <c r="B26" s="46" t="s">
        <v>391</v>
      </c>
      <c r="C26" s="46"/>
      <c r="D26" s="46"/>
      <c r="E26" s="46"/>
    </row>
    <row r="28" customFormat="false" ht="15" hidden="false" customHeight="true" outlineLevel="0" collapsed="false">
      <c r="B28" s="13" t="s">
        <v>280</v>
      </c>
      <c r="C28" s="14"/>
      <c r="D28" s="14"/>
      <c r="E28" s="14"/>
      <c r="F28" s="14"/>
      <c r="G28" s="14"/>
    </row>
    <row r="29" customFormat="false" ht="15" hidden="false" customHeight="true" outlineLevel="0" collapsed="false">
      <c r="B29" s="25" t="s">
        <v>281</v>
      </c>
      <c r="C29" s="48" t="str">
        <f aca="false">"Home deposit"</f>
        <v>Home deposit</v>
      </c>
      <c r="E29" s="49" t="s">
        <v>392</v>
      </c>
    </row>
    <row r="30" customFormat="false" ht="15" hidden="false" customHeight="true" outlineLevel="0" collapsed="false">
      <c r="B30" s="25" t="s">
        <v>393</v>
      </c>
      <c r="C30" s="50" t="str">
        <f aca="false">IF(Need_2&lt;&gt;"",Need_2,ROUND(Total_Needed,0))</f>
        <v>Choose your home price to see this</v>
      </c>
      <c r="E30" s="49" t="s">
        <v>394</v>
      </c>
    </row>
    <row r="31" customFormat="false" ht="15" hidden="false" customHeight="true" outlineLevel="0" collapsed="false">
      <c r="B31" s="25" t="s">
        <v>285</v>
      </c>
      <c r="C31" s="50" t="str">
        <f aca="false">IF(Need_6&lt;&gt;"",Need_6,Saved)</f>
        <v>Choose your saved so far to see this</v>
      </c>
      <c r="E31" s="49" t="s">
        <v>395</v>
      </c>
    </row>
    <row r="32" customFormat="false" ht="15" hidden="false" customHeight="true" outlineLevel="0" collapsed="false">
      <c r="B32" s="25" t="s">
        <v>287</v>
      </c>
      <c r="C32" s="51" t="str">
        <f aca="false">IF(Need_1&lt;&gt;"",Need_1,MAX(1,ROUNDUP(Months_To_Deposit/12,0)))</f>
        <v>Choose your home price to see this</v>
      </c>
      <c r="E32" s="49" t="s">
        <v>396</v>
      </c>
    </row>
    <row r="34" customFormat="false" ht="15" hidden="false" customHeight="true" outlineLevel="0" collapsed="false">
      <c r="B34" s="13" t="s">
        <v>289</v>
      </c>
      <c r="C34" s="14"/>
      <c r="D34" s="14"/>
      <c r="E34" s="14"/>
      <c r="F34" s="14"/>
      <c r="G34" s="14"/>
    </row>
    <row r="35" customFormat="false" ht="15" hidden="false" customHeight="true" outlineLevel="0" collapsed="false">
      <c r="B35" s="52" t="s">
        <v>397</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398</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399</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400</v>
      </c>
      <c r="C38" s="52" t="str">
        <f aca="false">IF(Home_Price="","Choose your home price to see this",IF(Deposit_Pct="","Choose your deposit % to see this",""))</f>
        <v>Choose your home price to see this</v>
      </c>
    </row>
    <row r="39" customFormat="false" ht="15" hidden="false" customHeight="true" outlineLevel="0" collapsed="false">
      <c r="B39" s="52" t="s">
        <v>401</v>
      </c>
      <c r="C39" s="52" t="str">
        <f aca="false">IF(Home_Price="","Choose your home price to see this","")</f>
        <v>Choose your home price to see this</v>
      </c>
    </row>
    <row r="40" customFormat="false" ht="15" hidden="false" customHeight="true" outlineLevel="0" collapsed="false">
      <c r="B40" s="52" t="s">
        <v>402</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403</v>
      </c>
      <c r="E1" s="3" t="s">
        <v>404</v>
      </c>
    </row>
    <row r="2" customFormat="false" ht="15" hidden="false" customHeight="true" outlineLevel="0" collapsed="false">
      <c r="B2" s="21" t="s">
        <v>405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406</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408</v>
      </c>
      <c r="F14" s="29" t="n">
        <v>250000</v>
      </c>
      <c r="G14" s="30" t="str">
        <f aca="false">IF(ISBLANK(C14),IF(Fill_Example="Yes",F14,""),C14)</f>
        <v/>
      </c>
    </row>
    <row r="15" customFormat="false" ht="33" hidden="false" customHeight="true" outlineLevel="0" collapsed="false">
      <c r="B15" s="25" t="s">
        <v>306</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410</v>
      </c>
      <c r="F16" s="39" t="n">
        <v>25</v>
      </c>
      <c r="G16" s="40" t="str">
        <f aca="false">IF(ISBLANK(C16),IF(Fill_Example="Yes",F16,""),C16)</f>
        <v/>
      </c>
    </row>
    <row r="17" customFormat="false" ht="15" hidden="false" customHeight="true" outlineLevel="0" collapsed="false">
      <c r="B17" s="25" t="s">
        <v>411</v>
      </c>
      <c r="C17" s="26"/>
      <c r="D17" s="27" t="s">
        <v>218</v>
      </c>
      <c r="E17" s="28" t="s">
        <v>412</v>
      </c>
      <c r="F17" s="29" t="n">
        <v>200</v>
      </c>
      <c r="G17" s="30" t="str">
        <f aca="false">IF(ISBLANK(C17),IF(Fill_Example="Yes",F17,""),C17)</f>
        <v/>
      </c>
    </row>
    <row r="18" customFormat="false" ht="15" hidden="false" customHeight="true" outlineLevel="0" collapsed="false">
      <c r="B18" s="25" t="s">
        <v>320</v>
      </c>
      <c r="C18" s="26"/>
      <c r="D18" s="27" t="s">
        <v>218</v>
      </c>
      <c r="E18" s="28" t="s">
        <v>321</v>
      </c>
      <c r="F18" s="29" t="n">
        <v>0</v>
      </c>
      <c r="G18" s="30" t="n">
        <f aca="false">IF(ISBLANK(C18),F18,C18)</f>
        <v>0</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407</v>
      </c>
      <c r="C21" s="58" t="str">
        <f aca="false">IF(ISBLANK(Stmt_Balance),Mortgage_Balance,Stmt_Balance)</f>
        <v/>
      </c>
      <c r="D21" s="59" t="str">
        <f aca="false">IF(ISBLANK(Stmt_Balance),"Your figure","From your statement")</f>
        <v>Your figure</v>
      </c>
      <c r="E21" s="49" t="s">
        <v>413</v>
      </c>
    </row>
    <row r="22" customFormat="false" ht="15" hidden="false" customHeight="true" outlineLevel="0" collapsed="false">
      <c r="B22" s="25" t="s">
        <v>306</v>
      </c>
      <c r="C22" s="60" t="str">
        <f aca="false">IF(ISBLANK(Stmt_Rate),Interest_Rate,Stmt_Rate)</f>
        <v/>
      </c>
      <c r="D22" s="59" t="str">
        <f aca="false">IF(ISBLANK(Stmt_Rate),"Your figure","From your statement")</f>
        <v>Your figure</v>
      </c>
      <c r="E22" s="49" t="s">
        <v>326</v>
      </c>
    </row>
    <row r="23" customFormat="false" ht="15" hidden="false" customHeight="true" outlineLevel="0" collapsed="false">
      <c r="B23" s="25" t="s">
        <v>409</v>
      </c>
      <c r="C23" s="61" t="str">
        <f aca="false">IF(ISBLANK(Stmt_Term),Years_Left,Stmt_Term)</f>
        <v/>
      </c>
      <c r="D23" s="59" t="str">
        <f aca="false">IF(ISBLANK(Stmt_Term),"Your figure","From your statement")</f>
        <v>Your figure</v>
      </c>
      <c r="E23" s="49" t="s">
        <v>414</v>
      </c>
    </row>
    <row r="24" customFormat="false" ht="15" hidden="false" customHeight="true" outlineLevel="0" collapsed="false">
      <c r="B24" s="25" t="s">
        <v>328</v>
      </c>
      <c r="C24" s="58" t="n">
        <f aca="false">IF(ISBLANK(Stmt_Repayment),Actual_Repayment,Stmt_Repayment)</f>
        <v>0</v>
      </c>
      <c r="D24" s="59" t="str">
        <f aca="false">IF(ISBLANK(Stmt_Repayment),"Your figure","From your statement")</f>
        <v>Your figure</v>
      </c>
      <c r="E24" s="49" t="s">
        <v>329</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415</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416</v>
      </c>
    </row>
    <row r="29" customFormat="false" ht="17.25" hidden="false" customHeight="true" outlineLevel="0" collapsed="false">
      <c r="B29" s="21" t="s">
        <v>417</v>
      </c>
      <c r="C29" s="41" t="str">
        <f aca="false">IF(Need_1&lt;&gt;"",Need_1,IF(OR(Months_Now="Never",Months_With_Extra="Never"),"—",Interest_Now-Interest_With_Extra))</f>
        <v>Choose your extra each month to see this</v>
      </c>
      <c r="D29" s="27" t="s">
        <v>218</v>
      </c>
      <c r="E29" s="42" t="s">
        <v>418</v>
      </c>
    </row>
    <row r="30" customFormat="false" ht="23.25" hidden="false" customHeight="true" outlineLevel="0" collapsed="false">
      <c r="B30" s="25" t="s">
        <v>419</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420</v>
      </c>
    </row>
    <row r="31" customFormat="false" ht="23.25" hidden="false" customHeight="true" outlineLevel="0" collapsed="false">
      <c r="B31" s="25" t="s">
        <v>421</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422</v>
      </c>
    </row>
    <row r="32" customFormat="false" ht="15" hidden="false" customHeight="true" outlineLevel="0" collapsed="false">
      <c r="B32" s="25" t="s">
        <v>339</v>
      </c>
      <c r="C32" s="64" t="str">
        <f aca="false">IF(Need_3&lt;&gt;"",Need_3,Used_Interest_Rate/12)</f>
        <v>Choose your interest rate to see this</v>
      </c>
      <c r="D32" s="27"/>
      <c r="E32" s="42" t="s">
        <v>340</v>
      </c>
    </row>
    <row r="33" customFormat="false" ht="15" hidden="false" customHeight="true" outlineLevel="0" collapsed="false">
      <c r="B33" s="25" t="s">
        <v>423</v>
      </c>
      <c r="C33" s="43" t="str">
        <f aca="false">IF(Need_2&lt;&gt;"",Need_2,IF(Used_Actual_Repayment&gt;0,Used_Actual_Repayment,PMT(Monthly_Rate,Used_Years_Left*12,-Used_Mortgage_Balance)))</f>
        <v>Choose your mortgage balance to see this</v>
      </c>
      <c r="D33" s="27" t="s">
        <v>218</v>
      </c>
      <c r="E33" s="42" t="s">
        <v>424</v>
      </c>
    </row>
    <row r="34" customFormat="false" ht="15" hidden="false" customHeight="true" outlineLevel="0" collapsed="false">
      <c r="B34" s="25" t="s">
        <v>425</v>
      </c>
      <c r="C34" s="43" t="str">
        <f aca="false">IF(Need_1&lt;&gt;"",Need_1,Repayment_Now+Extra_Payment)</f>
        <v>Choose your extra each month to see this</v>
      </c>
      <c r="D34" s="27" t="s">
        <v>218</v>
      </c>
      <c r="E34" s="42" t="s">
        <v>426</v>
      </c>
    </row>
    <row r="35" customFormat="false" ht="21.75" hidden="false" customHeight="true" outlineLevel="0" collapsed="false">
      <c r="B35" s="25" t="s">
        <v>427</v>
      </c>
      <c r="C35" s="43" t="str">
        <f aca="false">IF(Need_2&lt;&gt;"",Need_2,IF(Months_Now="Never","—",-FV(Monthly_Rate,Months_Now-1,-Repayment_Now,Used_Mortgage_Balance)*(1+Monthly_Rate)))</f>
        <v>Choose your mortgage balance to see this</v>
      </c>
      <c r="D35" s="27" t="s">
        <v>218</v>
      </c>
      <c r="E35" s="42" t="s">
        <v>428</v>
      </c>
    </row>
    <row r="36" customFormat="false" ht="21.75" hidden="false" customHeight="true" outlineLevel="0" collapsed="false">
      <c r="B36" s="25" t="s">
        <v>429</v>
      </c>
      <c r="C36" s="43" t="str">
        <f aca="false">IF(Need_1&lt;&gt;"",Need_1,IF(Months_With_Extra="Never","—",-FV(Monthly_Rate,Months_With_Extra-1,-Repayment_With_Extra,Used_Mortgage_Balance)*(1+Monthly_Rate)))</f>
        <v>Choose your extra each month to see this</v>
      </c>
      <c r="D36" s="27" t="s">
        <v>218</v>
      </c>
      <c r="E36" s="42" t="s">
        <v>430</v>
      </c>
    </row>
    <row r="37" customFormat="false" ht="15" hidden="false" customHeight="true" outlineLevel="0" collapsed="false">
      <c r="B37" s="25" t="s">
        <v>431</v>
      </c>
      <c r="C37" s="43" t="str">
        <f aca="false">IF(Need_2&lt;&gt;"",Need_2,IF(Months_Now="Never","—",Repayment_Now*(Months_Now-1)+Last_Payment_Now-Used_Mortgage_Balance))</f>
        <v>Choose your mortgage balance to see this</v>
      </c>
      <c r="D37" s="27" t="s">
        <v>218</v>
      </c>
      <c r="E37" s="42" t="s">
        <v>432</v>
      </c>
    </row>
    <row r="38" customFormat="false" ht="21.75" hidden="false" customHeight="true" outlineLevel="0" collapsed="false">
      <c r="B38" s="25" t="s">
        <v>433</v>
      </c>
      <c r="C38" s="43" t="str">
        <f aca="false">IF(Need_1&lt;&gt;"",Need_1,IF(Months_With_Extra="Never","—",Repayment_With_Extra*(Months_With_Extra-1)+Last_Payment_With_Extra-Used_Mortgage_Balance))</f>
        <v>Choose your extra each month to see this</v>
      </c>
      <c r="D38" s="27" t="s">
        <v>218</v>
      </c>
      <c r="E38" s="42" t="s">
        <v>434</v>
      </c>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435</v>
      </c>
      <c r="C41" s="46"/>
      <c r="D41" s="46"/>
      <c r="E41" s="46"/>
    </row>
    <row r="42" customFormat="false" ht="27.75" hidden="false" customHeight="true" outlineLevel="0" collapsed="false">
      <c r="B42" s="46" t="s">
        <v>436</v>
      </c>
      <c r="C42" s="46"/>
      <c r="D42" s="46"/>
      <c r="E42" s="46"/>
    </row>
    <row r="43" customFormat="false" ht="13.5" hidden="false" customHeight="true" outlineLevel="0" collapsed="false">
      <c r="B43" s="47" t="s">
        <v>275</v>
      </c>
      <c r="C43" s="47"/>
      <c r="D43" s="47"/>
      <c r="E43" s="47"/>
    </row>
    <row r="44" customFormat="false" ht="13.5" hidden="false" customHeight="true" outlineLevel="0" collapsed="false">
      <c r="B44" s="46" t="s">
        <v>437</v>
      </c>
      <c r="C44" s="46"/>
      <c r="D44" s="46"/>
      <c r="E44" s="46"/>
    </row>
    <row r="45" customFormat="false" ht="13.5" hidden="false" customHeight="true" outlineLevel="0" collapsed="false">
      <c r="B45" s="46" t="s">
        <v>438</v>
      </c>
      <c r="C45" s="46"/>
      <c r="D45" s="46"/>
      <c r="E45" s="46"/>
    </row>
    <row r="46" customFormat="false" ht="13.5" hidden="false" customHeight="true" outlineLevel="0" collapsed="false">
      <c r="B46" s="46" t="s">
        <v>355</v>
      </c>
      <c r="C46" s="46"/>
      <c r="D46" s="46"/>
      <c r="E46" s="46"/>
    </row>
    <row r="47" customFormat="false" ht="27.75" hidden="false" customHeight="true" outlineLevel="0" collapsed="false">
      <c r="B47" s="46" t="s">
        <v>356</v>
      </c>
      <c r="C47" s="46"/>
      <c r="D47" s="46"/>
      <c r="E47" s="46"/>
    </row>
    <row r="48" customFormat="false" ht="13.5" hidden="false" customHeight="true" outlineLevel="0" collapsed="false">
      <c r="B48" s="46" t="s">
        <v>439</v>
      </c>
      <c r="C48" s="46"/>
      <c r="D48" s="46"/>
      <c r="E48" s="46"/>
    </row>
    <row r="50" customFormat="false" ht="15" hidden="false" customHeight="true" outlineLevel="0" collapsed="false">
      <c r="B50" s="13" t="s">
        <v>280</v>
      </c>
      <c r="C50" s="14"/>
      <c r="D50" s="14"/>
      <c r="E50" s="14"/>
      <c r="F50" s="14"/>
      <c r="G50" s="14"/>
    </row>
    <row r="51" customFormat="false" ht="15" hidden="false" customHeight="true" outlineLevel="0" collapsed="false">
      <c r="B51" s="25" t="s">
        <v>281</v>
      </c>
      <c r="C51" s="48" t="str">
        <f aca="false">IF(Need_1&lt;&gt;"",Need_1,IF(Months_With_Extra="Never","No goal","Mortgage free (plan kind mfree, priced from your mortgage; no cash amount)"))</f>
        <v>Choose your extra each month to see this</v>
      </c>
      <c r="E51" s="49" t="s">
        <v>440</v>
      </c>
    </row>
    <row r="52" customFormat="false" ht="15" hidden="false" customHeight="true" outlineLevel="0" collapsed="false">
      <c r="B52" s="25" t="s">
        <v>287</v>
      </c>
      <c r="C52" s="51" t="str">
        <f aca="false">IF(Need_1&lt;&gt;"",Need_1,IF(Months_With_Extra="Never","—",ROUNDUP(Months_With_Extra/12,0)))</f>
        <v>Choose your extra each month to see this</v>
      </c>
      <c r="E52" s="49" t="s">
        <v>441</v>
      </c>
    </row>
    <row r="53" customFormat="false" ht="27.75" hidden="false" customHeight="true" outlineLevel="0" collapsed="false">
      <c r="B53" s="53" t="s">
        <v>442</v>
      </c>
      <c r="C53" s="53"/>
      <c r="D53" s="53"/>
      <c r="E53" s="53"/>
    </row>
    <row r="55" customFormat="false" ht="15" hidden="false" customHeight="true" outlineLevel="0" collapsed="false">
      <c r="B55" s="13" t="s">
        <v>289</v>
      </c>
      <c r="C55" s="14"/>
      <c r="D55" s="14"/>
      <c r="E55" s="14"/>
      <c r="F55" s="14"/>
      <c r="G55" s="14"/>
    </row>
    <row r="56" customFormat="false" ht="15" hidden="false" customHeight="true" outlineLevel="0" collapsed="false">
      <c r="B56" s="52" t="s">
        <v>443</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444</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361</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445</v>
      </c>
      <c r="E1" s="3" t="s">
        <v>446</v>
      </c>
    </row>
    <row r="2" customFormat="false" ht="15" hidden="false" customHeight="true" outlineLevel="0" collapsed="false">
      <c r="B2" s="21" t="s">
        <v>447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448</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449</v>
      </c>
      <c r="F14" s="29" t="n">
        <v>300000</v>
      </c>
      <c r="G14" s="30" t="str">
        <f aca="false">IF(ISBLANK(C14),IF(Fill_Example="Yes",F14,""),C14)</f>
        <v/>
      </c>
    </row>
    <row r="15" customFormat="false" ht="33" hidden="false" customHeight="true" outlineLevel="0" collapsed="false">
      <c r="B15" s="25" t="s">
        <v>450</v>
      </c>
      <c r="C15" s="34"/>
      <c r="D15" s="27" t="s">
        <v>229</v>
      </c>
      <c r="E15"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319</v>
      </c>
      <c r="F16" s="39" t="n">
        <v>25</v>
      </c>
      <c r="G16" s="40" t="str">
        <f aca="false">IF(ISBLANK(C16),IF(Fill_Example="Yes",F16,""),C16)</f>
        <v/>
      </c>
    </row>
    <row r="17" customFormat="false" ht="15" hidden="false" customHeight="true" outlineLevel="0" collapsed="false">
      <c r="B17" s="25" t="s">
        <v>451</v>
      </c>
      <c r="C17" s="34"/>
      <c r="D17" s="27" t="s">
        <v>229</v>
      </c>
      <c r="E17" s="28" t="s">
        <v>452</v>
      </c>
      <c r="F17" s="36" t="n">
        <v>0.01</v>
      </c>
      <c r="G17" s="37" t="str">
        <f aca="false">IF(ISBLANK(C17),IF(Fill_Example="Yes",F17,""),C17)</f>
        <v/>
      </c>
    </row>
    <row r="18" customFormat="false" ht="15" hidden="false" customHeight="true" outlineLevel="0" collapsed="false">
      <c r="B18" s="25" t="s">
        <v>320</v>
      </c>
      <c r="C18" s="26"/>
      <c r="D18" s="27" t="s">
        <v>218</v>
      </c>
      <c r="E18" s="28" t="s">
        <v>321</v>
      </c>
      <c r="F18" s="29" t="n">
        <v>0</v>
      </c>
      <c r="G18" s="30" t="n">
        <f aca="false">IF(ISBLANK(C18),F18,C18)</f>
        <v>0</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407</v>
      </c>
      <c r="C21" s="58" t="str">
        <f aca="false">IF(ISBLANK(Stmt_Balance),Mortgage_Balance,Stmt_Balance)</f>
        <v/>
      </c>
      <c r="D21" s="59" t="str">
        <f aca="false">IF(ISBLANK(Stmt_Balance),"Your figure","From your statement")</f>
        <v>Your figure</v>
      </c>
      <c r="E21" s="49" t="s">
        <v>413</v>
      </c>
    </row>
    <row r="22" customFormat="false" ht="15" hidden="false" customHeight="true" outlineLevel="0" collapsed="false">
      <c r="B22" s="25" t="s">
        <v>450</v>
      </c>
      <c r="C22" s="60" t="str">
        <f aca="false">IF(ISBLANK(Stmt_Rate),Current_Rate,Stmt_Rate)</f>
        <v/>
      </c>
      <c r="D22" s="59" t="str">
        <f aca="false">IF(ISBLANK(Stmt_Rate),"Your figure","From your statement")</f>
        <v>Your figure</v>
      </c>
      <c r="E22" s="49" t="s">
        <v>453</v>
      </c>
    </row>
    <row r="23" customFormat="false" ht="15" hidden="false" customHeight="true" outlineLevel="0" collapsed="false">
      <c r="B23" s="25" t="s">
        <v>409</v>
      </c>
      <c r="C23" s="61" t="str">
        <f aca="false">IF(ISBLANK(Stmt_Term),Years_Left,Stmt_Term)</f>
        <v/>
      </c>
      <c r="D23" s="59" t="str">
        <f aca="false">IF(ISBLANK(Stmt_Term),"Your figure","From your statement")</f>
        <v>Your figure</v>
      </c>
      <c r="E23" s="49" t="s">
        <v>414</v>
      </c>
    </row>
    <row r="24" customFormat="false" ht="15" hidden="false" customHeight="true" outlineLevel="0" collapsed="false">
      <c r="B24" s="25" t="s">
        <v>328</v>
      </c>
      <c r="C24" s="58" t="n">
        <f aca="false">IF(ISBLANK(Stmt_Repayment),Actual_Repayment,Stmt_Repayment)</f>
        <v>0</v>
      </c>
      <c r="D24" s="59" t="str">
        <f aca="false">IF(ISBLANK(Stmt_Repayment),"Your figure","From your statement")</f>
        <v>Your figure</v>
      </c>
      <c r="E24" s="49" t="s">
        <v>329</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454</v>
      </c>
      <c r="C28" s="41" t="str">
        <f aca="false">IF(Need_1&lt;&gt;"",Need_1,Repayment_After-Repayment_Now)</f>
        <v>Choose your rate change to see this</v>
      </c>
      <c r="D28" s="63" t="str">
        <f aca="false">IF(Need_1&lt;&gt;"",Need_1,IF(Monthly_Change&gt;=0,"+","−")&amp;TEXT(ABS(Monthly_Change),"€#,##0"))</f>
        <v>Choose your rate change to see this</v>
      </c>
      <c r="E28" s="42" t="s">
        <v>455</v>
      </c>
    </row>
    <row r="29" customFormat="false" ht="17.25" hidden="false" customHeight="true" outlineLevel="0" collapsed="false">
      <c r="B29" s="21" t="s">
        <v>423</v>
      </c>
      <c r="C29" s="41" t="str">
        <f aca="false">IF(Need_2&lt;&gt;"",Need_2,IF(Used_Actual_Repayment&gt;0,Used_Actual_Repayment,Formula_Now))</f>
        <v>Choose your mortgage balance to see this</v>
      </c>
      <c r="D29" s="27" t="s">
        <v>218</v>
      </c>
      <c r="E29" s="42" t="s">
        <v>456</v>
      </c>
    </row>
    <row r="30" customFormat="false" ht="17.25" hidden="false" customHeight="true" outlineLevel="0" collapsed="false">
      <c r="B30" s="21" t="s">
        <v>457</v>
      </c>
      <c r="C30" s="41" t="str">
        <f aca="false">IF(Need_1&lt;&gt;"",Need_1,Repayment_Now+PMT(New_Rate/12,Used_Years_Left*12,-Used_Mortgage_Balance)-Formula_Now)</f>
        <v>Choose your rate change to see this</v>
      </c>
      <c r="D30" s="27" t="s">
        <v>218</v>
      </c>
      <c r="E30" s="42" t="s">
        <v>458</v>
      </c>
    </row>
    <row r="31" customFormat="false" ht="15" hidden="false" customHeight="true" outlineLevel="0" collapsed="false">
      <c r="B31" s="25" t="s">
        <v>459</v>
      </c>
      <c r="C31" s="43" t="str">
        <f aca="false">IF(Need_1&lt;&gt;"",Need_1,Monthly_Change*12)</f>
        <v>Choose your rate change to see this</v>
      </c>
      <c r="D31" s="27" t="s">
        <v>218</v>
      </c>
      <c r="E31" s="42" t="s">
        <v>460</v>
      </c>
    </row>
    <row r="32" customFormat="false" ht="15" hidden="false" customHeight="true" outlineLevel="0" collapsed="false">
      <c r="B32" s="25" t="s">
        <v>461</v>
      </c>
      <c r="C32" s="43" t="str">
        <f aca="false">IF(Need_3&lt;&gt;"",Need_3,PMT(Used_Current_Rate/12,Used_Years_Left*12,-Used_Mortgage_Balance))</f>
        <v>Choose your mortgage balance to see this</v>
      </c>
      <c r="D32" s="27" t="s">
        <v>218</v>
      </c>
      <c r="E32" s="42" t="s">
        <v>462</v>
      </c>
    </row>
    <row r="33" customFormat="false" ht="15" hidden="false" customHeight="true" outlineLevel="0" collapsed="false">
      <c r="B33" s="25" t="s">
        <v>463</v>
      </c>
      <c r="C33" s="65" t="str">
        <f aca="false">IF(Need_4&lt;&gt;"",Need_4,MAX(0,Used_Current_Rate+Rate_Change))</f>
        <v>Choose your rate change to see this</v>
      </c>
      <c r="D33" s="27" t="s">
        <v>229</v>
      </c>
      <c r="E33" s="42" t="s">
        <v>464</v>
      </c>
    </row>
    <row r="35" customFormat="false" ht="15" hidden="false" customHeight="true" outlineLevel="0" collapsed="false">
      <c r="B35" s="13" t="s">
        <v>271</v>
      </c>
      <c r="C35" s="14"/>
      <c r="D35" s="14"/>
      <c r="E35" s="14"/>
      <c r="F35" s="14"/>
      <c r="G35" s="14"/>
    </row>
    <row r="36" customFormat="false" ht="13.5" hidden="false" customHeight="true" outlineLevel="0" collapsed="false">
      <c r="B36" s="46" t="s">
        <v>465</v>
      </c>
      <c r="C36" s="46"/>
      <c r="D36" s="46"/>
      <c r="E36" s="46"/>
    </row>
    <row r="37" customFormat="false" ht="13.5" hidden="false" customHeight="true" outlineLevel="0" collapsed="false">
      <c r="B37" s="46" t="s">
        <v>466</v>
      </c>
      <c r="C37" s="46"/>
      <c r="D37" s="46"/>
      <c r="E37" s="46"/>
    </row>
    <row r="38" customFormat="false" ht="13.5" hidden="false" customHeight="true" outlineLevel="0" collapsed="false">
      <c r="B38" s="47" t="s">
        <v>275</v>
      </c>
      <c r="C38" s="47"/>
      <c r="D38" s="47"/>
      <c r="E38" s="47"/>
    </row>
    <row r="39" customFormat="false" ht="13.5" hidden="false" customHeight="true" outlineLevel="0" collapsed="false">
      <c r="B39" s="46" t="s">
        <v>467</v>
      </c>
      <c r="C39" s="46"/>
      <c r="D39" s="46"/>
      <c r="E39" s="46"/>
    </row>
    <row r="40" customFormat="false" ht="13.5" hidden="false" customHeight="true" outlineLevel="0" collapsed="false">
      <c r="B40" s="46" t="s">
        <v>279</v>
      </c>
      <c r="C40" s="46"/>
      <c r="D40" s="46"/>
      <c r="E40" s="46"/>
    </row>
    <row r="42" customFormat="false" ht="15" hidden="false" customHeight="true" outlineLevel="0" collapsed="false">
      <c r="B42" s="13" t="s">
        <v>280</v>
      </c>
      <c r="C42" s="14"/>
      <c r="D42" s="14"/>
      <c r="E42" s="14"/>
      <c r="F42" s="14"/>
      <c r="G42" s="14"/>
    </row>
    <row r="43" customFormat="false" ht="15" hidden="false" customHeight="true" outlineLevel="0" collapsed="false">
      <c r="B43" s="25" t="s">
        <v>281</v>
      </c>
      <c r="C43" s="48" t="str">
        <f aca="false">"No goal"</f>
        <v>No goal</v>
      </c>
      <c r="E43" s="49" t="s">
        <v>468</v>
      </c>
    </row>
    <row r="45" customFormat="false" ht="15" hidden="false" customHeight="true" outlineLevel="0" collapsed="false">
      <c r="B45" s="13" t="s">
        <v>289</v>
      </c>
      <c r="C45" s="14"/>
      <c r="D45" s="14"/>
      <c r="E45" s="14"/>
      <c r="F45" s="14"/>
      <c r="G45" s="14"/>
    </row>
    <row r="46" customFormat="false" ht="15" hidden="false" customHeight="true" outlineLevel="0" collapsed="false">
      <c r="B46" s="52" t="s">
        <v>469</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470</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471</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472</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473</v>
      </c>
      <c r="E1" s="3" t="s">
        <v>474</v>
      </c>
    </row>
    <row r="2" customFormat="false" ht="15" hidden="false" customHeight="true" outlineLevel="0" collapsed="false">
      <c r="B2" s="21" t="s">
        <v>475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476</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312</v>
      </c>
      <c r="C10" s="57"/>
      <c r="D10" s="27" t="s">
        <v>313</v>
      </c>
      <c r="E10" s="28" t="s">
        <v>314</v>
      </c>
      <c r="G10" s="52" t="s">
        <v>305</v>
      </c>
    </row>
    <row r="12" customFormat="false" ht="15" hidden="false" customHeight="true" outlineLevel="0" collapsed="false">
      <c r="B12" s="13" t="s">
        <v>315</v>
      </c>
      <c r="C12" s="24" t="s">
        <v>214</v>
      </c>
      <c r="D12" s="24" t="s">
        <v>215</v>
      </c>
      <c r="E12" s="24" t="s">
        <v>216</v>
      </c>
      <c r="F12" s="14"/>
      <c r="G12" s="14"/>
    </row>
    <row r="13" customFormat="false" ht="21.75" hidden="false" customHeight="true" outlineLevel="0" collapsed="false">
      <c r="B13" s="25" t="s">
        <v>316</v>
      </c>
      <c r="C13" s="26"/>
      <c r="D13" s="27" t="s">
        <v>218</v>
      </c>
      <c r="E13" s="28" t="s">
        <v>449</v>
      </c>
      <c r="F13" s="29" t="n">
        <v>300000</v>
      </c>
      <c r="G13" s="30" t="str">
        <f aca="false">IF(ISBLANK(C13),IF(Fill_Example="Yes",F13,""),C13)</f>
        <v/>
      </c>
    </row>
    <row r="14" customFormat="false" ht="33" hidden="false" customHeight="true" outlineLevel="0" collapsed="false">
      <c r="B14" s="25" t="s">
        <v>306</v>
      </c>
      <c r="C14" s="34"/>
      <c r="D14" s="27" t="s">
        <v>229</v>
      </c>
      <c r="E14" s="35"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36" t="n">
        <f aca="false">IF(ISNUMBER(Suggest_Mortgage_Rate),Suggest_Mortgage_Rate,"")</f>
        <v>0.0348</v>
      </c>
      <c r="G14" s="37" t="str">
        <f aca="false">IF(ISBLANK(C14),IF(Fill_Example="Yes",F14,""),C14)</f>
        <v/>
      </c>
    </row>
    <row r="15" customFormat="false" ht="21.75" hidden="false" customHeight="true" outlineLevel="0" collapsed="false">
      <c r="B15" s="25" t="s">
        <v>477</v>
      </c>
      <c r="C15" s="38"/>
      <c r="D15" s="27" t="s">
        <v>231</v>
      </c>
      <c r="E15" s="28" t="s">
        <v>319</v>
      </c>
      <c r="F15" s="39" t="n">
        <v>25</v>
      </c>
      <c r="G15" s="40" t="str">
        <f aca="false">IF(ISBLANK(C15),IF(Fill_Example="Yes",F15,""),C15)</f>
        <v/>
      </c>
    </row>
    <row r="16" customFormat="false" ht="15" hidden="false" customHeight="true" outlineLevel="0" collapsed="false">
      <c r="B16" s="25" t="s">
        <v>478</v>
      </c>
      <c r="C16" s="38"/>
      <c r="D16" s="27" t="s">
        <v>231</v>
      </c>
      <c r="E16" s="28" t="s">
        <v>479</v>
      </c>
      <c r="F16" s="39" t="n">
        <v>35</v>
      </c>
      <c r="G16" s="40" t="str">
        <f aca="false">IF(ISBLANK(C16),IF(Fill_Example="Yes",F16,""),C16)</f>
        <v/>
      </c>
    </row>
    <row r="18" customFormat="false" ht="15" hidden="false" customHeight="true" outlineLevel="0" collapsed="false">
      <c r="B18" s="13" t="s">
        <v>324</v>
      </c>
      <c r="C18" s="14"/>
      <c r="D18" s="14"/>
      <c r="E18" s="14"/>
      <c r="F18" s="14"/>
      <c r="G18" s="14"/>
    </row>
    <row r="19" customFormat="false" ht="15" hidden="false" customHeight="true" outlineLevel="0" collapsed="false">
      <c r="B19" s="25" t="s">
        <v>316</v>
      </c>
      <c r="C19" s="58" t="str">
        <f aca="false">IF(ISBLANK(Stmt_Balance),Loan_Amount,Stmt_Balance)</f>
        <v/>
      </c>
      <c r="D19" s="59" t="str">
        <f aca="false">IF(ISBLANK(Stmt_Balance),"Your figure","From your statement")</f>
        <v>Your figure</v>
      </c>
      <c r="E19" s="49" t="s">
        <v>325</v>
      </c>
    </row>
    <row r="20" customFormat="false" ht="15" hidden="false" customHeight="true" outlineLevel="0" collapsed="false">
      <c r="B20" s="25" t="s">
        <v>306</v>
      </c>
      <c r="C20" s="60" t="str">
        <f aca="false">IF(ISBLANK(Stmt_Rate),Interest_Rate,Stmt_Rate)</f>
        <v/>
      </c>
      <c r="D20" s="59" t="str">
        <f aca="false">IF(ISBLANK(Stmt_Rate),"Your figure","From your statement")</f>
        <v>Your figure</v>
      </c>
      <c r="E20" s="49" t="s">
        <v>326</v>
      </c>
    </row>
    <row r="21" customFormat="false" ht="15" hidden="false" customHeight="true" outlineLevel="0" collapsed="false">
      <c r="B21" s="25" t="s">
        <v>477</v>
      </c>
      <c r="C21" s="61" t="str">
        <f aca="false">IF(ISBLANK(Stmt_Term),Term_A,Stmt_Term)</f>
        <v/>
      </c>
      <c r="D21" s="59" t="str">
        <f aca="false">IF(ISBLANK(Stmt_Term),"Your figure","From your statement")</f>
        <v>Your figure</v>
      </c>
      <c r="E21" s="49" t="s">
        <v>480</v>
      </c>
    </row>
    <row r="22" customFormat="false" ht="21.75" hidden="false" customHeight="true" outlineLevel="0" collapsed="false">
      <c r="B22" s="25" t="s">
        <v>330</v>
      </c>
      <c r="C22" s="45" t="str">
        <f aca="true">IF(ISBLANK(Stmt_Statement_Date),"",IF(TODAY()-Stmt_Statement_Date&gt;Statement_Max_Age_Days,"Needs a look: statement is more than 12 months old","Up to date"))</f>
        <v/>
      </c>
      <c r="D22" s="27"/>
      <c r="E22" s="42" t="s">
        <v>331</v>
      </c>
    </row>
    <row r="24" customFormat="false" ht="15" hidden="false" customHeight="true" outlineLevel="0" collapsed="false">
      <c r="B24" s="13" t="s">
        <v>238</v>
      </c>
      <c r="C24" s="24" t="s">
        <v>239</v>
      </c>
      <c r="D24" s="24" t="s">
        <v>240</v>
      </c>
      <c r="E24" s="24" t="s">
        <v>241</v>
      </c>
      <c r="F24" s="14"/>
      <c r="G24" s="14"/>
    </row>
    <row r="25" customFormat="false" ht="17.25" hidden="false" customHeight="true" outlineLevel="0" collapsed="false">
      <c r="B25" s="21" t="s">
        <v>481</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482</v>
      </c>
    </row>
    <row r="26" customFormat="false" ht="17.25" hidden="false" customHeight="true" outlineLevel="0" collapsed="false">
      <c r="B26" s="21" t="s">
        <v>483</v>
      </c>
      <c r="C26" s="41" t="str">
        <f aca="false">IF(Need_2&lt;&gt;"",Need_2,PMT(Used_Interest_Rate/12,Used_Term_A*12,-Used_Loan_Amount))</f>
        <v>Choose your mortgage amount to see this</v>
      </c>
      <c r="D26" s="27" t="s">
        <v>218</v>
      </c>
      <c r="E26" s="42" t="s">
        <v>484</v>
      </c>
    </row>
    <row r="27" customFormat="false" ht="17.25" hidden="false" customHeight="true" outlineLevel="0" collapsed="false">
      <c r="B27" s="21" t="s">
        <v>485</v>
      </c>
      <c r="C27" s="41" t="str">
        <f aca="false">IF(Need_3&lt;&gt;"",Need_3,PMT(Used_Interest_Rate/12,Term_B*12,-Used_Loan_Amount))</f>
        <v>Choose your term B to see this</v>
      </c>
      <c r="D27" s="27" t="s">
        <v>218</v>
      </c>
      <c r="E27" s="42" t="s">
        <v>486</v>
      </c>
    </row>
    <row r="28" customFormat="false" ht="15" hidden="false" customHeight="true" outlineLevel="0" collapsed="false">
      <c r="B28" s="25" t="s">
        <v>487</v>
      </c>
      <c r="C28" s="43" t="str">
        <f aca="false">IF(Need_2&lt;&gt;"",Need_2,Monthly_A*Used_Term_A*12-Used_Loan_Amount)</f>
        <v>Choose your mortgage amount to see this</v>
      </c>
      <c r="D28" s="27" t="s">
        <v>218</v>
      </c>
      <c r="E28" s="42" t="s">
        <v>488</v>
      </c>
    </row>
    <row r="29" customFormat="false" ht="15" hidden="false" customHeight="true" outlineLevel="0" collapsed="false">
      <c r="B29" s="25" t="s">
        <v>489</v>
      </c>
      <c r="C29" s="43" t="str">
        <f aca="false">IF(Need_3&lt;&gt;"",Need_3,Monthly_B*Term_B*12-Used_Loan_Amount)</f>
        <v>Choose your term B to see this</v>
      </c>
      <c r="D29" s="27" t="s">
        <v>218</v>
      </c>
      <c r="E29" s="42" t="s">
        <v>490</v>
      </c>
    </row>
    <row r="31" customFormat="false" ht="15" hidden="false" customHeight="true" outlineLevel="0" collapsed="false">
      <c r="B31" s="13" t="s">
        <v>271</v>
      </c>
      <c r="C31" s="14"/>
      <c r="D31" s="14"/>
      <c r="E31" s="14"/>
      <c r="F31" s="14"/>
      <c r="G31" s="14"/>
    </row>
    <row r="32" customFormat="false" ht="13.5" hidden="false" customHeight="true" outlineLevel="0" collapsed="false">
      <c r="B32" s="46" t="s">
        <v>491</v>
      </c>
      <c r="C32" s="46"/>
      <c r="D32" s="46"/>
      <c r="E32" s="46"/>
    </row>
    <row r="33" customFormat="false" ht="13.5" hidden="false" customHeight="true" outlineLevel="0" collapsed="false">
      <c r="B33" s="46" t="s">
        <v>492</v>
      </c>
      <c r="C33" s="46"/>
      <c r="D33" s="46"/>
      <c r="E33" s="46"/>
    </row>
    <row r="34" customFormat="false" ht="13.5" hidden="false" customHeight="true" outlineLevel="0" collapsed="false">
      <c r="B34" s="47" t="s">
        <v>275</v>
      </c>
      <c r="C34" s="47"/>
      <c r="D34" s="47"/>
      <c r="E34" s="47"/>
    </row>
    <row r="35" customFormat="false" ht="13.5" hidden="false" customHeight="true" outlineLevel="0" collapsed="false">
      <c r="B35" s="46" t="s">
        <v>493</v>
      </c>
      <c r="C35" s="46"/>
      <c r="D35" s="46"/>
      <c r="E35" s="46"/>
    </row>
    <row r="36" customFormat="false" ht="13.5" hidden="false" customHeight="true" outlineLevel="0" collapsed="false">
      <c r="B36" s="46" t="s">
        <v>279</v>
      </c>
      <c r="C36" s="46"/>
      <c r="D36" s="46"/>
      <c r="E36" s="46"/>
    </row>
    <row r="38" customFormat="false" ht="15" hidden="false" customHeight="true" outlineLevel="0" collapsed="false">
      <c r="B38" s="13" t="s">
        <v>280</v>
      </c>
      <c r="C38" s="14"/>
      <c r="D38" s="14"/>
      <c r="E38" s="14"/>
      <c r="F38" s="14"/>
      <c r="G38" s="14"/>
    </row>
    <row r="39" customFormat="false" ht="15" hidden="false" customHeight="true" outlineLevel="0" collapsed="false">
      <c r="B39" s="25" t="s">
        <v>281</v>
      </c>
      <c r="C39" s="48" t="str">
        <f aca="false">"No goal"</f>
        <v>No goal</v>
      </c>
      <c r="E39" s="49" t="s">
        <v>468</v>
      </c>
    </row>
    <row r="41" customFormat="false" ht="15" hidden="false" customHeight="true" outlineLevel="0" collapsed="false">
      <c r="B41" s="13" t="s">
        <v>289</v>
      </c>
      <c r="C41" s="14"/>
      <c r="D41" s="14"/>
      <c r="E41" s="14"/>
      <c r="F41" s="14"/>
      <c r="G41" s="14"/>
    </row>
    <row r="42" customFormat="false" ht="15" hidden="false" customHeight="true" outlineLevel="0" collapsed="false">
      <c r="B42" s="52" t="s">
        <v>494</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495</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496</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497</v>
      </c>
      <c r="E1" s="3" t="s">
        <v>498</v>
      </c>
    </row>
    <row r="2" customFormat="false" ht="15" hidden="false" customHeight="true" outlineLevel="0" collapsed="false">
      <c r="B2" s="21" t="s">
        <v>499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500</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501</v>
      </c>
      <c r="C6" s="26"/>
      <c r="D6" s="27" t="s">
        <v>218</v>
      </c>
      <c r="E6" s="28" t="s">
        <v>502</v>
      </c>
      <c r="F6" s="29" t="n">
        <v>1800</v>
      </c>
      <c r="G6" s="30" t="str">
        <f aca="false">IF(ISBLANK(C6),IF(Fill_Example="Yes",F6,""),C6)</f>
        <v/>
      </c>
    </row>
    <row r="7" customFormat="false" ht="15" hidden="false" customHeight="true" outlineLevel="0" collapsed="false">
      <c r="B7" s="25" t="s">
        <v>368</v>
      </c>
      <c r="C7" s="26"/>
      <c r="D7" s="27" t="s">
        <v>218</v>
      </c>
      <c r="E7" s="28" t="s">
        <v>369</v>
      </c>
      <c r="F7" s="29" t="n">
        <v>350000</v>
      </c>
      <c r="G7" s="30" t="str">
        <f aca="false">IF(ISBLANK(C7),IF(Fill_Example="Yes",F7,""),C7)</f>
        <v/>
      </c>
    </row>
    <row r="8" customFormat="false" ht="15" hidden="false" customHeight="true" outlineLevel="0" collapsed="false">
      <c r="B8" s="25" t="s">
        <v>384</v>
      </c>
      <c r="C8" s="26"/>
      <c r="D8" s="27" t="s">
        <v>218</v>
      </c>
      <c r="E8" s="28" t="s">
        <v>503</v>
      </c>
      <c r="F8" s="29" t="n">
        <v>35000</v>
      </c>
      <c r="G8" s="30" t="str">
        <f aca="false">IF(ISBLANK(C8),IF(Fill_Example="Yes",F8,""),C8)</f>
        <v/>
      </c>
    </row>
    <row r="9" customFormat="false" ht="21.75" hidden="false" customHeight="true" outlineLevel="0" collapsed="false">
      <c r="B9" s="25" t="s">
        <v>504</v>
      </c>
      <c r="C9" s="34"/>
      <c r="D9" s="27" t="s">
        <v>229</v>
      </c>
      <c r="E9" s="35"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36" t="n">
        <f aca="false">IF(ISNUMBER(Suggest_Mortgage_Rate),Suggest_Mortgage_Rate,"")</f>
        <v>0.0348</v>
      </c>
      <c r="G9" s="37" t="str">
        <f aca="false">IF(ISBLANK(C9),IF(Fill_Example="Yes",F9,""),C9)</f>
        <v/>
      </c>
    </row>
    <row r="10" customFormat="false" ht="15" hidden="false" customHeight="true" outlineLevel="0" collapsed="false">
      <c r="B10" s="25" t="s">
        <v>230</v>
      </c>
      <c r="C10" s="38"/>
      <c r="D10" s="27" t="s">
        <v>231</v>
      </c>
      <c r="E10" s="28" t="s">
        <v>479</v>
      </c>
      <c r="F10" s="39" t="n">
        <v>30</v>
      </c>
      <c r="G10" s="40" t="str">
        <f aca="false">IF(ISBLANK(C10),IF(Fill_Example="Yes",F10,""),C10)</f>
        <v/>
      </c>
    </row>
    <row r="11" customFormat="false" ht="15" hidden="false" customHeight="true" outlineLevel="0" collapsed="false">
      <c r="B11" s="25" t="s">
        <v>505</v>
      </c>
      <c r="C11" s="38"/>
      <c r="D11" s="27" t="s">
        <v>231</v>
      </c>
      <c r="E11" s="28" t="s">
        <v>235</v>
      </c>
      <c r="F11" s="39" t="n">
        <v>10</v>
      </c>
      <c r="G11" s="40" t="str">
        <f aca="false">IF(ISBLANK(C11),IF(Fill_Example="Yes",F11,""),C11)</f>
        <v/>
      </c>
    </row>
    <row r="12" customFormat="false" ht="21.75" hidden="false" customHeight="true" outlineLevel="0" collapsed="false">
      <c r="B12" s="25" t="s">
        <v>506</v>
      </c>
      <c r="C12" s="34"/>
      <c r="D12" s="27" t="s">
        <v>229</v>
      </c>
      <c r="E12" s="35" t="s">
        <v>507</v>
      </c>
      <c r="F12" s="36" t="n">
        <v>0.02</v>
      </c>
      <c r="G12" s="37" t="str">
        <f aca="false">IF(ISBLANK(C12),IF(Fill_Example="Yes",F12,""),C12)</f>
        <v/>
      </c>
    </row>
    <row r="13" customFormat="false" ht="21.75" hidden="false" customHeight="true" outlineLevel="0" collapsed="false">
      <c r="B13" s="25" t="s">
        <v>508</v>
      </c>
      <c r="C13" s="34"/>
      <c r="D13" s="27" t="s">
        <v>229</v>
      </c>
      <c r="E13" s="35" t="s">
        <v>509</v>
      </c>
      <c r="F13" s="36" t="n">
        <v>0.03</v>
      </c>
      <c r="G13" s="37" t="str">
        <f aca="false">IF(ISBLANK(C13),IF(Fill_Example="Yes",F13,""),C13)</f>
        <v/>
      </c>
    </row>
    <row r="14" customFormat="false" ht="21.75" hidden="false" customHeight="true" outlineLevel="0" collapsed="false">
      <c r="B14" s="25" t="s">
        <v>510</v>
      </c>
      <c r="C14" s="34"/>
      <c r="D14" s="27" t="s">
        <v>229</v>
      </c>
      <c r="E14" s="35" t="s">
        <v>511</v>
      </c>
      <c r="F14" s="36" t="n">
        <v>0.01</v>
      </c>
      <c r="G14" s="37" t="str">
        <f aca="false">IF(ISBLANK(C14),IF(Fill_Example="Yes",F14,""),C14)</f>
        <v/>
      </c>
    </row>
    <row r="15" customFormat="false" ht="21.75" hidden="false" customHeight="true" outlineLevel="0" collapsed="false">
      <c r="B15" s="25" t="s">
        <v>233</v>
      </c>
      <c r="C15" s="26"/>
      <c r="D15" s="27" t="s">
        <v>218</v>
      </c>
      <c r="E15" s="35"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29" t="str">
        <f aca="false">IF(ISNUMBER(Suggest_Buying_Fees),Suggest_Buying_Fees,"")</f>
        <v/>
      </c>
      <c r="G15" s="30" t="n">
        <f aca="false">IF(ISBLANK(C15),IF(AND(Fill_Example="Yes",ISNUMBER(F15)),F15,0),C15)</f>
        <v>0</v>
      </c>
    </row>
    <row r="16" customFormat="false" ht="21.75" hidden="false" customHeight="true" outlineLevel="0" collapsed="false">
      <c r="B16" s="25" t="s">
        <v>512</v>
      </c>
      <c r="C16" s="34"/>
      <c r="D16" s="27" t="s">
        <v>229</v>
      </c>
      <c r="E16" s="35"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to leave it out (0%)."&amp;" Allowed: 0% to 6% · steps of 0.5%"</f>
        <v>Type 2 · optional · What your deposit could earn after 33% DIRT if you rent instead. Suggested: 1.29% after DIRT · Central Bank of Ireland: average rate on new fixed-term household deposits, Jul 2026 (1.92% before DIRT). Leave blank to leave it out (0%). Allowed: 0% to 6% · steps of 0.5%</v>
      </c>
      <c r="F16" s="36" t="n">
        <f aca="false">IF(ISNUMBER(Suggest_Deposit_Rate),ROUND(Suggest_Deposit_Rate*(1-DIRT),4),"")</f>
        <v>0.0129</v>
      </c>
      <c r="G16" s="37" t="n">
        <f aca="false">IF(ISBLANK(C16),IF(AND(Fill_Example="Yes",ISNUMBER(F16)),F16,0),C16)</f>
        <v>0</v>
      </c>
    </row>
    <row r="17" customFormat="false" ht="15" hidden="false" customHeight="true" outlineLevel="0" collapsed="false">
      <c r="B17" s="25" t="s">
        <v>234</v>
      </c>
      <c r="C17" s="38"/>
      <c r="D17" s="27" t="s">
        <v>231</v>
      </c>
      <c r="E17" s="28" t="s">
        <v>235</v>
      </c>
      <c r="F17" s="39" t="n">
        <v>3</v>
      </c>
      <c r="G17" s="40" t="str">
        <f aca="false">IF(ISBLANK(C17),IF(Fill_Example="Yes",F17,""),C17)</f>
        <v/>
      </c>
    </row>
    <row r="19" customFormat="false" ht="15" hidden="false" customHeight="true" outlineLevel="0" collapsed="false">
      <c r="B19" s="13" t="s">
        <v>238</v>
      </c>
      <c r="C19" s="24" t="s">
        <v>239</v>
      </c>
      <c r="D19" s="24" t="s">
        <v>240</v>
      </c>
      <c r="E19" s="24" t="s">
        <v>241</v>
      </c>
      <c r="F19" s="14"/>
      <c r="G19" s="14"/>
    </row>
    <row r="20" customFormat="false" ht="17.25" hidden="false" customHeight="true" outlineLevel="0" collapsed="false">
      <c r="B20" s="21" t="s">
        <v>513</v>
      </c>
      <c r="C20" s="41" t="str">
        <f aca="false">IF(Need_1&lt;&gt;"",Need_1,Home_Value-Balance_After)</f>
        <v>Choose your home price to see this</v>
      </c>
      <c r="D20" s="27" t="s">
        <v>218</v>
      </c>
      <c r="E20" s="42" t="s">
        <v>514</v>
      </c>
    </row>
    <row r="21" customFormat="false" ht="17.25" hidden="false" customHeight="true" outlineLevel="0" collapsed="false">
      <c r="B21" s="21" t="s">
        <v>515</v>
      </c>
      <c r="C21" s="41" t="str">
        <f aca="false">IF(Need_2&lt;&gt;"",Need_2,IF(Rent_Growth=0,Monthly_Rent*12*Years,Monthly_Rent*12*((1+Rent_Growth)^Years-1)/Rent_Growth))</f>
        <v>Choose your monthly rent to see this</v>
      </c>
      <c r="D21" s="27" t="s">
        <v>218</v>
      </c>
      <c r="E21" s="42" t="s">
        <v>516</v>
      </c>
    </row>
    <row r="22" customFormat="false" ht="17.25" hidden="false" customHeight="true" outlineLevel="0" collapsed="false">
      <c r="B22" s="21" t="s">
        <v>517</v>
      </c>
      <c r="C22" s="41" t="str">
        <f aca="false">IF(Need_3&lt;&gt;"",Need_3,Interest_Paid+Upkeep+Stamp_Duty+Buying_Fees+Opportunity_Cost)</f>
        <v>Choose your home price to see this</v>
      </c>
      <c r="D22" s="27" t="s">
        <v>218</v>
      </c>
      <c r="E22" s="42" t="s">
        <v>518</v>
      </c>
    </row>
    <row r="23" customFormat="false" ht="15" hidden="false" customHeight="true" outlineLevel="0" collapsed="false">
      <c r="B23" s="25" t="s">
        <v>519</v>
      </c>
      <c r="C23" s="43" t="str">
        <f aca="false">IF(Need_4&lt;&gt;"",Need_4,Home_Price*(1+House_Growth)^Years)</f>
        <v>Choose your home price to see this</v>
      </c>
      <c r="D23" s="27" t="s">
        <v>218</v>
      </c>
      <c r="E23" s="42" t="s">
        <v>520</v>
      </c>
    </row>
    <row r="24" customFormat="false" ht="15" hidden="false" customHeight="true" outlineLevel="0" collapsed="false">
      <c r="B24" s="25" t="s">
        <v>521</v>
      </c>
      <c r="C24" s="43" t="str">
        <f aca="false">IF(Need_5&lt;&gt;"",Need_5,MAX(0,Home_Price-Deposit))</f>
        <v>Choose your home price to see this</v>
      </c>
      <c r="D24" s="27" t="s">
        <v>218</v>
      </c>
      <c r="E24" s="42" t="s">
        <v>522</v>
      </c>
    </row>
    <row r="25" customFormat="false" ht="15" hidden="false" customHeight="true" outlineLevel="0" collapsed="false">
      <c r="B25" s="25" t="s">
        <v>310</v>
      </c>
      <c r="C25" s="43" t="str">
        <f aca="false">IF(Need_6&lt;&gt;"",Need_6,PMT(Mortgage_Rate/12,RentBuy_Term*12,-Loan))</f>
        <v>Choose your home price to see this</v>
      </c>
      <c r="D25" s="27" t="s">
        <v>218</v>
      </c>
      <c r="E25" s="42" t="s">
        <v>523</v>
      </c>
    </row>
    <row r="26" customFormat="false" ht="15" hidden="false" customHeight="true" outlineLevel="0" collapsed="false">
      <c r="B26" s="25" t="s">
        <v>524</v>
      </c>
      <c r="C26" s="43" t="str">
        <f aca="false">IF(Need_7&lt;&gt;"",Need_7,MAX(0,-FV(Mortgage_Rate/12,MIN(Years,RentBuy_Term)*12,-Monthly_Repayment,Loan)))</f>
        <v>Choose your home price to see this</v>
      </c>
      <c r="D26" s="27" t="s">
        <v>218</v>
      </c>
      <c r="E26" s="42" t="s">
        <v>525</v>
      </c>
    </row>
    <row r="27" customFormat="false" ht="15" hidden="false" customHeight="true" outlineLevel="0" collapsed="false">
      <c r="B27" s="25" t="s">
        <v>526</v>
      </c>
      <c r="C27" s="43" t="str">
        <f aca="false">IF(Need_7&lt;&gt;"",Need_7,Monthly_Repayment*MIN(Years,RentBuy_Term)*12-(Loan-Balance_After))</f>
        <v>Choose your home price to see this</v>
      </c>
      <c r="D27" s="27" t="s">
        <v>218</v>
      </c>
      <c r="E27" s="42" t="s">
        <v>527</v>
      </c>
    </row>
    <row r="28" customFormat="false" ht="21.75" hidden="false" customHeight="true" outlineLevel="0" collapsed="false">
      <c r="B28" s="25" t="s">
        <v>528</v>
      </c>
      <c r="C28" s="43" t="str">
        <f aca="false">IF(Need_8&lt;&gt;"",Need_8,IF(House_Growth=0,Home_Price*Upkeep_Rate*Years,Home_Price*Upkeep_Rate*((1+House_Growth)^Years-1)/House_Growth))</f>
        <v>Choose your home price to see this</v>
      </c>
      <c r="D28" s="27" t="s">
        <v>218</v>
      </c>
      <c r="E28" s="42" t="s">
        <v>529</v>
      </c>
    </row>
    <row r="29" customFormat="false" ht="21.75" hidden="false" customHeight="true" outlineLevel="0" collapsed="false">
      <c r="B29" s="25" t="s">
        <v>386</v>
      </c>
      <c r="C29" s="43" t="str">
        <f aca="false">IF(Need_9&lt;&gt;"",Need_9,SD_Rate_1*MIN(Home_Price,SD_Band_1)+SD_Rate_2*MAX(0,MIN(Home_Price,SD_Band_2)-SD_Band_1)+SD_Rate_3*MAX(0,Home_Price-SD_Band_2))</f>
        <v>Choose your home price to see this</v>
      </c>
      <c r="D29" s="27" t="s">
        <v>218</v>
      </c>
      <c r="E29" s="42" t="s">
        <v>249</v>
      </c>
    </row>
    <row r="30" customFormat="false" ht="15" hidden="false" customHeight="true" outlineLevel="0" collapsed="false">
      <c r="B30" s="25" t="s">
        <v>530</v>
      </c>
      <c r="C30" s="43" t="str">
        <f aca="false">IF(Need_10&lt;&gt;"",Need_10,Deposit*((1+Opp_Rate)^Years-1))</f>
        <v>Choose your deposit to see this</v>
      </c>
      <c r="D30" s="27" t="s">
        <v>218</v>
      </c>
      <c r="E30" s="42" t="s">
        <v>531</v>
      </c>
    </row>
    <row r="32" customFormat="false" ht="15" hidden="false" customHeight="true" outlineLevel="0" collapsed="false">
      <c r="B32" s="13" t="s">
        <v>271</v>
      </c>
      <c r="C32" s="14"/>
      <c r="D32" s="14"/>
      <c r="E32" s="14"/>
      <c r="F32" s="14"/>
      <c r="G32" s="14"/>
    </row>
    <row r="33" customFormat="false" ht="27.75" hidden="false" customHeight="true" outlineLevel="0" collapsed="false">
      <c r="B33" s="46" t="s">
        <v>532</v>
      </c>
      <c r="C33" s="46"/>
      <c r="D33" s="46"/>
      <c r="E33" s="46"/>
    </row>
    <row r="34" customFormat="false" ht="27.75" hidden="false" customHeight="true" outlineLevel="0" collapsed="false">
      <c r="B34" s="46" t="s">
        <v>533</v>
      </c>
      <c r="C34" s="46"/>
      <c r="D34" s="46"/>
      <c r="E34" s="46"/>
    </row>
    <row r="35" customFormat="false" ht="27.75" hidden="false" customHeight="true" outlineLevel="0" collapsed="false">
      <c r="B35" s="46" t="s">
        <v>534</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535</v>
      </c>
      <c r="C37" s="46"/>
      <c r="D37" s="46"/>
      <c r="E37" s="46"/>
    </row>
    <row r="38" customFormat="false" ht="27.75" hidden="false" customHeight="true" outlineLevel="0" collapsed="false">
      <c r="B38" s="46" t="s">
        <v>536</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"Buy a home (deposit goal)"</f>
        <v>Buy a home (deposit goal)</v>
      </c>
      <c r="E41" s="49" t="s">
        <v>282</v>
      </c>
    </row>
    <row r="42" customFormat="false" ht="15" hidden="false" customHeight="true" outlineLevel="0" collapsed="false">
      <c r="B42" s="25" t="s">
        <v>393</v>
      </c>
      <c r="C42" s="50" t="str">
        <f aca="false">IF(Need_11&lt;&gt;"",Need_11,ROUND(Deposit+Stamp_Duty+Buying_Fees,0))</f>
        <v>Choose your home price to see this</v>
      </c>
      <c r="E42" s="49" t="s">
        <v>537</v>
      </c>
    </row>
    <row r="43" customFormat="false" ht="15" hidden="false" customHeight="true" outlineLevel="0" collapsed="false">
      <c r="B43" s="25" t="s">
        <v>287</v>
      </c>
      <c r="C43" s="51" t="str">
        <f aca="false">IF(Need_12&lt;&gt;"",Need_12,Home_Goal_Years)</f>
        <v>Choose your years until you buy to see this</v>
      </c>
      <c r="E43" s="49" t="s">
        <v>288</v>
      </c>
    </row>
    <row r="45" customFormat="false" ht="15" hidden="false" customHeight="true" outlineLevel="0" collapsed="false">
      <c r="B45" s="13" t="s">
        <v>289</v>
      </c>
      <c r="C45" s="14"/>
      <c r="D45" s="14"/>
      <c r="E45" s="14"/>
      <c r="F45" s="14"/>
      <c r="G45" s="14"/>
    </row>
    <row r="46" customFormat="false" ht="15" hidden="false" customHeight="true" outlineLevel="0" collapsed="false">
      <c r="B46" s="52" t="s">
        <v>538</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539</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540</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541</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542</v>
      </c>
      <c r="C50" s="52" t="str">
        <f aca="false">IF(Home_Price="","Choose your home price to see this",IF(Deposit="","Choose your deposit to see this",""))</f>
        <v>Choose your home price to see this</v>
      </c>
    </row>
    <row r="51" customFormat="false" ht="15" hidden="false" customHeight="true" outlineLevel="0" collapsed="false">
      <c r="B51" s="52" t="s">
        <v>543</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544</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545</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401</v>
      </c>
      <c r="C54" s="52" t="str">
        <f aca="false">IF(Home_Price="","Choose your home price to see this","")</f>
        <v>Choose your home price to see this</v>
      </c>
    </row>
    <row r="55" customFormat="false" ht="15" hidden="false" customHeight="true" outlineLevel="0" collapsed="false">
      <c r="B55" s="52" t="s">
        <v>546</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547</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296</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548</v>
      </c>
      <c r="E1" s="3" t="s">
        <v>549</v>
      </c>
    </row>
    <row r="2" customFormat="false" ht="15" hidden="false" customHeight="true" outlineLevel="0" collapsed="false">
      <c r="B2" s="21" t="s">
        <v>550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551</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213</v>
      </c>
      <c r="C9" s="24" t="s">
        <v>214</v>
      </c>
      <c r="D9" s="24" t="s">
        <v>215</v>
      </c>
      <c r="E9" s="24" t="s">
        <v>216</v>
      </c>
      <c r="F9" s="14"/>
      <c r="G9" s="14"/>
    </row>
    <row r="10" customFormat="false" ht="15" hidden="false" customHeight="true" outlineLevel="0" collapsed="false">
      <c r="B10" s="25" t="s">
        <v>556</v>
      </c>
      <c r="C10" s="26"/>
      <c r="D10" s="27" t="s">
        <v>218</v>
      </c>
      <c r="E10" s="28" t="s">
        <v>557</v>
      </c>
      <c r="F10" s="29" t="n">
        <v>15000</v>
      </c>
      <c r="G10" s="30" t="str">
        <f aca="false">IF(ISBLANK(C10),IF(Fill_Example="Yes",F10,""),C10)</f>
        <v/>
      </c>
    </row>
    <row r="11" customFormat="false" ht="15" hidden="false" customHeight="true" outlineLevel="0" collapsed="false">
      <c r="B11" s="25" t="s">
        <v>558</v>
      </c>
      <c r="C11" s="38"/>
      <c r="D11" s="27" t="s">
        <v>231</v>
      </c>
      <c r="E11" s="28" t="s">
        <v>235</v>
      </c>
      <c r="F11" s="39" t="n">
        <v>3</v>
      </c>
      <c r="G11" s="40" t="str">
        <f aca="false">IF(ISBLANK(C11),IF(Fill_Example="Yes",F11,""),C11)</f>
        <v/>
      </c>
    </row>
    <row r="12" customFormat="false" ht="15" hidden="false" customHeight="true" outlineLevel="0" collapsed="false">
      <c r="B12" s="25" t="s">
        <v>285</v>
      </c>
      <c r="C12" s="26"/>
      <c r="D12" s="27" t="s">
        <v>218</v>
      </c>
      <c r="E12" s="28" t="s">
        <v>559</v>
      </c>
      <c r="F12" s="29" t="n">
        <v>2000</v>
      </c>
      <c r="G12" s="30" t="str">
        <f aca="false">IF(ISBLANK(C12),IF(Fill_Example="Yes",F12,""),C12)</f>
        <v/>
      </c>
    </row>
    <row r="13" customFormat="false" ht="21.75" hidden="false" customHeight="true" outlineLevel="0" collapsed="false">
      <c r="B13" s="25" t="s">
        <v>560</v>
      </c>
      <c r="C13" s="34"/>
      <c r="D13" s="27" t="s">
        <v>229</v>
      </c>
      <c r="E13" s="35" t="s">
        <v>561</v>
      </c>
      <c r="F13" s="36" t="n">
        <v>0.01</v>
      </c>
      <c r="G13" s="37" t="str">
        <f aca="false">IF(ISBLANK(C13),IF(Fill_Example="Yes",F13,""),C13)</f>
        <v/>
      </c>
    </row>
    <row r="15" customFormat="false" ht="15" hidden="false" customHeight="true" outlineLevel="0" collapsed="false">
      <c r="B15" s="13" t="s">
        <v>238</v>
      </c>
      <c r="C15" s="24" t="s">
        <v>239</v>
      </c>
      <c r="D15" s="24" t="s">
        <v>240</v>
      </c>
      <c r="E15" s="24" t="s">
        <v>241</v>
      </c>
      <c r="F15" s="14"/>
      <c r="G15" s="14"/>
    </row>
    <row r="16" customFormat="false" ht="17.25" hidden="false" customHeight="true" outlineLevel="0" collapsed="false">
      <c r="B16" s="21" t="s">
        <v>562</v>
      </c>
      <c r="C16" s="41" t="str">
        <f aca="false">IF(Need_1&lt;&gt;"",Need_1,IF(Inflation_Choice="","Choose your inflation rate to see this",PMT(Monthly_Growth,Years*12,0,-Still_Needed)))</f>
        <v>Choose your inflation rate to see this</v>
      </c>
      <c r="D16" s="27" t="s">
        <v>218</v>
      </c>
      <c r="E16" s="42" t="s">
        <v>563</v>
      </c>
    </row>
    <row r="17" customFormat="false" ht="17.25" hidden="false" customHeight="true" outlineLevel="0" collapsed="false">
      <c r="B17" s="21" t="s">
        <v>564</v>
      </c>
      <c r="C17" s="41" t="str">
        <f aca="false">IF(Need_2&lt;&gt;"",Need_2,IF(Inflation_Choice="","Choose your inflation rate to see this",Goal_Amount*(1+Inflation_Choice)^Years))</f>
        <v>Choose your inflation rate to see this</v>
      </c>
      <c r="D17" s="27" t="s">
        <v>218</v>
      </c>
      <c r="E17" s="42" t="s">
        <v>565</v>
      </c>
    </row>
    <row r="18" customFormat="false" ht="15" hidden="false" customHeight="true" outlineLevel="0" collapsed="false">
      <c r="B18" s="25" t="s">
        <v>566</v>
      </c>
      <c r="C18" s="43" t="str">
        <f aca="false">IF(Need_3&lt;&gt;"",Need_3,Saved*(1+Growth_Rate)^Years)</f>
        <v>Choose your years until the goal to see this</v>
      </c>
      <c r="D18" s="27" t="s">
        <v>218</v>
      </c>
      <c r="E18" s="42" t="s">
        <v>567</v>
      </c>
    </row>
    <row r="19" customFormat="false" ht="15" hidden="false" customHeight="true" outlineLevel="0" collapsed="false">
      <c r="B19" s="25" t="s">
        <v>568</v>
      </c>
      <c r="C19" s="43" t="str">
        <f aca="false">IF(Need_1&lt;&gt;"",Need_1,IF(Inflation_Choice="","Choose your inflation rate to see this",MAX(0,Future_Cost-Saved_Grows_To)))</f>
        <v>Choose your inflation rate to see this</v>
      </c>
      <c r="D19" s="27" t="s">
        <v>218</v>
      </c>
      <c r="E19" s="42" t="s">
        <v>569</v>
      </c>
    </row>
    <row r="20" customFormat="false" ht="15" hidden="false" customHeight="true" outlineLevel="0" collapsed="false">
      <c r="B20" s="25" t="s">
        <v>570</v>
      </c>
      <c r="C20" s="64" t="str">
        <f aca="false">IF(Need_4&lt;&gt;"",Need_4,(1+Growth_Rate)^(1/12)-1)</f>
        <v>Choose your growth rate to see this</v>
      </c>
      <c r="D20" s="27"/>
      <c r="E20" s="42" t="s">
        <v>571</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271</v>
      </c>
      <c r="C23" s="14"/>
      <c r="D23" s="14"/>
      <c r="E23" s="14"/>
      <c r="F23" s="14"/>
      <c r="G23" s="14"/>
    </row>
    <row r="24" customFormat="false" ht="13.5" hidden="false" customHeight="true" outlineLevel="0" collapsed="false">
      <c r="B24" s="46" t="s">
        <v>572</v>
      </c>
      <c r="C24" s="46"/>
      <c r="D24" s="46"/>
      <c r="E24" s="46"/>
    </row>
    <row r="25" customFormat="false" ht="13.5" hidden="false" customHeight="true" outlineLevel="0" collapsed="false">
      <c r="B25" s="46" t="s">
        <v>573</v>
      </c>
      <c r="C25" s="46"/>
      <c r="D25" s="46"/>
      <c r="E25" s="46"/>
    </row>
    <row r="26" customFormat="false" ht="13.5" hidden="false" customHeight="true" outlineLevel="0" collapsed="false">
      <c r="B26" s="46" t="s">
        <v>574</v>
      </c>
      <c r="C26" s="46"/>
      <c r="D26" s="46"/>
      <c r="E26" s="46"/>
    </row>
    <row r="27" customFormat="false" ht="13.5" hidden="false" customHeight="true" outlineLevel="0" collapsed="false">
      <c r="B27" s="47" t="s">
        <v>275</v>
      </c>
      <c r="C27" s="47"/>
      <c r="D27" s="47"/>
      <c r="E27" s="47"/>
    </row>
    <row r="28" customFormat="false" ht="13.5" hidden="false" customHeight="true" outlineLevel="0" collapsed="false">
      <c r="B28" s="46" t="s">
        <v>575</v>
      </c>
      <c r="C28" s="46"/>
      <c r="D28" s="46"/>
      <c r="E28" s="46"/>
    </row>
    <row r="29" customFormat="false" ht="13.5" hidden="false" customHeight="true" outlineLevel="0" collapsed="false">
      <c r="B29" s="46" t="s">
        <v>576</v>
      </c>
      <c r="C29" s="46"/>
      <c r="D29" s="46"/>
      <c r="E29" s="46"/>
    </row>
    <row r="31" customFormat="false" ht="15" hidden="false" customHeight="true" outlineLevel="0" collapsed="false">
      <c r="B31" s="13" t="s">
        <v>280</v>
      </c>
      <c r="C31" s="14"/>
      <c r="D31" s="14"/>
      <c r="E31" s="14"/>
      <c r="F31" s="14"/>
      <c r="G31" s="14"/>
    </row>
    <row r="32" customFormat="false" ht="15" hidden="false" customHeight="true" outlineLevel="0" collapsed="false">
      <c r="B32" s="25" t="s">
        <v>281</v>
      </c>
      <c r="C32" s="48" t="str">
        <f aca="false">"My goal (spend goal)"</f>
        <v>My goal (spend goal)</v>
      </c>
      <c r="E32" s="49" t="s">
        <v>577</v>
      </c>
    </row>
    <row r="33" customFormat="false" ht="15" hidden="false" customHeight="true" outlineLevel="0" collapsed="false">
      <c r="B33" s="25" t="s">
        <v>578</v>
      </c>
      <c r="C33" s="50" t="str">
        <f aca="false">IF(Need_5&lt;&gt;"",Need_5,Goal_Amount)</f>
        <v>Choose your goal amount to see this</v>
      </c>
      <c r="E33" s="49" t="s">
        <v>579</v>
      </c>
    </row>
    <row r="34" customFormat="false" ht="15" hidden="false" customHeight="true" outlineLevel="0" collapsed="false">
      <c r="B34" s="25" t="s">
        <v>285</v>
      </c>
      <c r="C34" s="50" t="str">
        <f aca="false">IF(Need_6&lt;&gt;"",Need_6,Saved)</f>
        <v>Choose your already saved to see this</v>
      </c>
      <c r="E34" s="49" t="s">
        <v>395</v>
      </c>
    </row>
    <row r="35" customFormat="false" ht="15" hidden="false" customHeight="true" outlineLevel="0" collapsed="false">
      <c r="B35" s="25" t="s">
        <v>287</v>
      </c>
      <c r="C35" s="51" t="str">
        <f aca="false">IF(Need_7&lt;&gt;"",Need_7,Years)</f>
        <v>Choose your years until the goal to see this</v>
      </c>
      <c r="E35" s="49" t="s">
        <v>580</v>
      </c>
    </row>
    <row r="36" customFormat="false" ht="15" hidden="false" customHeight="true" outlineLevel="0" collapsed="false">
      <c r="B36" s="25" t="s">
        <v>581</v>
      </c>
      <c r="C36" s="69" t="str">
        <f aca="false">IF(Inflation_Choice="","Choose an inflation rate first",Inflation_Choice)</f>
        <v>Choose an inflation rate first</v>
      </c>
      <c r="E36" s="49" t="s">
        <v>582</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583</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584</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585</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586</v>
      </c>
      <c r="C42" s="52" t="str">
        <f aca="false">IF(Growth_Rate="","Choose your growth rate to see this","")</f>
        <v>Choose your growth rate to see this</v>
      </c>
    </row>
    <row r="43" customFormat="false" ht="15" hidden="false" customHeight="true" outlineLevel="0" collapsed="false">
      <c r="B43" s="52" t="s">
        <v>587</v>
      </c>
      <c r="C43" s="52" t="str">
        <f aca="false">IF(Goal_Amount="","Choose your goal amount to see this","")</f>
        <v>Choose your goal amount to see this</v>
      </c>
    </row>
    <row r="44" customFormat="false" ht="15" hidden="false" customHeight="true" outlineLevel="0" collapsed="false">
      <c r="B44" s="52" t="s">
        <v>588</v>
      </c>
      <c r="C44" s="52" t="str">
        <f aca="false">IF(Saved="","Choose your already saved to see this","")</f>
        <v>Choose your already saved to see this</v>
      </c>
    </row>
    <row r="45" customFormat="false" ht="15" hidden="false" customHeight="true" outlineLevel="0" collapsed="false">
      <c r="B45" s="52" t="s">
        <v>589</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590</v>
      </c>
      <c r="E1" s="3" t="s">
        <v>591</v>
      </c>
    </row>
    <row r="2" customFormat="false" ht="15" hidden="false" customHeight="true" outlineLevel="0" collapsed="false">
      <c r="B2" s="21" t="s">
        <v>592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593</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213</v>
      </c>
      <c r="C9" s="24" t="s">
        <v>214</v>
      </c>
      <c r="D9" s="24" t="s">
        <v>215</v>
      </c>
      <c r="E9" s="24" t="s">
        <v>216</v>
      </c>
      <c r="F9" s="14"/>
      <c r="G9" s="14"/>
    </row>
    <row r="10" customFormat="false" ht="15" hidden="false" customHeight="true" outlineLevel="0" collapsed="false">
      <c r="B10" s="25" t="s">
        <v>594</v>
      </c>
      <c r="C10" s="26"/>
      <c r="D10" s="27" t="s">
        <v>218</v>
      </c>
      <c r="E10" s="28" t="s">
        <v>559</v>
      </c>
      <c r="F10" s="29" t="n">
        <v>5000</v>
      </c>
      <c r="G10" s="30" t="str">
        <f aca="false">IF(ISBLANK(C10),IF(Fill_Example="Yes",F10,""),C10)</f>
        <v/>
      </c>
    </row>
    <row r="11" customFormat="false" ht="15" hidden="false" customHeight="true" outlineLevel="0" collapsed="false">
      <c r="B11" s="25" t="s">
        <v>595</v>
      </c>
      <c r="C11" s="26"/>
      <c r="D11" s="27" t="s">
        <v>218</v>
      </c>
      <c r="E11" s="28" t="s">
        <v>596</v>
      </c>
      <c r="F11" s="29" t="n">
        <v>200</v>
      </c>
      <c r="G11" s="30" t="str">
        <f aca="false">IF(ISBLANK(C11),IF(Fill_Example="Yes",F11,""),C11)</f>
        <v/>
      </c>
    </row>
    <row r="12" customFormat="false" ht="21.75" hidden="false" customHeight="true" outlineLevel="0" collapsed="false">
      <c r="B12" s="25" t="s">
        <v>597</v>
      </c>
      <c r="C12" s="34"/>
      <c r="D12" s="27" t="s">
        <v>229</v>
      </c>
      <c r="E12" s="35" t="s">
        <v>598</v>
      </c>
      <c r="F12" s="36" t="n">
        <v>0.05</v>
      </c>
      <c r="G12" s="37" t="str">
        <f aca="false">IF(ISBLANK(C12),IF(Fill_Example="Yes",F12,""),C12)</f>
        <v/>
      </c>
    </row>
    <row r="13" customFormat="false" ht="15" hidden="false" customHeight="true" outlineLevel="0" collapsed="false">
      <c r="B13" s="25" t="s">
        <v>599</v>
      </c>
      <c r="C13" s="38"/>
      <c r="D13" s="27" t="s">
        <v>231</v>
      </c>
      <c r="E13" s="28" t="s">
        <v>600</v>
      </c>
      <c r="F13" s="39" t="n">
        <v>20</v>
      </c>
      <c r="G13" s="40" t="str">
        <f aca="false">IF(ISBLANK(C13),IF(Fill_Example="Yes",F13,""),C13)</f>
        <v/>
      </c>
    </row>
    <row r="15" customFormat="false" ht="15" hidden="false" customHeight="true" outlineLevel="0" collapsed="false">
      <c r="B15" s="13" t="s">
        <v>238</v>
      </c>
      <c r="C15" s="24" t="s">
        <v>239</v>
      </c>
      <c r="D15" s="24" t="s">
        <v>240</v>
      </c>
      <c r="E15" s="24" t="s">
        <v>241</v>
      </c>
      <c r="F15" s="14"/>
      <c r="G15" s="14"/>
    </row>
    <row r="16" customFormat="false" ht="17.25" hidden="false" customHeight="true" outlineLevel="0" collapsed="false">
      <c r="B16" s="21" t="s">
        <v>601</v>
      </c>
      <c r="C16" s="41" t="str">
        <f aca="false">IF(Need_1&lt;&gt;"",Need_1,FV(Monthly_Growth,Years*12,-Monthly_Addition,-Starting_Amount))</f>
        <v>Choose your starting amount to see this</v>
      </c>
      <c r="D16" s="27" t="s">
        <v>218</v>
      </c>
      <c r="E16" s="42" t="s">
        <v>602</v>
      </c>
    </row>
    <row r="17" customFormat="false" ht="17.25" hidden="false" customHeight="true" outlineLevel="0" collapsed="false">
      <c r="B17" s="21" t="s">
        <v>603</v>
      </c>
      <c r="C17" s="41" t="str">
        <f aca="false">IF(Need_2&lt;&gt;"",Need_2,IF(Inflation_Choice="","Choose your inflation rate to see this",Grows_To/(1+Inflation_Choice)^Years))</f>
        <v>Choose your inflation rate to see this</v>
      </c>
      <c r="D17" s="27" t="s">
        <v>218</v>
      </c>
      <c r="E17" s="42" t="s">
        <v>604</v>
      </c>
    </row>
    <row r="18" customFormat="false" ht="15" hidden="false" customHeight="true" outlineLevel="0" collapsed="false">
      <c r="B18" s="25" t="s">
        <v>605</v>
      </c>
      <c r="C18" s="43" t="str">
        <f aca="false">IF(Need_3&lt;&gt;"",Need_3,Starting_Amount+Monthly_Addition*12*Years)</f>
        <v>Choose your starting amount to see this</v>
      </c>
      <c r="D18" s="27" t="s">
        <v>218</v>
      </c>
      <c r="E18" s="42" t="s">
        <v>606</v>
      </c>
    </row>
    <row r="19" customFormat="false" ht="15" hidden="false" customHeight="true" outlineLevel="0" collapsed="false">
      <c r="B19" s="25" t="s">
        <v>607</v>
      </c>
      <c r="C19" s="43" t="str">
        <f aca="false">IF(Need_1&lt;&gt;"",Need_1,Grows_To-Paid_In)</f>
        <v>Choose your starting amount to see this</v>
      </c>
      <c r="D19" s="27" t="s">
        <v>218</v>
      </c>
      <c r="E19" s="42" t="s">
        <v>608</v>
      </c>
    </row>
    <row r="20" customFormat="false" ht="15" hidden="false" customHeight="true" outlineLevel="0" collapsed="false">
      <c r="B20" s="25" t="s">
        <v>570</v>
      </c>
      <c r="C20" s="64" t="str">
        <f aca="false">IF(Need_4&lt;&gt;"",Need_4,(1+Growth_Rate)^(1/12)-1)</f>
        <v>Choose your growth rate to see this</v>
      </c>
      <c r="D20" s="27"/>
      <c r="E20" s="42" t="s">
        <v>571</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271</v>
      </c>
      <c r="C23" s="14"/>
      <c r="D23" s="14"/>
      <c r="E23" s="14"/>
      <c r="F23" s="14"/>
      <c r="G23" s="14"/>
    </row>
    <row r="24" customFormat="false" ht="27.75" hidden="false" customHeight="true" outlineLevel="0" collapsed="false">
      <c r="B24" s="46" t="s">
        <v>609</v>
      </c>
      <c r="C24" s="46"/>
      <c r="D24" s="46"/>
      <c r="E24" s="46"/>
    </row>
    <row r="25" customFormat="false" ht="13.5" hidden="false" customHeight="true" outlineLevel="0" collapsed="false">
      <c r="B25" s="46" t="s">
        <v>610</v>
      </c>
      <c r="C25" s="46"/>
      <c r="D25" s="46"/>
      <c r="E25" s="46"/>
    </row>
    <row r="26" customFormat="false" ht="13.5" hidden="false" customHeight="true" outlineLevel="0" collapsed="false">
      <c r="B26" s="47" t="s">
        <v>275</v>
      </c>
      <c r="C26" s="47"/>
      <c r="D26" s="47"/>
      <c r="E26" s="47"/>
    </row>
    <row r="27" customFormat="false" ht="13.5" hidden="false" customHeight="true" outlineLevel="0" collapsed="false">
      <c r="B27" s="46" t="s">
        <v>611</v>
      </c>
      <c r="C27" s="46"/>
      <c r="D27" s="46"/>
      <c r="E27" s="46"/>
    </row>
    <row r="28" customFormat="false" ht="13.5" hidden="false" customHeight="true" outlineLevel="0" collapsed="false">
      <c r="B28" s="46" t="s">
        <v>612</v>
      </c>
      <c r="C28" s="46"/>
      <c r="D28" s="46"/>
      <c r="E28" s="46"/>
    </row>
    <row r="30" customFormat="false" ht="15" hidden="false" customHeight="true" outlineLevel="0" collapsed="false">
      <c r="B30" s="13" t="s">
        <v>280</v>
      </c>
      <c r="C30" s="14"/>
      <c r="D30" s="14"/>
      <c r="E30" s="14"/>
      <c r="F30" s="14"/>
      <c r="G30" s="14"/>
    </row>
    <row r="31" customFormat="false" ht="15" hidden="false" customHeight="true" outlineLevel="0" collapsed="false">
      <c r="B31" s="25" t="s">
        <v>281</v>
      </c>
      <c r="C31" s="48" t="str">
        <f aca="false">"Grow my wealth (plan kind pot)"</f>
        <v>Grow my wealth (plan kind pot)</v>
      </c>
      <c r="E31" s="49" t="s">
        <v>613</v>
      </c>
    </row>
    <row r="32" customFormat="false" ht="15" hidden="false" customHeight="true" outlineLevel="0" collapsed="false">
      <c r="B32" s="25" t="s">
        <v>614</v>
      </c>
      <c r="C32" s="50" t="str">
        <f aca="false">IF(Need_1&lt;&gt;"",Need_1,IF(Inflation_Choice="","Choose an inflation rate first",ROUND(Value_Today,0)))</f>
        <v>Choose your starting amount to see this</v>
      </c>
      <c r="E32" s="49" t="s">
        <v>615</v>
      </c>
    </row>
    <row r="33" customFormat="false" ht="15" hidden="false" customHeight="true" outlineLevel="0" collapsed="false">
      <c r="B33" s="25" t="s">
        <v>287</v>
      </c>
      <c r="C33" s="51" t="str">
        <f aca="false">IF(Need_5&lt;&gt;"",Need_5,Years)</f>
        <v>Choose your years to see this</v>
      </c>
      <c r="E33" s="49" t="s">
        <v>580</v>
      </c>
    </row>
    <row r="34" customFormat="false" ht="15" hidden="false" customHeight="true" outlineLevel="0" collapsed="false">
      <c r="B34" s="25" t="s">
        <v>581</v>
      </c>
      <c r="C34" s="69" t="str">
        <f aca="false">IF(Inflation_Choice="","Choose an inflation rate first",Inflation_Choice)</f>
        <v>Choose an inflation rate first</v>
      </c>
      <c r="E34" s="49" t="s">
        <v>582</v>
      </c>
    </row>
    <row r="35" customFormat="false" ht="13.5" hidden="false" customHeight="true" outlineLevel="0" collapsed="false">
      <c r="B35" s="53" t="s">
        <v>616</v>
      </c>
      <c r="C35" s="53"/>
      <c r="D35" s="53"/>
      <c r="E35" s="53"/>
    </row>
    <row r="37" customFormat="false" ht="15" hidden="false" customHeight="true" outlineLevel="0" collapsed="false">
      <c r="B37" s="13" t="s">
        <v>289</v>
      </c>
      <c r="C37" s="14"/>
      <c r="D37" s="14"/>
      <c r="E37" s="14"/>
      <c r="F37" s="14"/>
      <c r="G37" s="14"/>
    </row>
    <row r="38" customFormat="false" ht="15" hidden="false" customHeight="true" outlineLevel="0" collapsed="false">
      <c r="B38" s="52" t="s">
        <v>617</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618</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619</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586</v>
      </c>
      <c r="C41" s="52" t="str">
        <f aca="false">IF(Growth_Rate="","Choose your growth rate to see this","")</f>
        <v>Choose your growth rate to see this</v>
      </c>
    </row>
    <row r="42" customFormat="false" ht="15" hidden="false" customHeight="true" outlineLevel="0" collapsed="false">
      <c r="B42" s="52" t="s">
        <v>620</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621</v>
      </c>
      <c r="E1" s="3" t="s">
        <v>622</v>
      </c>
    </row>
    <row r="2" customFormat="false" ht="15" hidden="false" customHeight="true" outlineLevel="0" collapsed="false">
      <c r="B2" s="21" t="s">
        <v>623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624</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626</v>
      </c>
      <c r="C11" s="54"/>
      <c r="D11" s="27" t="s">
        <v>218</v>
      </c>
      <c r="E11" s="28" t="s">
        <v>627</v>
      </c>
      <c r="G11" s="52" t="s">
        <v>305</v>
      </c>
    </row>
    <row r="12" customFormat="false" ht="15" hidden="false" customHeight="true" outlineLevel="0" collapsed="false">
      <c r="B12" s="25" t="s">
        <v>628</v>
      </c>
      <c r="C12" s="55"/>
      <c r="D12" s="27" t="s">
        <v>229</v>
      </c>
      <c r="E12" s="28" t="s">
        <v>629</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630</v>
      </c>
      <c r="C16" s="26"/>
      <c r="D16" s="27" t="s">
        <v>218</v>
      </c>
      <c r="E16" s="28" t="s">
        <v>631</v>
      </c>
      <c r="F16" s="29" t="n">
        <v>10000</v>
      </c>
      <c r="G16" s="30" t="str">
        <f aca="false">IF(ISBLANK(C16),IF(Fill_Example="Yes",F16,""),C16)</f>
        <v/>
      </c>
    </row>
    <row r="17" customFormat="false" ht="21.75" hidden="false" customHeight="true" outlineLevel="0" collapsed="false">
      <c r="B17" s="25" t="s">
        <v>632</v>
      </c>
      <c r="C17" s="34"/>
      <c r="D17" s="27" t="s">
        <v>229</v>
      </c>
      <c r="E17" s="35" t="s">
        <v>598</v>
      </c>
      <c r="F17" s="36" t="n">
        <v>0.05</v>
      </c>
      <c r="G17" s="37" t="str">
        <f aca="false">IF(ISBLANK(C17),IF(Fill_Example="Yes",F17,""),C17)</f>
        <v/>
      </c>
    </row>
    <row r="18" customFormat="false" ht="15" hidden="false" customHeight="true" outlineLevel="0" collapsed="false">
      <c r="B18" s="25" t="s">
        <v>599</v>
      </c>
      <c r="C18" s="38"/>
      <c r="D18" s="27" t="s">
        <v>231</v>
      </c>
      <c r="E18" s="28" t="s">
        <v>600</v>
      </c>
      <c r="F18" s="39" t="n">
        <v>15</v>
      </c>
      <c r="G18" s="40" t="str">
        <f aca="false">IF(ISBLANK(C18),IF(Fill_Example="Yes",F18,""),C18)</f>
        <v/>
      </c>
    </row>
    <row r="19" customFormat="false" ht="21.75" hidden="false" customHeight="true" outlineLevel="0" collapsed="false">
      <c r="B19" s="25" t="s">
        <v>633</v>
      </c>
      <c r="C19" s="34"/>
      <c r="D19" s="27" t="s">
        <v>229</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21.75" hidden="false" customHeight="true" outlineLevel="0" collapsed="false">
      <c r="B20" s="25" t="s">
        <v>634</v>
      </c>
      <c r="C20" s="38"/>
      <c r="D20" s="27" t="s">
        <v>231</v>
      </c>
      <c r="E20" s="35" t="s">
        <v>635</v>
      </c>
      <c r="F20" s="39" t="n">
        <v>5</v>
      </c>
      <c r="G20" s="40" t="str">
        <f aca="false">IF(ISBLANK(C20),IF(Fill_Example="Yes",F20,""),C20)</f>
        <v/>
      </c>
    </row>
    <row r="21" customFormat="false" ht="15" hidden="false" customHeight="true" outlineLevel="0" collapsed="false">
      <c r="B21" s="25" t="s">
        <v>636</v>
      </c>
      <c r="C21" s="31"/>
      <c r="D21" s="27" t="s">
        <v>225</v>
      </c>
      <c r="E21" s="28" t="s">
        <v>637</v>
      </c>
      <c r="F21" s="32" t="s">
        <v>3</v>
      </c>
      <c r="G21" s="33" t="str">
        <f aca="false">IF(ISBLANK(C21),F21,C21)</f>
        <v>No</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638</v>
      </c>
      <c r="C24" s="45" t="str">
        <f aca="false">IF(COUNTA(Stmt_Total_Value,Stmt_Charges,Stmt_Statement_Date)&gt;0,"Yes","No")</f>
        <v>No</v>
      </c>
      <c r="D24" s="27"/>
      <c r="E24" s="42" t="s">
        <v>639</v>
      </c>
    </row>
    <row r="25" customFormat="false" ht="15" hidden="false" customHeight="true" outlineLevel="0" collapsed="false">
      <c r="B25" s="25" t="s">
        <v>630</v>
      </c>
      <c r="C25" s="58" t="str">
        <f aca="false">IF(ISBLANK(Stmt_Total_Value),Amount,Stmt_Total_Value)</f>
        <v/>
      </c>
      <c r="D25" s="59" t="str">
        <f aca="false">IF(ISBLANK(Stmt_Total_Value),"Your figure","From your statement")</f>
        <v>Your figure</v>
      </c>
      <c r="E25" s="49" t="s">
        <v>640</v>
      </c>
    </row>
    <row r="26" customFormat="false" ht="15" hidden="false" customHeight="true" outlineLevel="0" collapsed="false">
      <c r="B26" s="25" t="s">
        <v>633</v>
      </c>
      <c r="C26" s="60" t="str">
        <f aca="false">IF(NOT(ISBLANK(Stmt_Charges)),Stmt_Charges,IF(Statement_Uploaded="Yes",0,Yearly_Fees))</f>
        <v/>
      </c>
      <c r="D26" s="59" t="str">
        <f aca="false">IF(NOT(ISBLANK(Stmt_Charges)),"From your statement",IF(Statement_Uploaded="Yes","None shown on your statement","Your figure"))</f>
        <v>Your figure</v>
      </c>
      <c r="E26" s="49" t="s">
        <v>641</v>
      </c>
    </row>
    <row r="27" customFormat="false" ht="21.75" hidden="false" customHeight="true" outlineLevel="0" collapsed="false">
      <c r="B27" s="25" t="s">
        <v>330</v>
      </c>
      <c r="C27" s="45" t="str">
        <f aca="true">IF(ISBLANK(Stmt_Statement_Date),"",IF(TODAY()-Stmt_Statement_Date&gt;Statement_Max_Age_Days,"Needs a look: statement is more than 12 months old","Up to date"))</f>
        <v/>
      </c>
      <c r="D27" s="27"/>
      <c r="E27" s="42" t="s">
        <v>331</v>
      </c>
    </row>
    <row r="29" customFormat="false" ht="15" hidden="false" customHeight="true" outlineLevel="0" collapsed="false">
      <c r="B29" s="13" t="s">
        <v>238</v>
      </c>
      <c r="C29" s="24" t="s">
        <v>239</v>
      </c>
      <c r="D29" s="24" t="s">
        <v>240</v>
      </c>
      <c r="E29" s="24" t="s">
        <v>241</v>
      </c>
      <c r="F29" s="14"/>
      <c r="G29" s="14"/>
    </row>
    <row r="30" customFormat="false" ht="17.25" hidden="false" customHeight="true" outlineLevel="0" collapsed="false">
      <c r="B30" s="21" t="s">
        <v>642</v>
      </c>
      <c r="C30" s="41" t="str">
        <f aca="false">IF(Need_1&lt;&gt;"",Need_1,IF(Adjust_For_Inflation="Yes",Value_Today,Grows_To))</f>
        <v>Choose your growth rate to see this</v>
      </c>
      <c r="D30" s="27" t="s">
        <v>218</v>
      </c>
      <c r="E30" s="42" t="s">
        <v>643</v>
      </c>
    </row>
    <row r="31" customFormat="false" ht="15" hidden="false" customHeight="true" outlineLevel="0" collapsed="false">
      <c r="B31" s="25" t="s">
        <v>644</v>
      </c>
      <c r="C31" s="43" t="str">
        <f aca="false">IF(Need_1&lt;&gt;"",Need_1,Used_Amount*(1+Growth_After_Fees)^Years)</f>
        <v>Choose your growth rate to see this</v>
      </c>
      <c r="D31" s="27" t="s">
        <v>218</v>
      </c>
      <c r="E31" s="42" t="s">
        <v>645</v>
      </c>
    </row>
    <row r="32" customFormat="false" ht="15" hidden="false" customHeight="true" outlineLevel="0" collapsed="false">
      <c r="B32" s="25" t="s">
        <v>603</v>
      </c>
      <c r="C32" s="43" t="str">
        <f aca="false">IF(Need_2&lt;&gt;"",Need_2,IF(Inflation_Choice="","Choose your inflation rate to see this",Grows_To/(1+Inflation_Choice)^Years))</f>
        <v>Choose your inflation rate to see this</v>
      </c>
      <c r="D32" s="27" t="s">
        <v>218</v>
      </c>
      <c r="E32" s="42" t="s">
        <v>604</v>
      </c>
    </row>
    <row r="33" customFormat="false" ht="15" hidden="false" customHeight="true" outlineLevel="0" collapsed="false">
      <c r="B33" s="25" t="s">
        <v>646</v>
      </c>
      <c r="C33" s="43" t="str">
        <f aca="false">IF(Need_3&lt;&gt;"",Need_3,Used_Amount*(1+Growth_After_Fees)^MAX(0,Years-Wait_Years))</f>
        <v>Choose your growth rate to see this</v>
      </c>
      <c r="D33" s="27" t="s">
        <v>218</v>
      </c>
      <c r="E33" s="42" t="s">
        <v>647</v>
      </c>
    </row>
    <row r="34" customFormat="false" ht="21.75" hidden="false" customHeight="true" outlineLevel="0" collapsed="false">
      <c r="B34" s="21" t="s">
        <v>648</v>
      </c>
      <c r="C34" s="41" t="str">
        <f aca="false">IF(Need_3&lt;&gt;"",Need_3,IF(Adjust_For_Inflation="Yes",IF(Inflation_Choice="","Choose your inflation rate to see this",(Grows_To-Value_Start_Later)/(1+Inflation_Choice)^Years),Grows_To-Value_Start_Later))</f>
        <v>Choose your growth rate to see this</v>
      </c>
      <c r="D34" s="27" t="s">
        <v>218</v>
      </c>
      <c r="E34" s="42" t="s">
        <v>649</v>
      </c>
    </row>
    <row r="35" customFormat="false" ht="15" hidden="false" customHeight="true" outlineLevel="0" collapsed="false">
      <c r="B35" s="25" t="s">
        <v>650</v>
      </c>
      <c r="C35" s="43" t="str">
        <f aca="false">IF(Need_1&lt;&gt;"",Need_1,Used_Amount*(1+Growth_Rate)^Years-Grows_To)</f>
        <v>Choose your growth rate to see this</v>
      </c>
      <c r="D35" s="27" t="s">
        <v>218</v>
      </c>
      <c r="E35" s="42" t="s">
        <v>651</v>
      </c>
    </row>
    <row r="36" customFormat="false" ht="15" hidden="false" customHeight="true" outlineLevel="0" collapsed="false">
      <c r="B36" s="25" t="s">
        <v>652</v>
      </c>
      <c r="C36" s="64" t="str">
        <f aca="false">IF(Need_4&lt;&gt;"",Need_4,(1+Growth_Rate)*(1-Used_Yearly_Fees)-1)</f>
        <v>Choose your growth rate to see this</v>
      </c>
      <c r="D36" s="27"/>
      <c r="E36" s="42" t="s">
        <v>653</v>
      </c>
    </row>
    <row r="37" customFormat="false" ht="15" hidden="false" customHeight="true" outlineLevel="0" collapsed="false">
      <c r="B37" s="25" t="s">
        <v>654</v>
      </c>
      <c r="C37" s="64" t="str">
        <f aca="false">IF(Need_5&lt;&gt;"",Need_5,IF(Inflation_Choice="","Choose your inflation rate to see this",(1+Growth_After_Fees)/(1+Inflation_Choice)-1))</f>
        <v>Choose your inflation rate to see this</v>
      </c>
      <c r="D37" s="27"/>
      <c r="E37" s="42" t="s">
        <v>655</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271</v>
      </c>
      <c r="C40" s="14"/>
      <c r="D40" s="14"/>
      <c r="E40" s="14"/>
      <c r="F40" s="14"/>
      <c r="G40" s="14"/>
    </row>
    <row r="41" customFormat="false" ht="13.5" hidden="false" customHeight="true" outlineLevel="0" collapsed="false">
      <c r="B41" s="46" t="s">
        <v>656</v>
      </c>
      <c r="C41" s="46"/>
      <c r="D41" s="46"/>
      <c r="E41" s="46"/>
    </row>
    <row r="42" customFormat="false" ht="13.5" hidden="false" customHeight="true" outlineLevel="0" collapsed="false">
      <c r="B42" s="46" t="s">
        <v>657</v>
      </c>
      <c r="C42" s="46"/>
      <c r="D42" s="46"/>
      <c r="E42" s="46"/>
    </row>
    <row r="43" customFormat="false" ht="13.5" hidden="false" customHeight="true" outlineLevel="0" collapsed="false">
      <c r="B43" s="46" t="s">
        <v>658</v>
      </c>
      <c r="C43" s="46"/>
      <c r="D43" s="46"/>
      <c r="E43" s="46"/>
    </row>
    <row r="44" customFormat="false" ht="13.5" hidden="false" customHeight="true" outlineLevel="0" collapsed="false">
      <c r="B44" s="47" t="s">
        <v>275</v>
      </c>
      <c r="C44" s="47"/>
      <c r="D44" s="47"/>
      <c r="E44" s="47"/>
    </row>
    <row r="45" customFormat="false" ht="13.5" hidden="false" customHeight="true" outlineLevel="0" collapsed="false">
      <c r="B45" s="46" t="s">
        <v>659</v>
      </c>
      <c r="C45" s="46"/>
      <c r="D45" s="46"/>
      <c r="E45" s="46"/>
    </row>
    <row r="46" customFormat="false" ht="13.5" hidden="false" customHeight="true" outlineLevel="0" collapsed="false">
      <c r="B46" s="46" t="s">
        <v>660</v>
      </c>
      <c r="C46" s="46"/>
      <c r="D46" s="46"/>
      <c r="E46" s="46"/>
    </row>
    <row r="48" customFormat="false" ht="15" hidden="false" customHeight="true" outlineLevel="0" collapsed="false">
      <c r="B48" s="13" t="s">
        <v>280</v>
      </c>
      <c r="C48" s="14"/>
      <c r="D48" s="14"/>
      <c r="E48" s="14"/>
      <c r="F48" s="14"/>
      <c r="G48" s="14"/>
    </row>
    <row r="49" customFormat="false" ht="15" hidden="false" customHeight="true" outlineLevel="0" collapsed="false">
      <c r="B49" s="25" t="s">
        <v>281</v>
      </c>
      <c r="C49" s="48" t="str">
        <f aca="false">"Grow my wealth (plan kind pot)"</f>
        <v>Grow my wealth (plan kind pot)</v>
      </c>
      <c r="E49" s="49" t="s">
        <v>613</v>
      </c>
    </row>
    <row r="50" customFormat="false" ht="15" hidden="false" customHeight="true" outlineLevel="0" collapsed="false">
      <c r="B50" s="25" t="s">
        <v>614</v>
      </c>
      <c r="C50" s="50" t="str">
        <f aca="false">IF(Need_1&lt;&gt;"",Need_1,IF(Inflation_Choice="","Choose an inflation rate first",ROUND(Value_Today,0)))</f>
        <v>Choose your growth rate to see this</v>
      </c>
      <c r="E50" s="49" t="s">
        <v>615</v>
      </c>
    </row>
    <row r="51" customFormat="false" ht="15" hidden="false" customHeight="true" outlineLevel="0" collapsed="false">
      <c r="B51" s="25" t="s">
        <v>287</v>
      </c>
      <c r="C51" s="51" t="str">
        <f aca="false">IF(Need_6&lt;&gt;"",Need_6,Years)</f>
        <v>Choose your years to see this</v>
      </c>
      <c r="E51" s="49" t="s">
        <v>580</v>
      </c>
    </row>
    <row r="52" customFormat="false" ht="15" hidden="false" customHeight="true" outlineLevel="0" collapsed="false">
      <c r="B52" s="25" t="s">
        <v>581</v>
      </c>
      <c r="C52" s="69" t="str">
        <f aca="false">IF(Inflation_Choice="","Choose an inflation rate first",Inflation_Choice)</f>
        <v>Choose an inflation rate first</v>
      </c>
      <c r="E52" s="49" t="s">
        <v>582</v>
      </c>
    </row>
    <row r="53" customFormat="false" ht="13.5" hidden="false" customHeight="true" outlineLevel="0" collapsed="false">
      <c r="B53" s="53" t="s">
        <v>661</v>
      </c>
      <c r="C53" s="53"/>
      <c r="D53" s="53"/>
      <c r="E53" s="53"/>
    </row>
    <row r="55" customFormat="false" ht="15" hidden="false" customHeight="true" outlineLevel="0" collapsed="false">
      <c r="B55" s="13" t="s">
        <v>289</v>
      </c>
      <c r="C55" s="14"/>
      <c r="D55" s="14"/>
      <c r="E55" s="14"/>
      <c r="F55" s="14"/>
      <c r="G55" s="14"/>
    </row>
    <row r="56" customFormat="false" ht="15" hidden="false" customHeight="true" outlineLevel="0" collapsed="false">
      <c r="B56" s="52" t="s">
        <v>662</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663</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664</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665</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666</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620</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667</v>
      </c>
      <c r="E1" s="3" t="s">
        <v>668</v>
      </c>
    </row>
    <row r="2" customFormat="false" ht="15" hidden="false" customHeight="true" outlineLevel="0" collapsed="false">
      <c r="B2" s="21" t="s">
        <v>669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670</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671</v>
      </c>
      <c r="C6" s="26"/>
      <c r="D6" s="27" t="s">
        <v>218</v>
      </c>
      <c r="E6" s="28" t="s">
        <v>672</v>
      </c>
      <c r="F6" s="29" t="n">
        <v>2500</v>
      </c>
      <c r="G6" s="30" t="str">
        <f aca="false">IF(ISBLANK(C6),IF(Fill_Example="Yes",F6,""),C6)</f>
        <v/>
      </c>
    </row>
    <row r="7" customFormat="false" ht="21.75" hidden="false" customHeight="true" outlineLevel="0" collapsed="false">
      <c r="B7" s="25" t="s">
        <v>673</v>
      </c>
      <c r="C7" s="38"/>
      <c r="D7" s="27" t="s">
        <v>674</v>
      </c>
      <c r="E7" s="35" t="s">
        <v>675</v>
      </c>
      <c r="F7" s="39" t="n">
        <v>6</v>
      </c>
      <c r="G7" s="40" t="str">
        <f aca="false">IF(ISBLANK(C7),IF(Fill_Example="Yes",F7,""),C7)</f>
        <v/>
      </c>
    </row>
    <row r="8" customFormat="false" ht="15" hidden="false" customHeight="true" outlineLevel="0" collapsed="false">
      <c r="B8" s="25" t="s">
        <v>676</v>
      </c>
      <c r="C8" s="38"/>
      <c r="D8" s="27" t="s">
        <v>231</v>
      </c>
      <c r="E8" s="28" t="s">
        <v>677</v>
      </c>
      <c r="F8" s="39" t="n">
        <v>2</v>
      </c>
      <c r="G8" s="40" t="str">
        <f aca="false">IF(ISBLANK(C8),IF(Fill_Example="Yes",F8,""),C8)</f>
        <v/>
      </c>
    </row>
    <row r="9" customFormat="false" ht="21.75" hidden="false" customHeight="true" outlineLevel="0" collapsed="false">
      <c r="B9" s="25" t="s">
        <v>678</v>
      </c>
      <c r="C9" s="26"/>
      <c r="D9" s="27" t="s">
        <v>218</v>
      </c>
      <c r="E9" s="28" t="s">
        <v>679</v>
      </c>
      <c r="F9" s="29" t="n">
        <v>6250</v>
      </c>
      <c r="G9" s="30" t="str">
        <f aca="false">IF(ISBLANK(C9),IF(Fill_Example="Yes",F9,""),C9)</f>
        <v/>
      </c>
    </row>
    <row r="11" customFormat="false" ht="15" hidden="false" customHeight="true" outlineLevel="0" collapsed="false">
      <c r="B11" s="13" t="s">
        <v>238</v>
      </c>
      <c r="C11" s="24" t="s">
        <v>239</v>
      </c>
      <c r="D11" s="24" t="s">
        <v>240</v>
      </c>
      <c r="E11" s="24" t="s">
        <v>241</v>
      </c>
      <c r="F11" s="14"/>
      <c r="G11" s="14"/>
    </row>
    <row r="12" customFormat="false" ht="23.25" hidden="false" customHeight="true" outlineLevel="0" collapsed="false">
      <c r="B12" s="21" t="s">
        <v>680</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681</v>
      </c>
    </row>
    <row r="13" customFormat="false" ht="17.25" hidden="false" customHeight="true" outlineLevel="0" collapsed="false">
      <c r="B13" s="21" t="s">
        <v>682</v>
      </c>
      <c r="C13" s="41" t="str">
        <f aca="false">IF(Need_2&lt;&gt;"",Need_2,Essential_Spending*Months_Wanted)</f>
        <v>Choose your essential monthly spending to see this</v>
      </c>
      <c r="D13" s="27" t="s">
        <v>218</v>
      </c>
      <c r="E13" s="42" t="s">
        <v>683</v>
      </c>
    </row>
    <row r="14" customFormat="false" ht="17.25" hidden="false" customHeight="true" outlineLevel="0" collapsed="false">
      <c r="B14" s="21" t="s">
        <v>684</v>
      </c>
      <c r="C14" s="41" t="str">
        <f aca="false">IF(Need_3&lt;&gt;"",Need_3,MAX(0,Target-Savings))</f>
        <v>Choose your essential monthly spending to see this</v>
      </c>
      <c r="D14" s="27" t="s">
        <v>218</v>
      </c>
      <c r="E14" s="42" t="s">
        <v>685</v>
      </c>
    </row>
    <row r="16" customFormat="false" ht="15" hidden="false" customHeight="true" outlineLevel="0" collapsed="false">
      <c r="B16" s="13" t="s">
        <v>271</v>
      </c>
      <c r="C16" s="14"/>
      <c r="D16" s="14"/>
      <c r="E16" s="14"/>
      <c r="F16" s="14"/>
      <c r="G16" s="14"/>
    </row>
    <row r="17" customFormat="false" ht="13.5" hidden="false" customHeight="true" outlineLevel="0" collapsed="false">
      <c r="B17" s="46" t="s">
        <v>686</v>
      </c>
      <c r="C17" s="46"/>
      <c r="D17" s="46"/>
      <c r="E17" s="46"/>
    </row>
    <row r="18" customFormat="false" ht="13.5" hidden="false" customHeight="true" outlineLevel="0" collapsed="false">
      <c r="B18" s="47" t="s">
        <v>275</v>
      </c>
      <c r="C18" s="47"/>
      <c r="D18" s="47"/>
      <c r="E18" s="47"/>
    </row>
    <row r="19" customFormat="false" ht="13.5" hidden="false" customHeight="true" outlineLevel="0" collapsed="false">
      <c r="B19" s="46" t="s">
        <v>687</v>
      </c>
      <c r="C19" s="46"/>
      <c r="D19" s="46"/>
      <c r="E19" s="46"/>
    </row>
    <row r="21" customFormat="false" ht="15" hidden="false" customHeight="true" outlineLevel="0" collapsed="false">
      <c r="B21" s="13" t="s">
        <v>280</v>
      </c>
      <c r="C21" s="14"/>
      <c r="D21" s="14"/>
      <c r="E21" s="14"/>
      <c r="F21" s="14"/>
      <c r="G21" s="14"/>
    </row>
    <row r="22" customFormat="false" ht="15" hidden="false" customHeight="true" outlineLevel="0" collapsed="false">
      <c r="B22" s="25" t="s">
        <v>281</v>
      </c>
      <c r="C22" s="48" t="str">
        <f aca="false">IF(Need_3&lt;&gt;"",Need_3,IF(Still_To_Build&gt;0,"Emergency fund (plan kind safety: a reserve, not a spend)","No goal (cushion already in place)"))</f>
        <v>Choose your essential monthly spending to see this</v>
      </c>
      <c r="E22" s="49" t="s">
        <v>688</v>
      </c>
    </row>
    <row r="23" customFormat="false" ht="15" hidden="false" customHeight="true" outlineLevel="0" collapsed="false">
      <c r="B23" s="25" t="s">
        <v>614</v>
      </c>
      <c r="C23" s="50" t="str">
        <f aca="false">IF(Need_3&lt;&gt;"",Need_3,IF(Still_To_Build&gt;0,ROUND(Target,0),"—"))</f>
        <v>Choose your essential monthly spending to see this</v>
      </c>
      <c r="E23" s="49" t="s">
        <v>689</v>
      </c>
    </row>
    <row r="24" customFormat="false" ht="15" hidden="false" customHeight="true" outlineLevel="0" collapsed="false">
      <c r="B24" s="25" t="s">
        <v>285</v>
      </c>
      <c r="C24" s="50" t="str">
        <f aca="false">IF(Need_4&lt;&gt;"",Need_4,Savings)</f>
        <v>Choose your easy-access savings to see this</v>
      </c>
      <c r="E24" s="49" t="s">
        <v>690</v>
      </c>
    </row>
    <row r="25" customFormat="false" ht="15" hidden="false" customHeight="true" outlineLevel="0" collapsed="false">
      <c r="B25" s="25" t="s">
        <v>287</v>
      </c>
      <c r="C25" s="51" t="str">
        <f aca="false">IF(Need_5&lt;&gt;"",Need_5,Safety_Goal_Years)</f>
        <v>Choose your years to build the safety net to see this</v>
      </c>
      <c r="E25" s="49" t="s">
        <v>691</v>
      </c>
    </row>
    <row r="27" customFormat="false" ht="15" hidden="false" customHeight="true" outlineLevel="0" collapsed="false">
      <c r="B27" s="13" t="s">
        <v>289</v>
      </c>
      <c r="C27" s="14"/>
      <c r="D27" s="14"/>
      <c r="E27" s="14"/>
      <c r="F27" s="14"/>
      <c r="G27" s="14"/>
    </row>
    <row r="28" customFormat="false" ht="15" hidden="false" customHeight="true" outlineLevel="0" collapsed="false">
      <c r="B28" s="52" t="s">
        <v>692</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693</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694</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695</v>
      </c>
      <c r="C31" s="52" t="str">
        <f aca="false">IF(Savings="","Choose your easy-access savings to see this","")</f>
        <v>Choose your easy-access savings to see this</v>
      </c>
    </row>
    <row r="32" customFormat="false" ht="15" hidden="false" customHeight="true" outlineLevel="0" collapsed="false">
      <c r="B32" s="52" t="s">
        <v>696</v>
      </c>
      <c r="C32" s="52"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697</v>
      </c>
      <c r="E1" s="3" t="s">
        <v>698</v>
      </c>
    </row>
    <row r="2" customFormat="false" ht="15" hidden="false" customHeight="true" outlineLevel="0" collapsed="false">
      <c r="B2" s="21" t="s">
        <v>699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700</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701</v>
      </c>
      <c r="C10" s="53"/>
      <c r="D10" s="53"/>
      <c r="E10" s="53"/>
    </row>
    <row r="11" customFormat="false" ht="15" hidden="false" customHeight="true" outlineLevel="0" collapsed="false">
      <c r="B11" s="25" t="s">
        <v>702</v>
      </c>
      <c r="C11" s="54"/>
      <c r="D11" s="27" t="s">
        <v>218</v>
      </c>
      <c r="E11" s="28" t="s">
        <v>703</v>
      </c>
      <c r="G11" s="52" t="s">
        <v>305</v>
      </c>
    </row>
    <row r="12" customFormat="false" ht="15" hidden="false" customHeight="true" outlineLevel="0" collapsed="false">
      <c r="B12" s="25" t="s">
        <v>704</v>
      </c>
      <c r="C12" s="54"/>
      <c r="D12" s="27" t="s">
        <v>218</v>
      </c>
      <c r="E12" s="28" t="s">
        <v>311</v>
      </c>
      <c r="G12" s="52" t="s">
        <v>305</v>
      </c>
    </row>
    <row r="13" customFormat="false" ht="15" hidden="false" customHeight="true" outlineLevel="0" collapsed="false">
      <c r="B13" s="25" t="s">
        <v>705</v>
      </c>
      <c r="C13" s="54"/>
      <c r="D13" s="27" t="s">
        <v>218</v>
      </c>
      <c r="E13" s="28" t="s">
        <v>311</v>
      </c>
      <c r="G13" s="52" t="s">
        <v>305</v>
      </c>
    </row>
    <row r="14" customFormat="false" ht="15" hidden="false" customHeight="true" outlineLevel="0" collapsed="false">
      <c r="B14" s="25" t="s">
        <v>706</v>
      </c>
      <c r="C14" s="56"/>
      <c r="D14" s="27" t="s">
        <v>707</v>
      </c>
      <c r="E14" s="28" t="s">
        <v>708</v>
      </c>
      <c r="G14" s="52" t="s">
        <v>305</v>
      </c>
    </row>
    <row r="15" customFormat="false" ht="15" hidden="false" customHeight="true" outlineLevel="0" collapsed="false">
      <c r="B15" s="25" t="s">
        <v>709</v>
      </c>
      <c r="C15" s="54"/>
      <c r="D15" s="27" t="s">
        <v>218</v>
      </c>
      <c r="E15" s="28" t="s">
        <v>627</v>
      </c>
      <c r="G15" s="52" t="s">
        <v>305</v>
      </c>
    </row>
    <row r="16" customFormat="false" ht="15" hidden="false" customHeight="true" outlineLevel="0" collapsed="false">
      <c r="B16" s="25" t="s">
        <v>710</v>
      </c>
      <c r="C16" s="71"/>
      <c r="D16" s="27" t="s">
        <v>225</v>
      </c>
      <c r="E16" s="28" t="s">
        <v>711</v>
      </c>
      <c r="G16" s="52" t="s">
        <v>305</v>
      </c>
    </row>
    <row r="17" customFormat="false" ht="15" hidden="false" customHeight="true" outlineLevel="0" collapsed="false">
      <c r="B17" s="25" t="s">
        <v>628</v>
      </c>
      <c r="C17" s="55"/>
      <c r="D17" s="27" t="s">
        <v>229</v>
      </c>
      <c r="E17" s="28" t="s">
        <v>629</v>
      </c>
      <c r="G17" s="52" t="s">
        <v>305</v>
      </c>
    </row>
    <row r="18" customFormat="false" ht="15" hidden="false" customHeight="true" outlineLevel="0" collapsed="false">
      <c r="B18" s="25" t="s">
        <v>312</v>
      </c>
      <c r="C18" s="57"/>
      <c r="D18" s="27" t="s">
        <v>313</v>
      </c>
      <c r="E18" s="28" t="s">
        <v>314</v>
      </c>
      <c r="G18" s="52" t="s">
        <v>305</v>
      </c>
    </row>
    <row r="20" customFormat="false" ht="15" hidden="false" customHeight="true" outlineLevel="0" collapsed="false">
      <c r="B20" s="13" t="s">
        <v>315</v>
      </c>
      <c r="C20" s="24" t="s">
        <v>214</v>
      </c>
      <c r="D20" s="24" t="s">
        <v>215</v>
      </c>
      <c r="E20" s="24" t="s">
        <v>216</v>
      </c>
      <c r="F20" s="14"/>
      <c r="G20" s="14"/>
    </row>
    <row r="21" customFormat="false" ht="21.75" hidden="false" customHeight="true" outlineLevel="0" collapsed="false">
      <c r="B21" s="25" t="s">
        <v>712</v>
      </c>
      <c r="C21" s="38"/>
      <c r="D21" s="27" t="s">
        <v>707</v>
      </c>
      <c r="E21" s="28" t="s">
        <v>713</v>
      </c>
      <c r="F21" s="39" t="n">
        <v>40</v>
      </c>
      <c r="G21" s="40" t="str">
        <f aca="false">IF(ISBLANK(C21),IF(Fill_Example="Yes",F21,""),C21)</f>
        <v/>
      </c>
    </row>
    <row r="22" customFormat="false" ht="21.75" hidden="false" customHeight="true" outlineLevel="0" collapsed="false">
      <c r="B22" s="25" t="s">
        <v>714</v>
      </c>
      <c r="C22" s="38"/>
      <c r="D22" s="27" t="s">
        <v>707</v>
      </c>
      <c r="E22" s="35" t="s">
        <v>715</v>
      </c>
      <c r="F22" s="39" t="n">
        <v>65</v>
      </c>
      <c r="G22" s="40" t="str">
        <f aca="false">IF(ISBLANK(C22),IF(Fill_Example="Yes",F22,""),C22)</f>
        <v/>
      </c>
    </row>
    <row r="23" customFormat="false" ht="21.75" hidden="false" customHeight="true" outlineLevel="0" collapsed="false">
      <c r="B23" s="25" t="s">
        <v>716</v>
      </c>
      <c r="C23" s="26"/>
      <c r="D23" s="27" t="s">
        <v>218</v>
      </c>
      <c r="E23" s="28" t="s">
        <v>717</v>
      </c>
      <c r="F23" s="29" t="n">
        <v>60000</v>
      </c>
      <c r="G23" s="30" t="str">
        <f aca="false">IF(ISBLANK(C23),IF(Pens_Value_Total&gt;0,Pens_Value_Total,IF(Fill_Example="Yes",F23,"")),C23)</f>
        <v/>
      </c>
    </row>
    <row r="24" customFormat="false" ht="21.75" hidden="false" customHeight="true" outlineLevel="0" collapsed="false">
      <c r="B24" s="25" t="s">
        <v>718</v>
      </c>
      <c r="C24" s="26"/>
      <c r="D24" s="27" t="s">
        <v>218</v>
      </c>
      <c r="E24" s="28" t="s">
        <v>719</v>
      </c>
      <c r="F24" s="29" t="n">
        <v>500</v>
      </c>
      <c r="G24" s="30" t="str">
        <f aca="false">IF(ISBLANK(C24),IF(Pens_Monthly_Total&gt;0,Pens_Monthly_Total,IF(Fill_Example="Yes",F24,"")),C24)</f>
        <v/>
      </c>
    </row>
    <row r="25" customFormat="false" ht="21.75" hidden="false" customHeight="true" outlineLevel="0" collapsed="false">
      <c r="B25" s="25" t="s">
        <v>720</v>
      </c>
      <c r="C25" s="26"/>
      <c r="D25" s="27" t="s">
        <v>218</v>
      </c>
      <c r="E25" s="28" t="s">
        <v>721</v>
      </c>
      <c r="F25" s="29" t="n">
        <v>40000</v>
      </c>
      <c r="G25" s="30" t="str">
        <f aca="false">IF(ISBLANK(C25),IF(Fill_Example="Yes",F25,""),C25)</f>
        <v/>
      </c>
    </row>
    <row r="26" customFormat="false" ht="43.5" hidden="false" customHeight="true" outlineLevel="0" collapsed="false">
      <c r="B26" s="25" t="s">
        <v>722</v>
      </c>
      <c r="C26" s="26"/>
      <c r="D26" s="27" t="s">
        <v>218</v>
      </c>
      <c r="E26" s="35" t="s">
        <v>723</v>
      </c>
      <c r="F26" s="29" t="n">
        <f aca="false">ROUND(State_Pension_Year,0)</f>
        <v>15564</v>
      </c>
      <c r="G26" s="30" t="str">
        <f aca="false">IF(ISBLANK(C26),IF(Fill_Example="Yes",F26,""),C26)</f>
        <v/>
      </c>
    </row>
    <row r="27" customFormat="false" ht="21.75" hidden="false" customHeight="true" outlineLevel="0" collapsed="false">
      <c r="B27" s="25" t="s">
        <v>724</v>
      </c>
      <c r="C27" s="34"/>
      <c r="D27" s="27" t="s">
        <v>229</v>
      </c>
      <c r="E27" s="35" t="s">
        <v>725</v>
      </c>
      <c r="F27" s="36" t="n">
        <v>0.045</v>
      </c>
      <c r="G27" s="37" t="str">
        <f aca="false">IF(ISBLANK(C27),IF(Fill_Example="Yes",F27,""),C27)</f>
        <v/>
      </c>
    </row>
    <row r="28" customFormat="false" ht="21.75" hidden="false" customHeight="true" outlineLevel="0" collapsed="false">
      <c r="B28" s="25" t="s">
        <v>726</v>
      </c>
      <c r="C28" s="34"/>
      <c r="D28" s="27" t="s">
        <v>229</v>
      </c>
      <c r="E28" s="35" t="s">
        <v>727</v>
      </c>
      <c r="F28" s="36" t="n">
        <v>0.03</v>
      </c>
      <c r="G28" s="37" t="str">
        <f aca="false">IF(ISBLANK(C28),IF(Fill_Example="Yes",F28,""),C28)</f>
        <v/>
      </c>
    </row>
    <row r="29" customFormat="false" ht="21.75" hidden="false" customHeight="true" outlineLevel="0" collapsed="false">
      <c r="B29" s="25" t="s">
        <v>728</v>
      </c>
      <c r="C29" s="38"/>
      <c r="D29" s="27"/>
      <c r="E29" s="35" t="s">
        <v>729</v>
      </c>
      <c r="F29" s="39" t="n">
        <v>25</v>
      </c>
      <c r="G29" s="40" t="str">
        <f aca="false">IF(ISBLANK(C29),IF(Fill_Example="Yes",F29,""),C29)</f>
        <v/>
      </c>
    </row>
    <row r="30" customFormat="false" ht="21.75" hidden="false" customHeight="true" outlineLevel="0" collapsed="false">
      <c r="B30" s="25" t="s">
        <v>730</v>
      </c>
      <c r="C30" s="34"/>
      <c r="D30" s="27" t="s">
        <v>229</v>
      </c>
      <c r="E30"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36" t="n">
        <f aca="false">IF(ISNUMBER(Suggest_Fund_Charges),Suggest_Fund_Charges,"")</f>
        <v>0.01</v>
      </c>
      <c r="G30" s="37" t="str">
        <f aca="false">IF(ISBLANK(C30),IF(Fill_Example="Yes",F30,""),C30)</f>
        <v/>
      </c>
    </row>
    <row r="31" customFormat="false" ht="21.75" hidden="false" customHeight="true" outlineLevel="0" collapsed="false">
      <c r="B31" s="25" t="s">
        <v>731</v>
      </c>
      <c r="C31" s="34"/>
      <c r="D31" s="27" t="s">
        <v>229</v>
      </c>
      <c r="E31" s="35" t="s">
        <v>732</v>
      </c>
      <c r="F31" s="36" t="n">
        <v>0.25</v>
      </c>
      <c r="G31" s="37" t="str">
        <f aca="false">IF(ISBLANK(C31),IF(Fill_Example="Yes",F31,""),C31)</f>
        <v/>
      </c>
    </row>
    <row r="32" customFormat="false" ht="15" hidden="false" customHeight="true" outlineLevel="0" collapsed="false">
      <c r="B32" s="25" t="s">
        <v>733</v>
      </c>
      <c r="C32" s="38"/>
      <c r="D32" s="27" t="s">
        <v>231</v>
      </c>
      <c r="E32" s="28" t="s">
        <v>734</v>
      </c>
      <c r="F32" s="39" t="n">
        <v>0</v>
      </c>
      <c r="G32" s="40" t="n">
        <f aca="false">IF(ISBLANK(C32),F32,C32)</f>
        <v>0</v>
      </c>
    </row>
    <row r="33" customFormat="false" ht="15" hidden="false" customHeight="true" outlineLevel="0" collapsed="false">
      <c r="B33" s="25" t="s">
        <v>735</v>
      </c>
      <c r="C33" s="26"/>
      <c r="D33" s="27" t="s">
        <v>218</v>
      </c>
      <c r="E33" s="28" t="s">
        <v>377</v>
      </c>
      <c r="F33" s="29" t="n">
        <v>0</v>
      </c>
      <c r="G33" s="30" t="n">
        <f aca="false">IF(ISBLANK(C33),F33,C33)</f>
        <v>0</v>
      </c>
    </row>
    <row r="34" customFormat="false" ht="15" hidden="false" customHeight="true" outlineLevel="0" collapsed="false">
      <c r="B34" s="25" t="s">
        <v>736</v>
      </c>
      <c r="C34" s="26"/>
      <c r="D34" s="27" t="s">
        <v>218</v>
      </c>
      <c r="E34" s="28" t="s">
        <v>737</v>
      </c>
      <c r="F34" s="29" t="n">
        <v>0</v>
      </c>
      <c r="G34" s="30" t="n">
        <f aca="false">IF(ISBLANK(C34),F34,C34)</f>
        <v>0</v>
      </c>
    </row>
    <row r="36" customFormat="false" ht="15" hidden="false" customHeight="true" outlineLevel="0" collapsed="false">
      <c r="B36" s="13" t="s">
        <v>324</v>
      </c>
      <c r="C36" s="14"/>
      <c r="D36" s="14"/>
      <c r="E36" s="14"/>
      <c r="F36" s="14"/>
      <c r="G36" s="14"/>
    </row>
    <row r="37" customFormat="false" ht="15" hidden="false" customHeight="true" outlineLevel="0" collapsed="false">
      <c r="B37" s="25" t="s">
        <v>716</v>
      </c>
      <c r="C37" s="58" t="str">
        <f aca="false">IF(ISBLANK(Stmt_Fund_Value),Pension_Today,Stmt_Fund_Value)</f>
        <v/>
      </c>
      <c r="D37" s="59" t="str">
        <f aca="false">IF(ISBLANK(Stmt_Fund_Value),"Your figure","From your statement")</f>
        <v>Your figure</v>
      </c>
      <c r="E37" s="49" t="s">
        <v>738</v>
      </c>
    </row>
    <row r="38" customFormat="false" ht="15" hidden="false" customHeight="true" outlineLevel="0" collapsed="false">
      <c r="B38" s="25" t="s">
        <v>718</v>
      </c>
      <c r="C38" s="58" t="str">
        <f aca="false">IF(COUNT(Stmt_You_Monthly,Stmt_Employer_Monthly)=0,Monthly_Contribution,SUM(Stmt_You_Monthly,Stmt_Employer_Monthly))</f>
        <v/>
      </c>
      <c r="D38" s="59" t="str">
        <f aca="false">IF(COUNT(Stmt_You_Monthly,Stmt_Employer_Monthly)=0,"Your figure","From your statement")</f>
        <v>Your figure</v>
      </c>
      <c r="E38" s="49" t="s">
        <v>739</v>
      </c>
    </row>
    <row r="39" customFormat="false" ht="15" hidden="false" customHeight="true" outlineLevel="0" collapsed="false">
      <c r="B39" s="25" t="s">
        <v>740</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741</v>
      </c>
    </row>
    <row r="40" customFormat="false" ht="21.75" hidden="false" customHeight="true" outlineLevel="0" collapsed="false">
      <c r="B40" s="25" t="s">
        <v>742</v>
      </c>
      <c r="C40" s="45" t="str">
        <f aca="false">IF(Need_1&lt;&gt;"",Need_1,IF(AND(NOT(ISBLANK(Stmt_Projected_Fund)),Stmt_NRA=Retirement_Age+Retire_Later,Save_More=0),"Yes","No"))</f>
        <v>Choose your retirement age to see this</v>
      </c>
      <c r="D40" s="27"/>
      <c r="E40" s="42" t="s">
        <v>743</v>
      </c>
    </row>
    <row r="41" customFormat="false" ht="21.75" hidden="false" customHeight="true" outlineLevel="0" collapsed="false">
      <c r="B41" s="25" t="s">
        <v>330</v>
      </c>
      <c r="C41" s="45" t="str">
        <f aca="true">IF(ISBLANK(Stmt_Statement_Date),"",IF(TODAY()-Stmt_Statement_Date&gt;Statement_Max_Age_Days,"Needs a look: statement is more than 12 months old","Up to date"))</f>
        <v/>
      </c>
      <c r="D41" s="27"/>
      <c r="E41" s="42" t="s">
        <v>331</v>
      </c>
    </row>
    <row r="43" customFormat="false" ht="15" hidden="false" customHeight="true" outlineLevel="0" collapsed="false">
      <c r="B43" s="13" t="s">
        <v>238</v>
      </c>
      <c r="C43" s="24" t="s">
        <v>239</v>
      </c>
      <c r="D43" s="24" t="s">
        <v>240</v>
      </c>
      <c r="E43" s="24" t="s">
        <v>241</v>
      </c>
      <c r="F43" s="14"/>
      <c r="G43" s="14"/>
    </row>
    <row r="44" customFormat="false" ht="17.25" hidden="false" customHeight="true" outlineLevel="0" collapsed="false">
      <c r="B44" s="21" t="s">
        <v>744</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745</v>
      </c>
    </row>
    <row r="45" customFormat="false" ht="17.25" hidden="false" customHeight="true" outlineLevel="0" collapsed="false">
      <c r="B45" s="21" t="s">
        <v>746</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747</v>
      </c>
    </row>
    <row r="46" customFormat="false" ht="42.75" hidden="false" customHeight="true" outlineLevel="0" collapsed="false">
      <c r="B46" s="21" t="s">
        <v>748</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218</v>
      </c>
      <c r="E46" s="42" t="s">
        <v>749</v>
      </c>
    </row>
    <row r="47" customFormat="false" ht="15" hidden="false" customHeight="true" outlineLevel="0" collapsed="false">
      <c r="B47" s="25" t="s">
        <v>750</v>
      </c>
      <c r="C47" s="43" t="str">
        <f aca="false">IF(Need_3&lt;&gt;"",Need_3,Used_Pension_Today*(1+Used_Growth_Rate)^Years_To_Retirement+Contributions_Grow_To)</f>
        <v>Choose your age to see this</v>
      </c>
      <c r="D47" s="27" t="s">
        <v>218</v>
      </c>
      <c r="E47" s="42" t="s">
        <v>751</v>
      </c>
    </row>
    <row r="48" customFormat="false" ht="17.25" hidden="false" customHeight="true" outlineLevel="0" collapsed="false">
      <c r="B48" s="21" t="s">
        <v>752</v>
      </c>
      <c r="C48" s="41" t="str">
        <f aca="false">IF(Need_4&lt;&gt;"",Need_4,MAX(0,Desired_Income-Spend_Less-Other_Income)*Retire_Multiple+Bridge_Years*Other_Income)</f>
        <v>Choose your retirement age to see this</v>
      </c>
      <c r="D48" s="27" t="s">
        <v>218</v>
      </c>
      <c r="E48" s="42" t="s">
        <v>753</v>
      </c>
    </row>
    <row r="49" customFormat="false" ht="15" hidden="false" customHeight="true" outlineLevel="0" collapsed="false">
      <c r="B49" s="25" t="s">
        <v>754</v>
      </c>
      <c r="C49" s="66" t="str">
        <f aca="false">IF(Need_1&lt;&gt;"",Need_1,MAX(0,State_Pension_Age-(Retirement_Age+Retire_Later)))</f>
        <v>Choose your retirement age to see this</v>
      </c>
      <c r="D49" s="27" t="s">
        <v>231</v>
      </c>
      <c r="E49" s="42" t="s">
        <v>755</v>
      </c>
    </row>
    <row r="50" customFormat="false" ht="15" hidden="false" customHeight="true" outlineLevel="0" collapsed="false">
      <c r="B50" s="25" t="s">
        <v>756</v>
      </c>
      <c r="C50" s="43" t="str">
        <f aca="false">IF(Need_5&lt;&gt;"",Need_5,MIN(Projected_Fund*Lump_Sum_Pct,Lump_Sum_Cap))</f>
        <v>Choose your age to see this</v>
      </c>
      <c r="D50" s="27" t="s">
        <v>218</v>
      </c>
      <c r="E50" s="42" t="s">
        <v>757</v>
      </c>
    </row>
    <row r="51" customFormat="false" ht="15" hidden="false" customHeight="true" outlineLevel="0" collapsed="false">
      <c r="B51" s="25" t="s">
        <v>758</v>
      </c>
      <c r="C51" s="43" t="str">
        <f aca="false">IF(Need_5&lt;&gt;"",Need_5,Lump_Sum_Rate*MAX(0,Lump_Sum-Lump_Sum_Tax_Free))</f>
        <v>Choose your age to see this</v>
      </c>
      <c r="D51" s="27" t="s">
        <v>218</v>
      </c>
      <c r="E51" s="42" t="s">
        <v>759</v>
      </c>
    </row>
    <row r="52" customFormat="false" ht="15" hidden="false" customHeight="true" outlineLevel="0" collapsed="false">
      <c r="B52" s="25" t="s">
        <v>760</v>
      </c>
      <c r="C52" s="43" t="str">
        <f aca="false">IF(Need_5&lt;&gt;"",Need_5,Lump_Sum-Lump_Sum_Tax)</f>
        <v>Choose your age to see this</v>
      </c>
      <c r="D52" s="27" t="s">
        <v>218</v>
      </c>
      <c r="E52" s="42" t="s">
        <v>761</v>
      </c>
    </row>
    <row r="53" customFormat="false" ht="15" hidden="false" customHeight="true" outlineLevel="0" collapsed="false">
      <c r="B53" s="72" t="s">
        <v>762</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762</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763</v>
      </c>
      <c r="C55" s="66" t="str">
        <f aca="false">IF(Need_6&lt;&gt;"",Need_6,MAX(1,Retirement_Age+Retire_Later-Age))</f>
        <v>Choose your age to see this</v>
      </c>
      <c r="D55" s="27" t="s">
        <v>231</v>
      </c>
      <c r="E55" s="42" t="s">
        <v>764</v>
      </c>
    </row>
    <row r="56" customFormat="false" ht="15" hidden="false" customHeight="true" outlineLevel="0" collapsed="false">
      <c r="B56" s="25" t="s">
        <v>765</v>
      </c>
      <c r="C56" s="43" t="str">
        <f aca="false">IF(Need_7&lt;&gt;"",Need_7,Used_Monthly_Contribution+Save_More)</f>
        <v>Choose your monthly contributions to see this</v>
      </c>
      <c r="D56" s="27" t="s">
        <v>218</v>
      </c>
      <c r="E56" s="42" t="s">
        <v>766</v>
      </c>
    </row>
    <row r="57" customFormat="false" ht="21.75" hidden="false" customHeight="true" outlineLevel="0" collapsed="false">
      <c r="B57" s="25" t="s">
        <v>767</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218</v>
      </c>
      <c r="E57" s="42" t="s">
        <v>768</v>
      </c>
    </row>
    <row r="59" customFormat="false" ht="15" hidden="false" customHeight="true" outlineLevel="0" collapsed="false">
      <c r="B59" s="13" t="s">
        <v>271</v>
      </c>
      <c r="C59" s="14"/>
      <c r="D59" s="14"/>
      <c r="E59" s="14"/>
      <c r="F59" s="14"/>
      <c r="G59" s="14"/>
    </row>
    <row r="60" customFormat="false" ht="27.75" hidden="false" customHeight="true" outlineLevel="0" collapsed="false">
      <c r="B60" s="46" t="s">
        <v>769</v>
      </c>
      <c r="C60" s="46"/>
      <c r="D60" s="46"/>
      <c r="E60" s="46"/>
    </row>
    <row r="61" customFormat="false" ht="27.75" hidden="false" customHeight="true" outlineLevel="0" collapsed="false">
      <c r="B61" s="46" t="s">
        <v>770</v>
      </c>
      <c r="C61" s="46"/>
      <c r="D61" s="46"/>
      <c r="E61" s="46"/>
    </row>
    <row r="62" customFormat="false" ht="27.75" hidden="false" customHeight="true" outlineLevel="0" collapsed="false">
      <c r="B62" s="46" t="s">
        <v>771</v>
      </c>
      <c r="C62" s="46"/>
      <c r="D62" s="46"/>
      <c r="E62" s="46"/>
    </row>
    <row r="63" customFormat="false" ht="27.75" hidden="false" customHeight="true" outlineLevel="0" collapsed="false">
      <c r="B63" s="46" t="s">
        <v>772</v>
      </c>
      <c r="C63" s="46"/>
      <c r="D63" s="46"/>
      <c r="E63" s="46"/>
    </row>
    <row r="64" customFormat="false" ht="13.5" hidden="false" customHeight="true" outlineLevel="0" collapsed="false">
      <c r="B64" s="47" t="s">
        <v>275</v>
      </c>
      <c r="C64" s="47"/>
      <c r="D64" s="47"/>
      <c r="E64" s="47"/>
    </row>
    <row r="65" customFormat="false" ht="13.5" hidden="false" customHeight="true" outlineLevel="0" collapsed="false">
      <c r="B65" s="46" t="s">
        <v>773</v>
      </c>
      <c r="C65" s="46"/>
      <c r="D65" s="46"/>
      <c r="E65" s="46"/>
    </row>
    <row r="66" customFormat="false" ht="27.75" hidden="false" customHeight="true" outlineLevel="0" collapsed="false">
      <c r="B66" s="46" t="s">
        <v>774</v>
      </c>
      <c r="C66" s="46"/>
      <c r="D66" s="46"/>
      <c r="E66" s="46"/>
    </row>
    <row r="67" customFormat="false" ht="13.5" hidden="false" customHeight="true" outlineLevel="0" collapsed="false">
      <c r="B67" s="46" t="s">
        <v>775</v>
      </c>
      <c r="C67" s="46"/>
      <c r="D67" s="46"/>
      <c r="E67" s="46"/>
    </row>
    <row r="69" customFormat="false" ht="15" hidden="false" customHeight="true" outlineLevel="0" collapsed="false">
      <c r="B69" s="13" t="s">
        <v>280</v>
      </c>
      <c r="C69" s="14"/>
      <c r="D69" s="14"/>
      <c r="E69" s="14"/>
      <c r="F69" s="14"/>
      <c r="G69" s="14"/>
    </row>
    <row r="70" customFormat="false" ht="15" hidden="false" customHeight="true" outlineLevel="0" collapsed="false">
      <c r="B70" s="25" t="s">
        <v>281</v>
      </c>
      <c r="C70" s="48" t="str">
        <f aca="false">"Update your retirement goal (no new goal)"</f>
        <v>Update your retirement goal (no new goal)</v>
      </c>
      <c r="E70" s="49" t="s">
        <v>776</v>
      </c>
    </row>
    <row r="71" customFormat="false" ht="15" hidden="false" customHeight="true" outlineLevel="0" collapsed="false">
      <c r="B71" s="25" t="s">
        <v>777</v>
      </c>
      <c r="C71" s="50" t="str">
        <f aca="false">IF(Need_9&lt;&gt;"",Need_9,Desired_Income-Spend_Less)</f>
        <v>Choose your desired retirement income to see this</v>
      </c>
      <c r="E71" s="49" t="s">
        <v>778</v>
      </c>
    </row>
    <row r="72" customFormat="false" ht="15" hidden="false" customHeight="true" outlineLevel="0" collapsed="false">
      <c r="B72" s="25" t="s">
        <v>779</v>
      </c>
      <c r="C72" s="51" t="str">
        <f aca="false">IF(Need_1&lt;&gt;"",Need_1,Retirement_Age+Retire_Later)</f>
        <v>Choose your retirement age to see this</v>
      </c>
      <c r="E72" s="49" t="s">
        <v>780</v>
      </c>
    </row>
    <row r="73" customFormat="false" ht="15" hidden="false" customHeight="true" outlineLevel="0" collapsed="false">
      <c r="B73" s="25" t="s">
        <v>581</v>
      </c>
      <c r="C73" s="69" t="str">
        <f aca="false">IF(Inflation_Choice="","Choose an inflation rate first",Inflation_Choice)</f>
        <v>Choose an inflation rate first</v>
      </c>
      <c r="E73" s="49" t="s">
        <v>582</v>
      </c>
    </row>
    <row r="74" customFormat="false" ht="13.5" hidden="false" customHeight="true" outlineLevel="0" collapsed="false">
      <c r="B74" s="53" t="s">
        <v>781</v>
      </c>
      <c r="C74" s="53"/>
      <c r="D74" s="53"/>
      <c r="E74" s="53"/>
    </row>
    <row r="76" customFormat="false" ht="15" hidden="false" customHeight="true" outlineLevel="0" collapsed="false">
      <c r="B76" s="13" t="s">
        <v>289</v>
      </c>
      <c r="C76" s="14"/>
      <c r="D76" s="14"/>
      <c r="E76" s="14"/>
      <c r="F76" s="14"/>
      <c r="G76" s="14"/>
    </row>
    <row r="77" customFormat="false" ht="15" hidden="false" customHeight="true" outlineLevel="0" collapsed="false">
      <c r="B77" s="52" t="s">
        <v>782</v>
      </c>
      <c r="C77" s="52" t="str">
        <f aca="false">IF(Retirement_Age="","Choose your retirement age to see this","")</f>
        <v>Choose your retirement age to see this</v>
      </c>
    </row>
    <row r="78" customFormat="false" ht="15" hidden="false" customHeight="true" outlineLevel="0" collapsed="false">
      <c r="B78" s="52" t="s">
        <v>783</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784</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785</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786</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787</v>
      </c>
      <c r="C82" s="52" t="str">
        <f aca="false">IF(Age="","Choose your age to see this",IF(Retirement_Age="","Choose your retirement age to see this",""))</f>
        <v>Choose your age to see this</v>
      </c>
    </row>
    <row r="83" customFormat="false" ht="15" hidden="false" customHeight="true" outlineLevel="0" collapsed="false">
      <c r="B83" s="52" t="s">
        <v>788</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789</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790</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791</v>
      </c>
      <c r="E1" s="3" t="s">
        <v>792</v>
      </c>
    </row>
    <row r="2" customFormat="false" ht="15" hidden="false" customHeight="true" outlineLevel="0" collapsed="false">
      <c r="B2" s="21" t="s">
        <v>793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794</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795</v>
      </c>
      <c r="C10" s="53"/>
      <c r="D10" s="53"/>
      <c r="E10" s="53"/>
    </row>
    <row r="11" customFormat="false" ht="15" hidden="false" customHeight="true" outlineLevel="0" collapsed="false">
      <c r="B11" s="25" t="s">
        <v>628</v>
      </c>
      <c r="C11" s="55"/>
      <c r="D11" s="27" t="s">
        <v>229</v>
      </c>
      <c r="E11" s="28" t="s">
        <v>629</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21.75" hidden="false" customHeight="true" outlineLevel="0" collapsed="false">
      <c r="B15" s="25" t="s">
        <v>796</v>
      </c>
      <c r="C15" s="26"/>
      <c r="D15" s="27" t="s">
        <v>218</v>
      </c>
      <c r="E15" s="28" t="s">
        <v>219</v>
      </c>
      <c r="F15" s="29" t="n">
        <v>60000</v>
      </c>
      <c r="G15" s="30" t="str">
        <f aca="false">IF(ISBLANK(C15),IF(Fill_Example="Yes",F15,""),C15)</f>
        <v/>
      </c>
    </row>
    <row r="16" customFormat="false" ht="15" hidden="false" customHeight="true" outlineLevel="0" collapsed="false">
      <c r="B16" s="25" t="s">
        <v>797</v>
      </c>
      <c r="C16" s="34"/>
      <c r="D16" s="27" t="s">
        <v>229</v>
      </c>
      <c r="E16" s="28" t="s">
        <v>798</v>
      </c>
      <c r="F16" s="36" t="n">
        <v>0.02</v>
      </c>
      <c r="G16" s="37" t="str">
        <f aca="false">IF(ISBLANK(C16),IF(Fill_Example="Yes",F16,""),C16)</f>
        <v/>
      </c>
    </row>
    <row r="17" customFormat="false" ht="21.75" hidden="false" customHeight="true" outlineLevel="0" collapsed="false">
      <c r="B17" s="25" t="s">
        <v>763</v>
      </c>
      <c r="C17" s="38"/>
      <c r="D17" s="27" t="s">
        <v>231</v>
      </c>
      <c r="E17" s="28" t="s">
        <v>799</v>
      </c>
      <c r="F17" s="39" t="n">
        <v>25</v>
      </c>
      <c r="G17" s="40" t="str">
        <f aca="false">IF(ISBLANK(C17),IF(Fill_Example="Yes",F17,""),C17)</f>
        <v/>
      </c>
    </row>
    <row r="18" customFormat="false" ht="21.75" hidden="false" customHeight="true" outlineLevel="0" collapsed="false">
      <c r="B18" s="25" t="s">
        <v>800</v>
      </c>
      <c r="C18" s="34"/>
      <c r="D18" s="27" t="s">
        <v>229</v>
      </c>
      <c r="E18" s="35" t="s">
        <v>801</v>
      </c>
      <c r="F18" s="36" t="n">
        <v>0.045</v>
      </c>
      <c r="G18" s="37" t="str">
        <f aca="false">IF(ISBLANK(C18),IF(Fill_Example="Yes",F18,""),C18)</f>
        <v/>
      </c>
    </row>
    <row r="19" customFormat="false" ht="21.75" hidden="false" customHeight="true" outlineLevel="0" collapsed="false">
      <c r="B19" s="25" t="s">
        <v>730</v>
      </c>
      <c r="C19" s="34"/>
      <c r="D19" s="27" t="s">
        <v>229</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802</v>
      </c>
      <c r="C20" s="74"/>
      <c r="D20" s="27" t="s">
        <v>803</v>
      </c>
      <c r="E20" s="35" t="s">
        <v>804</v>
      </c>
      <c r="F20" s="75" t="str">
        <f aca="false">TE_Marginal_Rate</f>
        <v>Choose your tax status to see this</v>
      </c>
      <c r="G20" s="76" t="str">
        <f aca="false">IF(ISBLANK(C20),IF(Fill_Example="Yes",F20,""),C20)</f>
        <v/>
      </c>
    </row>
    <row r="21" customFormat="false" ht="21.75" hidden="false" customHeight="true" outlineLevel="0" collapsed="false">
      <c r="B21" s="25" t="s">
        <v>805</v>
      </c>
      <c r="C21" s="38"/>
      <c r="D21" s="27" t="s">
        <v>707</v>
      </c>
      <c r="E21" s="28" t="s">
        <v>806</v>
      </c>
      <c r="F21" s="39" t="n">
        <v>40</v>
      </c>
      <c r="G21" s="40" t="str">
        <f aca="false">IF(ISBLANK(C21),IF(Fill_Example="Yes",F21,""),C21)</f>
        <v/>
      </c>
    </row>
    <row r="22" customFormat="false" ht="15" hidden="false" customHeight="true" outlineLevel="0" collapsed="false">
      <c r="B22" s="25" t="s">
        <v>807</v>
      </c>
      <c r="C22" s="26"/>
      <c r="D22" s="27" t="s">
        <v>218</v>
      </c>
      <c r="E22" s="28" t="s">
        <v>808</v>
      </c>
      <c r="F22" s="29" t="n">
        <v>0</v>
      </c>
      <c r="G22" s="30" t="n">
        <f aca="false">IF(ISBLANK(C22),IF(Pens_Own_Total&gt;0,Pens_Own_Total*12,F22),C22)</f>
        <v>0</v>
      </c>
    </row>
    <row r="24" customFormat="false" ht="15" hidden="false" customHeight="true" outlineLevel="0" collapsed="false">
      <c r="B24" s="13" t="s">
        <v>324</v>
      </c>
      <c r="C24" s="14"/>
      <c r="D24" s="14"/>
      <c r="E24" s="14"/>
      <c r="F24" s="14"/>
      <c r="G24" s="14"/>
    </row>
    <row r="25" customFormat="false" ht="15" hidden="false" customHeight="true" outlineLevel="0" collapsed="false">
      <c r="B25" s="25" t="s">
        <v>809</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810</v>
      </c>
      <c r="C29" s="41" t="str">
        <f aca="false">IF(Need_1&lt;&gt;"",Need_1,FV((1+Used_Growth_Rate)^(1/12)-1,Years*12,-Extra_Per_Month))</f>
        <v>Choose your salary to see this</v>
      </c>
      <c r="D29" s="27" t="s">
        <v>218</v>
      </c>
      <c r="E29" s="42" t="s">
        <v>811</v>
      </c>
    </row>
    <row r="30" customFormat="false" ht="17.25" hidden="false" customHeight="true" outlineLevel="0" collapsed="false">
      <c r="B30" s="21" t="s">
        <v>603</v>
      </c>
      <c r="C30" s="41" t="str">
        <f aca="false">IF(Need_2&lt;&gt;"",Need_2,IF(Inflation_Choice="","Choose your inflation rate to see this",Grows_To/(1+Inflation_Choice)^Years))</f>
        <v>Choose your inflation rate to see this</v>
      </c>
      <c r="D30" s="27" t="s">
        <v>218</v>
      </c>
      <c r="E30" s="42" t="s">
        <v>604</v>
      </c>
    </row>
    <row r="31" customFormat="false" ht="15" hidden="false" customHeight="true" outlineLevel="0" collapsed="false">
      <c r="B31" s="25" t="s">
        <v>812</v>
      </c>
      <c r="C31" s="43" t="str">
        <f aca="false">IF(Need_3&lt;&gt;"",Need_3,Salary*Increase_Pct/12)</f>
        <v>Choose your salary to see this</v>
      </c>
      <c r="D31" s="27" t="s">
        <v>218</v>
      </c>
      <c r="E31" s="42" t="s">
        <v>813</v>
      </c>
    </row>
    <row r="32" customFormat="false" ht="15" hidden="false" customHeight="true" outlineLevel="0" collapsed="false">
      <c r="B32" s="25" t="s">
        <v>814</v>
      </c>
      <c r="C32" s="43" t="str">
        <f aca="false">IF(Need_4&lt;&gt;"",Need_4,Extra_Per_Month-Relief_Per_Month)</f>
        <v>Choose your salary to see this</v>
      </c>
      <c r="D32" s="27" t="s">
        <v>218</v>
      </c>
      <c r="E32" s="42" t="s">
        <v>815</v>
      </c>
    </row>
    <row r="33" customFormat="false" ht="15" hidden="false" customHeight="true" outlineLevel="0" collapsed="false">
      <c r="B33" s="25" t="s">
        <v>816</v>
      </c>
      <c r="C33" s="43" t="str">
        <f aca="false">IF(Need_5&lt;&gt;"",Need_5,LOOKUP(Age,Relief_Age_From,Relief_Age_Pct)*MIN(Salary,Relief_Earnings_Cap))</f>
        <v>Choose your salary to see this</v>
      </c>
      <c r="D33" s="27" t="s">
        <v>218</v>
      </c>
      <c r="E33" s="42" t="s">
        <v>817</v>
      </c>
    </row>
    <row r="34" customFormat="false" ht="15" hidden="false" customHeight="true" outlineLevel="0" collapsed="false">
      <c r="B34" s="25" t="s">
        <v>818</v>
      </c>
      <c r="C34" s="43" t="str">
        <f aca="false">IF(Need_5&lt;&gt;"",Need_5,MAX(0,Relief_Limit_Year-Existing_Pension_Year))</f>
        <v>Choose your salary to see this</v>
      </c>
      <c r="D34" s="27" t="s">
        <v>218</v>
      </c>
      <c r="E34" s="42" t="s">
        <v>819</v>
      </c>
    </row>
    <row r="35" customFormat="false" ht="15" hidden="false" customHeight="true" outlineLevel="0" collapsed="false">
      <c r="B35" s="25" t="s">
        <v>820</v>
      </c>
      <c r="C35" s="43" t="str">
        <f aca="false">IF(Need_6&lt;&gt;"",Need_6,MIN(Extra_Per_Month*12,Relief_Room_Year))</f>
        <v>Choose your salary to see this</v>
      </c>
      <c r="D35" s="27" t="s">
        <v>218</v>
      </c>
      <c r="E35" s="42" t="s">
        <v>821</v>
      </c>
    </row>
    <row r="36" customFormat="false" ht="15" hidden="false" customHeight="true" outlineLevel="0" collapsed="false">
      <c r="B36" s="25" t="s">
        <v>822</v>
      </c>
      <c r="C36" s="43" t="str">
        <f aca="false">IF(Need_4&lt;&gt;"",Need_4,Relieved_Year*Tax_Rate/12)</f>
        <v>Choose your salary to see this</v>
      </c>
      <c r="D36" s="27" t="s">
        <v>218</v>
      </c>
      <c r="E36" s="42" t="s">
        <v>823</v>
      </c>
    </row>
    <row r="38" customFormat="false" ht="15" hidden="false" customHeight="true" outlineLevel="0" collapsed="false">
      <c r="B38" s="13" t="s">
        <v>271</v>
      </c>
      <c r="C38" s="14"/>
      <c r="D38" s="14"/>
      <c r="E38" s="14"/>
      <c r="F38" s="14"/>
      <c r="G38" s="14"/>
    </row>
    <row r="39" customFormat="false" ht="13.5" hidden="false" customHeight="true" outlineLevel="0" collapsed="false">
      <c r="B39" s="46" t="s">
        <v>824</v>
      </c>
      <c r="C39" s="46"/>
      <c r="D39" s="46"/>
      <c r="E39" s="46"/>
    </row>
    <row r="40" customFormat="false" ht="13.5" hidden="false" customHeight="true" outlineLevel="0" collapsed="false">
      <c r="B40" s="46" t="s">
        <v>825</v>
      </c>
      <c r="C40" s="46"/>
      <c r="D40" s="46"/>
      <c r="E40" s="46"/>
    </row>
    <row r="41" customFormat="false" ht="13.5" hidden="false" customHeight="true" outlineLevel="0" collapsed="false">
      <c r="B41" s="47" t="s">
        <v>275</v>
      </c>
      <c r="C41" s="47"/>
      <c r="D41" s="47"/>
      <c r="E41" s="47"/>
    </row>
    <row r="42" customFormat="false" ht="13.5" hidden="false" customHeight="true" outlineLevel="0" collapsed="false">
      <c r="B42" s="46" t="s">
        <v>826</v>
      </c>
      <c r="C42" s="46"/>
      <c r="D42" s="46"/>
      <c r="E42" s="46"/>
    </row>
    <row r="43" customFormat="false" ht="13.5" hidden="false" customHeight="true" outlineLevel="0" collapsed="false">
      <c r="B43" s="46" t="s">
        <v>827</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"No goal: raise the plan's pension contribution instead"</f>
        <v>No goal: raise the plan's pension contribution instead</v>
      </c>
      <c r="E46" s="49" t="s">
        <v>828</v>
      </c>
    </row>
    <row r="47" customFormat="false" ht="15" hidden="false" customHeight="true" outlineLevel="0" collapsed="false">
      <c r="B47" s="25" t="s">
        <v>829</v>
      </c>
      <c r="C47" s="50" t="str">
        <f aca="false">IF(Need_3&lt;&gt;"",Need_3,Extra_Per_Month)</f>
        <v>Choose your salary to see this</v>
      </c>
      <c r="E47" s="49" t="s">
        <v>830</v>
      </c>
    </row>
    <row r="48" customFormat="false" ht="13.5" hidden="false" customHeight="true" outlineLevel="0" collapsed="false">
      <c r="B48" s="53" t="s">
        <v>831</v>
      </c>
      <c r="C48" s="53"/>
      <c r="D48" s="53"/>
      <c r="E48" s="53"/>
    </row>
    <row r="50" customFormat="false" ht="15" hidden="false" customHeight="true" outlineLevel="0" collapsed="false">
      <c r="B50" s="13" t="s">
        <v>289</v>
      </c>
      <c r="C50" s="14"/>
      <c r="D50" s="14"/>
      <c r="E50" s="14"/>
      <c r="F50" s="14"/>
      <c r="G50" s="14"/>
    </row>
    <row r="51" customFormat="false" ht="15" hidden="false" customHeight="true" outlineLevel="0" collapsed="false">
      <c r="B51" s="52" t="s">
        <v>832</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833</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834</v>
      </c>
      <c r="C53" s="52" t="str">
        <f aca="false">IF(Salary="","Choose your salary to see this",IF(Increase_Pct="","Choose your contribution increase to see this",""))</f>
        <v>Choose your salary to see this</v>
      </c>
    </row>
    <row r="54" customFormat="false" ht="15" hidden="false" customHeight="true" outlineLevel="0" collapsed="false">
      <c r="B54" s="52" t="s">
        <v>835</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836</v>
      </c>
      <c r="C55" s="52" t="str">
        <f aca="false">IF(Salary="","Choose your salary to see this",IF(Age="","Choose your age to see this",""))</f>
        <v>Choose your salary to see this</v>
      </c>
    </row>
    <row r="56" customFormat="false" ht="15" hidden="false" customHeight="true" outlineLevel="0" collapsed="false">
      <c r="B56" s="52" t="s">
        <v>837</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838</v>
      </c>
      <c r="E1" s="3" t="s">
        <v>839</v>
      </c>
    </row>
    <row r="2" customFormat="false" ht="15" hidden="false" customHeight="true" outlineLevel="0" collapsed="false">
      <c r="B2" s="21" t="s">
        <v>840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841</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842</v>
      </c>
      <c r="C10" s="53"/>
      <c r="D10" s="53"/>
      <c r="E10" s="53"/>
    </row>
    <row r="11" customFormat="false" ht="15" hidden="false" customHeight="true" outlineLevel="0" collapsed="false">
      <c r="B11" s="25" t="s">
        <v>628</v>
      </c>
      <c r="C11" s="55"/>
      <c r="D11" s="27" t="s">
        <v>229</v>
      </c>
      <c r="E11" s="28" t="s">
        <v>629</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15" hidden="false" customHeight="true" outlineLevel="0" collapsed="false">
      <c r="B15" s="25" t="s">
        <v>843</v>
      </c>
      <c r="C15" s="26"/>
      <c r="D15" s="27" t="s">
        <v>218</v>
      </c>
      <c r="E15" s="28" t="s">
        <v>844</v>
      </c>
      <c r="F15" s="29" t="n">
        <v>200</v>
      </c>
      <c r="G15" s="30" t="str">
        <f aca="false">IF(ISBLANK(C15),IF(Fill_Example="Yes",F15,""),C15)</f>
        <v/>
      </c>
    </row>
    <row r="16" customFormat="false" ht="21.75" hidden="false" customHeight="true" outlineLevel="0" collapsed="false">
      <c r="B16" s="25" t="s">
        <v>845</v>
      </c>
      <c r="C16" s="26"/>
      <c r="D16" s="27" t="s">
        <v>218</v>
      </c>
      <c r="E16" s="28" t="s">
        <v>219</v>
      </c>
      <c r="F16" s="29" t="n">
        <v>60000</v>
      </c>
      <c r="G16" s="30" t="str">
        <f aca="false">IF(ISBLANK(C16),IF(Fill_Example="Yes",F16,""),C16)</f>
        <v/>
      </c>
    </row>
    <row r="17" customFormat="false" ht="21.75" hidden="false" customHeight="true" outlineLevel="0" collapsed="false">
      <c r="B17" s="25" t="s">
        <v>763</v>
      </c>
      <c r="C17" s="38"/>
      <c r="D17" s="27" t="s">
        <v>231</v>
      </c>
      <c r="E17" s="28" t="s">
        <v>846</v>
      </c>
      <c r="F17" s="39" t="n">
        <v>15</v>
      </c>
      <c r="G17" s="40" t="str">
        <f aca="false">IF(ISBLANK(C17),IF(Fill_Example="Yes",F17,""),C17)</f>
        <v/>
      </c>
    </row>
    <row r="18" customFormat="false" ht="21.75" hidden="false" customHeight="true" outlineLevel="0" collapsed="false">
      <c r="B18" s="25" t="s">
        <v>800</v>
      </c>
      <c r="C18" s="34"/>
      <c r="D18" s="27" t="s">
        <v>229</v>
      </c>
      <c r="E18" s="35" t="s">
        <v>801</v>
      </c>
      <c r="F18" s="36" t="n">
        <v>0.045</v>
      </c>
      <c r="G18" s="37" t="str">
        <f aca="false">IF(ISBLANK(C18),IF(Fill_Example="Yes",F18,""),C18)</f>
        <v/>
      </c>
    </row>
    <row r="19" customFormat="false" ht="21.75" hidden="false" customHeight="true" outlineLevel="0" collapsed="false">
      <c r="B19" s="25" t="s">
        <v>730</v>
      </c>
      <c r="C19" s="34"/>
      <c r="D19" s="27" t="s">
        <v>229</v>
      </c>
      <c r="E19" s="35"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36" t="n">
        <f aca="false">IF(ISNUMBER(Suggest_Fund_Charges),Suggest_Fund_Charges,"")</f>
        <v>0.01</v>
      </c>
      <c r="G19" s="37" t="str">
        <f aca="false">IF(ISBLANK(C19),IF(Fill_Example="Yes",F19,""),C19)</f>
        <v/>
      </c>
    </row>
    <row r="20" customFormat="false" ht="33" hidden="false" customHeight="true" outlineLevel="0" collapsed="false">
      <c r="B20" s="25" t="s">
        <v>802</v>
      </c>
      <c r="C20" s="74"/>
      <c r="D20" s="27" t="s">
        <v>803</v>
      </c>
      <c r="E20" s="35" t="s">
        <v>804</v>
      </c>
      <c r="F20" s="75" t="str">
        <f aca="false">TE_Marginal_Rate</f>
        <v>Choose your tax status to see this</v>
      </c>
      <c r="G20" s="76" t="str">
        <f aca="false">IF(ISBLANK(C20),IF(Fill_Example="Yes",F20,""),C20)</f>
        <v/>
      </c>
    </row>
    <row r="21" customFormat="false" ht="21.75" hidden="false" customHeight="true" outlineLevel="0" collapsed="false">
      <c r="B21" s="25" t="s">
        <v>805</v>
      </c>
      <c r="C21" s="38"/>
      <c r="D21" s="27" t="s">
        <v>707</v>
      </c>
      <c r="E21" s="28" t="s">
        <v>806</v>
      </c>
      <c r="F21" s="39" t="n">
        <v>40</v>
      </c>
      <c r="G21" s="40" t="str">
        <f aca="false">IF(ISBLANK(C21),IF(Fill_Example="Yes",F21,""),C21)</f>
        <v/>
      </c>
    </row>
    <row r="22" customFormat="false" ht="15" hidden="false" customHeight="true" outlineLevel="0" collapsed="false">
      <c r="B22" s="25" t="s">
        <v>807</v>
      </c>
      <c r="C22" s="26"/>
      <c r="D22" s="27" t="s">
        <v>218</v>
      </c>
      <c r="E22" s="28" t="s">
        <v>808</v>
      </c>
      <c r="F22" s="29" t="n">
        <v>0</v>
      </c>
      <c r="G22" s="30" t="n">
        <f aca="false">IF(ISBLANK(C22),IF(Pens_Own_Total&gt;0,Pens_Own_Total*12,F22),C22)</f>
        <v>0</v>
      </c>
    </row>
    <row r="24" customFormat="false" ht="15" hidden="false" customHeight="true" outlineLevel="0" collapsed="false">
      <c r="B24" s="13" t="s">
        <v>324</v>
      </c>
      <c r="C24" s="14"/>
      <c r="D24" s="14"/>
      <c r="E24" s="14"/>
      <c r="F24" s="14"/>
      <c r="G24" s="14"/>
    </row>
    <row r="25" customFormat="false" ht="15" hidden="false" customHeight="true" outlineLevel="0" collapsed="false">
      <c r="B25" s="25" t="s">
        <v>809</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847</v>
      </c>
      <c r="C29" s="41" t="str">
        <f aca="false">IF(Need_1&lt;&gt;"",Need_1,FV((1+Used_Growth_Rate)^(1/12)-1,Years*12,-AVC_Per_Month))</f>
        <v>Choose your AVC per month to see this</v>
      </c>
      <c r="D29" s="27" t="s">
        <v>218</v>
      </c>
      <c r="E29" s="42" t="s">
        <v>848</v>
      </c>
    </row>
    <row r="30" customFormat="false" ht="17.25" hidden="false" customHeight="true" outlineLevel="0" collapsed="false">
      <c r="B30" s="21" t="s">
        <v>603</v>
      </c>
      <c r="C30" s="41" t="str">
        <f aca="false">IF(Need_2&lt;&gt;"",Need_2,IF(Inflation_Choice="","Choose your inflation rate to see this",Grows_To/(1+Inflation_Choice)^Years))</f>
        <v>Choose your inflation rate to see this</v>
      </c>
      <c r="D30" s="27" t="s">
        <v>218</v>
      </c>
      <c r="E30" s="42" t="s">
        <v>604</v>
      </c>
    </row>
    <row r="31" customFormat="false" ht="15" hidden="false" customHeight="true" outlineLevel="0" collapsed="false">
      <c r="B31" s="25" t="s">
        <v>605</v>
      </c>
      <c r="C31" s="43" t="str">
        <f aca="false">IF(Need_3&lt;&gt;"",Need_3,AVC_Per_Month*12*Years)</f>
        <v>Choose your AVC per month to see this</v>
      </c>
      <c r="D31" s="27" t="s">
        <v>218</v>
      </c>
      <c r="E31" s="42" t="s">
        <v>849</v>
      </c>
    </row>
    <row r="32" customFormat="false" ht="15" hidden="false" customHeight="true" outlineLevel="0" collapsed="false">
      <c r="B32" s="25" t="s">
        <v>850</v>
      </c>
      <c r="C32" s="43" t="str">
        <f aca="false">IF(Need_4&lt;&gt;"",Need_4,Net_Cost_Per_Month*12*Years)</f>
        <v>Choose your AVC per month to see this</v>
      </c>
      <c r="D32" s="27" t="s">
        <v>218</v>
      </c>
      <c r="E32" s="42" t="s">
        <v>851</v>
      </c>
    </row>
    <row r="33" customFormat="false" ht="15" hidden="false" customHeight="true" outlineLevel="0" collapsed="false">
      <c r="B33" s="25" t="s">
        <v>852</v>
      </c>
      <c r="C33" s="43" t="str">
        <f aca="false">IF(Need_5&lt;&gt;"",Need_5,AVC_Per_Month-Relief_Per_Month)</f>
        <v>Choose your AVC per month to see this</v>
      </c>
      <c r="D33" s="27" t="s">
        <v>218</v>
      </c>
      <c r="E33" s="42" t="s">
        <v>853</v>
      </c>
    </row>
    <row r="34" customFormat="false" ht="15" hidden="false" customHeight="true" outlineLevel="0" collapsed="false">
      <c r="B34" s="25" t="s">
        <v>816</v>
      </c>
      <c r="C34" s="43" t="str">
        <f aca="false">IF(Need_6&lt;&gt;"",Need_6,LOOKUP(Age,Relief_Age_From,Relief_Age_Pct)*MIN(Salary,Relief_Earnings_Cap))</f>
        <v>Choose your salary to see this</v>
      </c>
      <c r="D34" s="27" t="s">
        <v>218</v>
      </c>
      <c r="E34" s="42" t="s">
        <v>817</v>
      </c>
    </row>
    <row r="35" customFormat="false" ht="15" hidden="false" customHeight="true" outlineLevel="0" collapsed="false">
      <c r="B35" s="25" t="s">
        <v>818</v>
      </c>
      <c r="C35" s="43" t="str">
        <f aca="false">IF(Need_6&lt;&gt;"",Need_6,MAX(0,Relief_Limit_Year-Existing_Pension_Year))</f>
        <v>Choose your salary to see this</v>
      </c>
      <c r="D35" s="27" t="s">
        <v>218</v>
      </c>
      <c r="E35" s="42" t="s">
        <v>819</v>
      </c>
    </row>
    <row r="36" customFormat="false" ht="15" hidden="false" customHeight="true" outlineLevel="0" collapsed="false">
      <c r="B36" s="25" t="s">
        <v>854</v>
      </c>
      <c r="C36" s="43" t="str">
        <f aca="false">IF(Need_7&lt;&gt;"",Need_7,MIN(AVC_Per_Month*12,Relief_Room_Year))</f>
        <v>Choose your AVC per month to see this</v>
      </c>
      <c r="D36" s="27" t="s">
        <v>218</v>
      </c>
      <c r="E36" s="42" t="s">
        <v>855</v>
      </c>
    </row>
    <row r="37" customFormat="false" ht="15" hidden="false" customHeight="true" outlineLevel="0" collapsed="false">
      <c r="B37" s="25" t="s">
        <v>822</v>
      </c>
      <c r="C37" s="43" t="str">
        <f aca="false">IF(Need_5&lt;&gt;"",Need_5,Relieved_Year*Tax_Rate/12)</f>
        <v>Choose your AVC per month to see this</v>
      </c>
      <c r="D37" s="27" t="s">
        <v>218</v>
      </c>
      <c r="E37" s="42" t="s">
        <v>823</v>
      </c>
    </row>
    <row r="39" customFormat="false" ht="15" hidden="false" customHeight="true" outlineLevel="0" collapsed="false">
      <c r="B39" s="13" t="s">
        <v>271</v>
      </c>
      <c r="C39" s="14"/>
      <c r="D39" s="14"/>
      <c r="E39" s="14"/>
      <c r="F39" s="14"/>
      <c r="G39" s="14"/>
    </row>
    <row r="40" customFormat="false" ht="27.75" hidden="false" customHeight="true" outlineLevel="0" collapsed="false">
      <c r="B40" s="46" t="s">
        <v>856</v>
      </c>
      <c r="C40" s="46"/>
      <c r="D40" s="46"/>
      <c r="E40" s="46"/>
    </row>
    <row r="41" customFormat="false" ht="13.5" hidden="false" customHeight="true" outlineLevel="0" collapsed="false">
      <c r="B41" s="47" t="s">
        <v>275</v>
      </c>
      <c r="C41" s="47"/>
      <c r="D41" s="47"/>
      <c r="E41" s="47"/>
    </row>
    <row r="42" customFormat="false" ht="13.5" hidden="false" customHeight="true" outlineLevel="0" collapsed="false">
      <c r="B42" s="46" t="s">
        <v>826</v>
      </c>
      <c r="C42" s="46"/>
      <c r="D42" s="46"/>
      <c r="E42" s="46"/>
    </row>
    <row r="43" customFormat="false" ht="13.5" hidden="false" customHeight="true" outlineLevel="0" collapsed="false">
      <c r="B43" s="46" t="s">
        <v>857</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"No goal: raise the plan's pension contribution instead"</f>
        <v>No goal: raise the plan's pension contribution instead</v>
      </c>
      <c r="E46" s="49" t="s">
        <v>828</v>
      </c>
    </row>
    <row r="47" customFormat="false" ht="15" hidden="false" customHeight="true" outlineLevel="0" collapsed="false">
      <c r="B47" s="25" t="s">
        <v>829</v>
      </c>
      <c r="C47" s="50" t="str">
        <f aca="false">IF(Need_8&lt;&gt;"",Need_8,AVC_Per_Month)</f>
        <v>Choose your AVC per month to see this</v>
      </c>
      <c r="E47" s="49" t="s">
        <v>858</v>
      </c>
    </row>
    <row r="49" customFormat="false" ht="15" hidden="false" customHeight="true" outlineLevel="0" collapsed="false">
      <c r="B49" s="13" t="s">
        <v>289</v>
      </c>
      <c r="C49" s="14"/>
      <c r="D49" s="14"/>
      <c r="E49" s="14"/>
      <c r="F49" s="14"/>
      <c r="G49" s="14"/>
    </row>
    <row r="50" customFormat="false" ht="15" hidden="false" customHeight="true" outlineLevel="0" collapsed="false">
      <c r="B50" s="52" t="s">
        <v>859</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860</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861</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862</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863</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836</v>
      </c>
      <c r="C55" s="52" t="str">
        <f aca="false">IF(Salary="","Choose your salary to see this",IF(Age="","Choose your age to see this",""))</f>
        <v>Choose your salary to see this</v>
      </c>
    </row>
    <row r="56" customFormat="false" ht="15" hidden="false" customHeight="true" outlineLevel="0" collapsed="false">
      <c r="B56" s="52" t="s">
        <v>864</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865</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866</v>
      </c>
      <c r="E1" s="3" t="s">
        <v>867</v>
      </c>
    </row>
    <row r="2" customFormat="false" ht="15" hidden="false" customHeight="true" outlineLevel="0" collapsed="false">
      <c r="B2" s="21" t="s">
        <v>868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869</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870</v>
      </c>
      <c r="C10" s="53"/>
      <c r="D10" s="53"/>
      <c r="E10" s="53"/>
    </row>
    <row r="11" customFormat="false" ht="15" hidden="false" customHeight="true" outlineLevel="0" collapsed="false">
      <c r="B11" s="25" t="s">
        <v>709</v>
      </c>
      <c r="C11" s="54"/>
      <c r="D11" s="27" t="s">
        <v>218</v>
      </c>
      <c r="E11" s="28" t="s">
        <v>627</v>
      </c>
      <c r="G11" s="52" t="s">
        <v>305</v>
      </c>
    </row>
    <row r="12" customFormat="false" ht="15" hidden="false" customHeight="true" outlineLevel="0" collapsed="false">
      <c r="B12" s="25" t="s">
        <v>702</v>
      </c>
      <c r="C12" s="54"/>
      <c r="D12" s="27" t="s">
        <v>218</v>
      </c>
      <c r="E12" s="28" t="s">
        <v>703</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871</v>
      </c>
      <c r="C16" s="26"/>
      <c r="D16" s="27" t="s">
        <v>218</v>
      </c>
      <c r="E16" s="28" t="s">
        <v>872</v>
      </c>
      <c r="F16" s="29" t="n">
        <v>400000</v>
      </c>
      <c r="G16" s="30" t="str">
        <f aca="false">IF(ISBLANK(C16),IF(Fill_Example="Yes",F16,""),C16)</f>
        <v/>
      </c>
    </row>
    <row r="17" customFormat="false" ht="15" hidden="false" customHeight="true" outlineLevel="0" collapsed="false">
      <c r="B17" s="25" t="s">
        <v>873</v>
      </c>
      <c r="C17" s="26"/>
      <c r="D17" s="27" t="s">
        <v>218</v>
      </c>
      <c r="E17" s="28" t="s">
        <v>874</v>
      </c>
      <c r="F17" s="29" t="n">
        <v>24000</v>
      </c>
      <c r="G17" s="30" t="str">
        <f aca="false">IF(ISBLANK(C17),IF(Fill_Example="Yes",F17,""),C17)</f>
        <v/>
      </c>
    </row>
    <row r="18" customFormat="false" ht="21.75" hidden="false" customHeight="true" outlineLevel="0" collapsed="false">
      <c r="B18" s="25" t="s">
        <v>875</v>
      </c>
      <c r="C18" s="34"/>
      <c r="D18" s="27" t="s">
        <v>229</v>
      </c>
      <c r="E18" s="35" t="s">
        <v>876</v>
      </c>
      <c r="F18" s="36" t="n">
        <v>0.0315</v>
      </c>
      <c r="G18" s="37" t="str">
        <f aca="false">IF(ISBLANK(C18),IF(Fill_Example="Yes",F18,""),C18)</f>
        <v/>
      </c>
    </row>
    <row r="19" customFormat="false" ht="21.75" hidden="false" customHeight="true" outlineLevel="0" collapsed="false">
      <c r="B19" s="25" t="s">
        <v>877</v>
      </c>
      <c r="C19" s="31"/>
      <c r="D19" s="27"/>
      <c r="E19" s="35" t="s">
        <v>878</v>
      </c>
      <c r="F19" s="32" t="s">
        <v>879</v>
      </c>
      <c r="G19" s="33" t="str">
        <f aca="false">IF(ISBLANK(C19),IF(Fill_Example="Yes",F19,""),C19)</f>
        <v/>
      </c>
    </row>
    <row r="20" customFormat="false" ht="21.75" hidden="false" customHeight="true" outlineLevel="0" collapsed="false">
      <c r="B20" s="25" t="s">
        <v>880</v>
      </c>
      <c r="C20" s="38"/>
      <c r="D20" s="27" t="s">
        <v>707</v>
      </c>
      <c r="E20" s="35" t="s">
        <v>881</v>
      </c>
      <c r="F20" s="39" t="n">
        <v>66</v>
      </c>
      <c r="G20" s="40" t="str">
        <f aca="false">IF(ISBLANK(C20),IF(Fill_Example="Yes",F20,""),C20)</f>
        <v/>
      </c>
    </row>
    <row r="21" customFormat="false" ht="21.75" hidden="false" customHeight="true" outlineLevel="0" collapsed="false">
      <c r="B21" s="25" t="s">
        <v>882</v>
      </c>
      <c r="C21" s="38"/>
      <c r="D21" s="27" t="s">
        <v>707</v>
      </c>
      <c r="E21" s="35" t="s">
        <v>883</v>
      </c>
      <c r="F21" s="39" t="n">
        <v>90</v>
      </c>
      <c r="G21" s="40" t="str">
        <f aca="false">IF(ISBLANK(C21),IF(Fill_Example="Yes",F21,""),C21)</f>
        <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871</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884</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885</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886</v>
      </c>
    </row>
    <row r="29" customFormat="false" ht="23.25" hidden="false" customHeight="true" outlineLevel="0" collapsed="false">
      <c r="B29" s="21" t="s">
        <v>887</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888</v>
      </c>
    </row>
    <row r="30" customFormat="false" ht="15" hidden="false" customHeight="true" outlineLevel="0" collapsed="false">
      <c r="B30" s="25" t="s">
        <v>889</v>
      </c>
      <c r="C30" s="77" t="str">
        <f aca="false">IF(Need_3&lt;&gt;"",Need_3,Yearly_Withdrawal/Used_Retirement_Savings)</f>
        <v>Choose your yearly withdrawal to see this</v>
      </c>
      <c r="D30" s="27" t="s">
        <v>229</v>
      </c>
      <c r="E30" s="42" t="s">
        <v>890</v>
      </c>
    </row>
    <row r="31" customFormat="false" ht="15" hidden="false" customHeight="true" outlineLevel="0" collapsed="false">
      <c r="B31" s="13" t="s">
        <v>891</v>
      </c>
      <c r="C31" s="14"/>
      <c r="D31" s="14"/>
      <c r="E31" s="14"/>
      <c r="F31" s="14"/>
      <c r="G31" s="14"/>
    </row>
    <row r="32" customFormat="false" ht="27.75" hidden="false" customHeight="true" outlineLevel="0" collapsed="false">
      <c r="B32" s="78" t="s">
        <v>892</v>
      </c>
      <c r="C32" s="78" t="s">
        <v>893</v>
      </c>
      <c r="D32" s="78" t="s">
        <v>894</v>
      </c>
      <c r="E32" s="78" t="s">
        <v>895</v>
      </c>
      <c r="F32" s="78" t="s">
        <v>896</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271</v>
      </c>
      <c r="C95" s="14"/>
      <c r="D95" s="14"/>
      <c r="E95" s="14"/>
      <c r="F95" s="14"/>
      <c r="G95" s="14"/>
    </row>
    <row r="96" customFormat="false" ht="27.75" hidden="false" customHeight="true" outlineLevel="0" collapsed="false">
      <c r="B96" s="46" t="s">
        <v>897</v>
      </c>
      <c r="C96" s="46"/>
      <c r="D96" s="46"/>
      <c r="E96" s="46"/>
    </row>
    <row r="97" customFormat="false" ht="13.5" hidden="false" customHeight="true" outlineLevel="0" collapsed="false">
      <c r="B97" s="46" t="s">
        <v>898</v>
      </c>
      <c r="C97" s="46"/>
      <c r="D97" s="46"/>
      <c r="E97" s="46"/>
    </row>
    <row r="98" customFormat="false" ht="13.5" hidden="false" customHeight="true" outlineLevel="0" collapsed="false">
      <c r="B98" s="47" t="s">
        <v>275</v>
      </c>
      <c r="C98" s="47"/>
      <c r="D98" s="47"/>
      <c r="E98" s="47"/>
    </row>
    <row r="99" customFormat="false" ht="13.5" hidden="false" customHeight="true" outlineLevel="0" collapsed="false">
      <c r="B99" s="46" t="s">
        <v>899</v>
      </c>
      <c r="C99" s="46"/>
      <c r="D99" s="46"/>
      <c r="E99" s="46"/>
    </row>
    <row r="100" customFormat="false" ht="13.5" hidden="false" customHeight="true" outlineLevel="0" collapsed="false">
      <c r="B100" s="46" t="s">
        <v>900</v>
      </c>
      <c r="C100" s="46"/>
      <c r="D100" s="46"/>
      <c r="E100" s="46"/>
    </row>
    <row r="101" customFormat="false" ht="13.5" hidden="false" customHeight="true" outlineLevel="0" collapsed="false">
      <c r="B101" s="46" t="s">
        <v>901</v>
      </c>
      <c r="C101" s="46"/>
      <c r="D101" s="46"/>
      <c r="E101" s="46"/>
    </row>
    <row r="103" customFormat="false" ht="15" hidden="false" customHeight="true" outlineLevel="0" collapsed="false">
      <c r="B103" s="13" t="s">
        <v>280</v>
      </c>
      <c r="C103" s="14"/>
      <c r="D103" s="14"/>
      <c r="E103" s="14"/>
      <c r="F103" s="14"/>
      <c r="G103" s="14"/>
    </row>
    <row r="104" customFormat="false" ht="15" hidden="false" customHeight="true" outlineLevel="0" collapsed="false">
      <c r="B104" s="25" t="s">
        <v>281</v>
      </c>
      <c r="C104" s="48" t="str">
        <f aca="false">"No goal"</f>
        <v>No goal</v>
      </c>
      <c r="E104" s="49" t="s">
        <v>468</v>
      </c>
    </row>
    <row r="106" customFormat="false" ht="15" hidden="false" customHeight="true" outlineLevel="0" collapsed="false">
      <c r="B106" s="13" t="s">
        <v>289</v>
      </c>
      <c r="C106" s="14"/>
      <c r="D106" s="14"/>
      <c r="E106" s="14"/>
      <c r="F106" s="14"/>
      <c r="G106" s="14"/>
    </row>
    <row r="107" customFormat="false" ht="15" hidden="false" customHeight="true" outlineLevel="0" collapsed="false">
      <c r="B107" s="52" t="s">
        <v>902</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903</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904</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905</v>
      </c>
      <c r="E1" s="3" t="s">
        <v>906</v>
      </c>
    </row>
    <row r="2" customFormat="false" ht="15" hidden="false" customHeight="true" outlineLevel="0" collapsed="false">
      <c r="B2" s="21" t="s">
        <v>907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908</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870</v>
      </c>
      <c r="C10" s="53"/>
      <c r="D10" s="53"/>
      <c r="E10" s="53"/>
    </row>
    <row r="11" customFormat="false" ht="15" hidden="false" customHeight="true" outlineLevel="0" collapsed="false">
      <c r="B11" s="25" t="s">
        <v>709</v>
      </c>
      <c r="C11" s="54"/>
      <c r="D11" s="27" t="s">
        <v>218</v>
      </c>
      <c r="E11" s="28" t="s">
        <v>627</v>
      </c>
      <c r="G11" s="52" t="s">
        <v>305</v>
      </c>
    </row>
    <row r="12" customFormat="false" ht="15" hidden="false" customHeight="true" outlineLevel="0" collapsed="false">
      <c r="B12" s="25" t="s">
        <v>702</v>
      </c>
      <c r="C12" s="54"/>
      <c r="D12" s="27" t="s">
        <v>218</v>
      </c>
      <c r="E12" s="28" t="s">
        <v>703</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21.75" hidden="false" customHeight="true" outlineLevel="0" collapsed="false">
      <c r="B16" s="25" t="s">
        <v>871</v>
      </c>
      <c r="C16" s="26"/>
      <c r="D16" s="27" t="s">
        <v>218</v>
      </c>
      <c r="E16" s="28" t="s">
        <v>872</v>
      </c>
      <c r="F16" s="29" t="n">
        <v>400000</v>
      </c>
      <c r="G16" s="30" t="str">
        <f aca="false">IF(ISBLANK(C16),IF(Fill_Example="Yes",F16,""),C16)</f>
        <v/>
      </c>
    </row>
    <row r="17" customFormat="false" ht="15" hidden="false" customHeight="true" outlineLevel="0" collapsed="false">
      <c r="B17" s="25" t="s">
        <v>873</v>
      </c>
      <c r="C17" s="26"/>
      <c r="D17" s="27" t="s">
        <v>218</v>
      </c>
      <c r="E17" s="28" t="s">
        <v>874</v>
      </c>
      <c r="F17" s="29" t="n">
        <v>20000</v>
      </c>
      <c r="G17" s="30" t="str">
        <f aca="false">IF(ISBLANK(C17),IF(Fill_Example="Yes",F17,""),C17)</f>
        <v/>
      </c>
    </row>
    <row r="18" customFormat="false" ht="21.75" hidden="false" customHeight="true" outlineLevel="0" collapsed="false">
      <c r="B18" s="25" t="s">
        <v>909</v>
      </c>
      <c r="C18" s="34"/>
      <c r="D18" s="27" t="s">
        <v>229</v>
      </c>
      <c r="E18" s="35" t="s">
        <v>910</v>
      </c>
      <c r="F18" s="36" t="n">
        <v>0.02</v>
      </c>
      <c r="G18" s="37" t="str">
        <f aca="false">IF(ISBLANK(C18),IF(Fill_Example="Yes",F18,""),C18)</f>
        <v/>
      </c>
    </row>
    <row r="19" customFormat="false" ht="21.75" hidden="false" customHeight="true" outlineLevel="0" collapsed="false">
      <c r="B19" s="25" t="s">
        <v>911</v>
      </c>
      <c r="C19" s="34"/>
      <c r="D19" s="27" t="s">
        <v>229</v>
      </c>
      <c r="E19" s="35" t="s">
        <v>912</v>
      </c>
      <c r="F19" s="36" t="n">
        <v>0.04</v>
      </c>
      <c r="G19" s="37" t="str">
        <f aca="false">IF(ISBLANK(C19),IF(Fill_Example="Yes",F19,""),C19)</f>
        <v/>
      </c>
    </row>
    <row r="20" customFormat="false" ht="21.75" hidden="false" customHeight="true" outlineLevel="0" collapsed="false">
      <c r="B20" s="25" t="s">
        <v>913</v>
      </c>
      <c r="C20" s="34"/>
      <c r="D20" s="27" t="s">
        <v>229</v>
      </c>
      <c r="E20" s="35" t="s">
        <v>914</v>
      </c>
      <c r="F20" s="36" t="n">
        <v>0.06</v>
      </c>
      <c r="G20" s="37" t="str">
        <f aca="false">IF(ISBLANK(C20),IF(Fill_Example="Yes",F20,""),C20)</f>
        <v/>
      </c>
    </row>
    <row r="21" customFormat="false" ht="21.75" hidden="false" customHeight="true" outlineLevel="0" collapsed="false">
      <c r="B21" s="25" t="s">
        <v>877</v>
      </c>
      <c r="C21" s="31"/>
      <c r="D21" s="27"/>
      <c r="E21" s="35" t="s">
        <v>878</v>
      </c>
      <c r="F21" s="32" t="s">
        <v>879</v>
      </c>
      <c r="G21" s="33" t="str">
        <f aca="false">IF(ISBLANK(C21),IF(Fill_Example="Yes",F21,""),C21)</f>
        <v/>
      </c>
    </row>
    <row r="23" customFormat="false" ht="15" hidden="false" customHeight="true" outlineLevel="0" collapsed="false">
      <c r="B23" s="13" t="s">
        <v>324</v>
      </c>
      <c r="C23" s="14"/>
      <c r="D23" s="14"/>
      <c r="E23" s="14"/>
      <c r="F23" s="14"/>
      <c r="G23" s="14"/>
    </row>
    <row r="24" customFormat="false" ht="15" hidden="false" customHeight="true" outlineLevel="0" collapsed="false">
      <c r="B24" s="25" t="s">
        <v>871</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884</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23.25" hidden="false" customHeight="true" outlineLevel="0" collapsed="false">
      <c r="B28" s="21" t="s">
        <v>915</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916</v>
      </c>
    </row>
    <row r="29" customFormat="false" ht="15" hidden="false" customHeight="true" outlineLevel="0" collapsed="false">
      <c r="B29" s="25" t="s">
        <v>917</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918</v>
      </c>
    </row>
    <row r="30" customFormat="false" ht="15" hidden="false" customHeight="true" outlineLevel="0" collapsed="false">
      <c r="B30" s="25" t="s">
        <v>919</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920</v>
      </c>
    </row>
    <row r="31" customFormat="false" ht="15" hidden="false" customHeight="true" outlineLevel="0" collapsed="false">
      <c r="B31" s="13" t="s">
        <v>921</v>
      </c>
      <c r="C31" s="14"/>
      <c r="D31" s="14"/>
      <c r="E31" s="14"/>
      <c r="F31" s="14"/>
      <c r="G31" s="14"/>
    </row>
    <row r="32" customFormat="false" ht="27.75" hidden="false" customHeight="true" outlineLevel="0" collapsed="false">
      <c r="B32" s="78" t="s">
        <v>892</v>
      </c>
      <c r="C32" s="78" t="s">
        <v>922</v>
      </c>
      <c r="D32" s="78" t="s">
        <v>923</v>
      </c>
      <c r="E32" s="78" t="s">
        <v>924</v>
      </c>
      <c r="F32" s="78" t="s">
        <v>925</v>
      </c>
      <c r="G32" s="78" t="s">
        <v>926</v>
      </c>
      <c r="H32" s="78" t="s">
        <v>927</v>
      </c>
      <c r="I32" s="78" t="s">
        <v>928</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271</v>
      </c>
      <c r="C95" s="14"/>
      <c r="D95" s="14"/>
      <c r="E95" s="14"/>
      <c r="F95" s="14"/>
      <c r="G95" s="14"/>
    </row>
    <row r="96" customFormat="false" ht="27.75" hidden="false" customHeight="true" outlineLevel="0" collapsed="false">
      <c r="B96" s="46" t="s">
        <v>929</v>
      </c>
      <c r="C96" s="46"/>
      <c r="D96" s="46"/>
      <c r="E96" s="46"/>
    </row>
    <row r="97" customFormat="false" ht="13.5" hidden="false" customHeight="true" outlineLevel="0" collapsed="false">
      <c r="B97" s="46" t="s">
        <v>930</v>
      </c>
      <c r="C97" s="46"/>
      <c r="D97" s="46"/>
      <c r="E97" s="46"/>
    </row>
    <row r="98" customFormat="false" ht="13.5" hidden="false" customHeight="true" outlineLevel="0" collapsed="false">
      <c r="B98" s="47" t="s">
        <v>275</v>
      </c>
      <c r="C98" s="47"/>
      <c r="D98" s="47"/>
      <c r="E98" s="47"/>
    </row>
    <row r="99" customFormat="false" ht="13.5" hidden="false" customHeight="true" outlineLevel="0" collapsed="false">
      <c r="B99" s="46" t="s">
        <v>931</v>
      </c>
      <c r="C99" s="46"/>
      <c r="D99" s="46"/>
      <c r="E99" s="46"/>
    </row>
    <row r="100" customFormat="false" ht="13.5" hidden="false" customHeight="true" outlineLevel="0" collapsed="false">
      <c r="B100" s="46" t="s">
        <v>932</v>
      </c>
      <c r="C100" s="46"/>
      <c r="D100" s="46"/>
      <c r="E100" s="46"/>
    </row>
    <row r="102" customFormat="false" ht="15" hidden="false" customHeight="true" outlineLevel="0" collapsed="false">
      <c r="B102" s="13" t="s">
        <v>280</v>
      </c>
      <c r="C102" s="14"/>
      <c r="D102" s="14"/>
      <c r="E102" s="14"/>
      <c r="F102" s="14"/>
      <c r="G102" s="14"/>
    </row>
    <row r="103" customFormat="false" ht="15" hidden="false" customHeight="true" outlineLevel="0" collapsed="false">
      <c r="B103" s="25" t="s">
        <v>281</v>
      </c>
      <c r="C103" s="48" t="str">
        <f aca="false">"No goal"</f>
        <v>No goal</v>
      </c>
      <c r="E103" s="49" t="s">
        <v>468</v>
      </c>
    </row>
    <row r="105" customFormat="false" ht="15" hidden="false" customHeight="true" outlineLevel="0" collapsed="false">
      <c r="B105" s="13" t="s">
        <v>289</v>
      </c>
      <c r="C105" s="14"/>
      <c r="D105" s="14"/>
      <c r="E105" s="14"/>
      <c r="F105" s="14"/>
      <c r="G105" s="14"/>
    </row>
    <row r="106" customFormat="false" ht="15" hidden="false" customHeight="true" outlineLevel="0" collapsed="false">
      <c r="B106" s="52" t="s">
        <v>933</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934</v>
      </c>
      <c r="E1" s="3" t="s">
        <v>935</v>
      </c>
    </row>
    <row r="2" customFormat="false" ht="15" hidden="false" customHeight="true" outlineLevel="0" collapsed="false">
      <c r="B2" s="21" t="s">
        <v>936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937</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626</v>
      </c>
      <c r="C11" s="54"/>
      <c r="D11" s="27" t="s">
        <v>218</v>
      </c>
      <c r="E11" s="28" t="s">
        <v>627</v>
      </c>
      <c r="G11" s="52" t="s">
        <v>305</v>
      </c>
    </row>
    <row r="12" customFormat="false" ht="15" hidden="false" customHeight="true" outlineLevel="0" collapsed="false">
      <c r="B12" s="25" t="s">
        <v>312</v>
      </c>
      <c r="C12" s="57"/>
      <c r="D12" s="27" t="s">
        <v>313</v>
      </c>
      <c r="E12" s="28" t="s">
        <v>314</v>
      </c>
      <c r="G12" s="52" t="s">
        <v>305</v>
      </c>
    </row>
    <row r="14" customFormat="false" ht="15" hidden="false" customHeight="true" outlineLevel="0" collapsed="false">
      <c r="B14" s="13" t="s">
        <v>315</v>
      </c>
      <c r="C14" s="24" t="s">
        <v>214</v>
      </c>
      <c r="D14" s="24" t="s">
        <v>215</v>
      </c>
      <c r="E14" s="24" t="s">
        <v>216</v>
      </c>
      <c r="F14" s="14"/>
      <c r="G14" s="14"/>
    </row>
    <row r="15" customFormat="false" ht="21.75" hidden="false" customHeight="true" outlineLevel="0" collapsed="false">
      <c r="B15" s="25" t="s">
        <v>630</v>
      </c>
      <c r="C15" s="26"/>
      <c r="D15" s="27" t="s">
        <v>218</v>
      </c>
      <c r="E15" s="28" t="s">
        <v>631</v>
      </c>
      <c r="F15" s="29" t="n">
        <v>20000</v>
      </c>
      <c r="G15" s="30" t="str">
        <f aca="false">IF(ISBLANK(C15),IF(Fill_Example="Yes",F15,""),C15)</f>
        <v/>
      </c>
    </row>
    <row r="16" customFormat="false" ht="21.75" hidden="false" customHeight="true" outlineLevel="0" collapsed="false">
      <c r="B16" s="25" t="s">
        <v>938</v>
      </c>
      <c r="C16" s="34"/>
      <c r="D16" s="27" t="s">
        <v>229</v>
      </c>
      <c r="E16" s="35" t="s">
        <v>939</v>
      </c>
      <c r="F16" s="36" t="n">
        <v>0.05</v>
      </c>
      <c r="G16" s="37" t="str">
        <f aca="false">IF(ISBLANK(C16),IF(Fill_Example="Yes",F16,""),C16)</f>
        <v/>
      </c>
    </row>
    <row r="17" customFormat="false" ht="15" hidden="false" customHeight="true" outlineLevel="0" collapsed="false">
      <c r="B17" s="25" t="s">
        <v>599</v>
      </c>
      <c r="C17" s="38"/>
      <c r="D17" s="27" t="s">
        <v>231</v>
      </c>
      <c r="E17" s="28" t="s">
        <v>600</v>
      </c>
      <c r="F17" s="39" t="n">
        <v>15</v>
      </c>
      <c r="G17" s="40" t="str">
        <f aca="false">IF(ISBLANK(C17),IF(Fill_Example="Yes",F17,""),C17)</f>
        <v/>
      </c>
    </row>
    <row r="19" customFormat="false" ht="15" hidden="false" customHeight="true" outlineLevel="0" collapsed="false">
      <c r="B19" s="13" t="s">
        <v>324</v>
      </c>
      <c r="C19" s="14"/>
      <c r="D19" s="14"/>
      <c r="E19" s="14"/>
      <c r="F19" s="14"/>
      <c r="G19" s="14"/>
    </row>
    <row r="20" customFormat="false" ht="15" hidden="false" customHeight="true" outlineLevel="0" collapsed="false">
      <c r="B20" s="25" t="s">
        <v>630</v>
      </c>
      <c r="C20" s="58" t="str">
        <f aca="false">IF(ISBLANK(Stmt_Total_Value),Amount,Stmt_Total_Value)</f>
        <v/>
      </c>
      <c r="D20" s="59" t="str">
        <f aca="false">IF(ISBLANK(Stmt_Total_Value),"Your figure","From your statement")</f>
        <v>Your figure</v>
      </c>
      <c r="E20" s="49" t="s">
        <v>640</v>
      </c>
    </row>
    <row r="21" customFormat="false" ht="21.75" hidden="false" customHeight="true" outlineLevel="0" collapsed="false">
      <c r="B21" s="25" t="s">
        <v>330</v>
      </c>
      <c r="C21" s="45" t="str">
        <f aca="true">IF(ISBLANK(Stmt_Statement_Date),"",IF(TODAY()-Stmt_Statement_Date&gt;Statement_Max_Age_Days,"Needs a look: statement is more than 12 months old","Up to date"))</f>
        <v/>
      </c>
      <c r="D21" s="27"/>
      <c r="E21" s="42" t="s">
        <v>331</v>
      </c>
    </row>
    <row r="23" customFormat="false" ht="15" hidden="false" customHeight="true" outlineLevel="0" collapsed="false">
      <c r="B23" s="13" t="s">
        <v>238</v>
      </c>
      <c r="C23" s="24" t="s">
        <v>239</v>
      </c>
      <c r="D23" s="24" t="s">
        <v>240</v>
      </c>
      <c r="E23" s="24" t="s">
        <v>241</v>
      </c>
      <c r="F23" s="14"/>
      <c r="G23" s="14"/>
    </row>
    <row r="24" customFormat="false" ht="17.25" hidden="false" customHeight="true" outlineLevel="0" collapsed="false">
      <c r="B24" s="21" t="s">
        <v>940</v>
      </c>
      <c r="C24" s="41" t="str">
        <f aca="false">IF(Need_1&lt;&gt;"",Need_1,IF(Inflation_Choice="","Choose your inflation rate to see this",Future_Value/(1+Inflation_Choice)^Years))</f>
        <v>Choose your inflation rate to see this</v>
      </c>
      <c r="D24" s="27" t="s">
        <v>218</v>
      </c>
      <c r="E24" s="42" t="s">
        <v>941</v>
      </c>
    </row>
    <row r="25" customFormat="false" ht="17.25" hidden="false" customHeight="true" outlineLevel="0" collapsed="false">
      <c r="B25" s="21" t="s">
        <v>942</v>
      </c>
      <c r="C25" s="41" t="str">
        <f aca="false">IF(Need_2&lt;&gt;"",Need_2,Used_Amount*(1+Nominal_Return)^Years)</f>
        <v>Choose your return to see this</v>
      </c>
      <c r="D25" s="27" t="s">
        <v>218</v>
      </c>
      <c r="E25" s="42" t="s">
        <v>943</v>
      </c>
    </row>
    <row r="26" customFormat="false" ht="17.25" hidden="false" customHeight="true" outlineLevel="0" collapsed="false">
      <c r="B26" s="21" t="s">
        <v>944</v>
      </c>
      <c r="C26" s="81" t="str">
        <f aca="false">IF(Need_3&lt;&gt;"",Need_3,IF(Inflation_Choice="","Choose your inflation rate to see this",(1+Nominal_Return)/(1+Inflation_Choice)-1))</f>
        <v>Choose your inflation rate to see this</v>
      </c>
      <c r="D26" s="27"/>
      <c r="E26" s="42" t="s">
        <v>945</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271</v>
      </c>
      <c r="C29" s="14"/>
      <c r="D29" s="14"/>
      <c r="E29" s="14"/>
      <c r="F29" s="14"/>
      <c r="G29" s="14"/>
    </row>
    <row r="30" customFormat="false" ht="13.5" hidden="false" customHeight="true" outlineLevel="0" collapsed="false">
      <c r="B30" s="46" t="s">
        <v>946</v>
      </c>
      <c r="C30" s="46"/>
      <c r="D30" s="46"/>
      <c r="E30" s="46"/>
    </row>
    <row r="31" customFormat="false" ht="13.5" hidden="false" customHeight="true" outlineLevel="0" collapsed="false">
      <c r="B31" s="46" t="s">
        <v>947</v>
      </c>
      <c r="C31" s="46"/>
      <c r="D31" s="46"/>
      <c r="E31" s="46"/>
    </row>
    <row r="32" customFormat="false" ht="13.5" hidden="false" customHeight="true" outlineLevel="0" collapsed="false">
      <c r="B32" s="47" t="s">
        <v>275</v>
      </c>
      <c r="C32" s="47"/>
      <c r="D32" s="47"/>
      <c r="E32" s="47"/>
    </row>
    <row r="33" customFormat="false" ht="13.5" hidden="false" customHeight="true" outlineLevel="0" collapsed="false">
      <c r="B33" s="46" t="s">
        <v>948</v>
      </c>
      <c r="C33" s="46"/>
      <c r="D33" s="46"/>
      <c r="E33" s="46"/>
    </row>
    <row r="35" customFormat="false" ht="15" hidden="false" customHeight="true" outlineLevel="0" collapsed="false">
      <c r="B35" s="13" t="s">
        <v>280</v>
      </c>
      <c r="C35" s="14"/>
      <c r="D35" s="14"/>
      <c r="E35" s="14"/>
      <c r="F35" s="14"/>
      <c r="G35" s="14"/>
    </row>
    <row r="36" customFormat="false" ht="15" hidden="false" customHeight="true" outlineLevel="0" collapsed="false">
      <c r="B36" s="25" t="s">
        <v>281</v>
      </c>
      <c r="C36" s="48" t="str">
        <f aca="false">"No goal"</f>
        <v>No goal</v>
      </c>
      <c r="E36" s="49" t="s">
        <v>468</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949</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950</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951</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952</v>
      </c>
      <c r="E1" s="3" t="s">
        <v>953</v>
      </c>
    </row>
    <row r="2" customFormat="false" ht="15" hidden="false" customHeight="true" outlineLevel="0" collapsed="false">
      <c r="B2" s="21" t="s">
        <v>954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955</v>
      </c>
    </row>
    <row r="5" customFormat="false" ht="15" hidden="false" customHeight="true" outlineLevel="0" collapsed="false">
      <c r="B5" s="13" t="s">
        <v>552</v>
      </c>
      <c r="C5" s="24" t="s">
        <v>214</v>
      </c>
      <c r="D5" s="24" t="s">
        <v>215</v>
      </c>
      <c r="E5" s="24" t="s">
        <v>216</v>
      </c>
      <c r="F5" s="14"/>
      <c r="G5" s="14"/>
    </row>
    <row r="6" customFormat="false" ht="21.75" hidden="false" customHeight="true" outlineLevel="0" collapsed="false">
      <c r="B6" s="25" t="s">
        <v>553</v>
      </c>
      <c r="C6" s="34"/>
      <c r="D6" s="27" t="s">
        <v>229</v>
      </c>
      <c r="E6" s="35" t="s">
        <v>554</v>
      </c>
      <c r="F6" s="36" t="n">
        <v>0.02</v>
      </c>
      <c r="G6" s="37" t="str">
        <f aca="false">IF(ISBLANK(C6),IF(Fill_Example="Yes",F6,""),C6)</f>
        <v/>
      </c>
    </row>
    <row r="7" customFormat="false" ht="27.75" hidden="false" customHeight="true" outlineLevel="0" collapsed="false">
      <c r="B7" s="53" t="s">
        <v>555</v>
      </c>
      <c r="C7" s="53"/>
      <c r="D7" s="53"/>
      <c r="E7" s="53"/>
    </row>
    <row r="9" customFormat="false" ht="15" hidden="false" customHeight="true" outlineLevel="0" collapsed="false">
      <c r="B9" s="13" t="s">
        <v>301</v>
      </c>
      <c r="C9" s="14"/>
      <c r="D9" s="14"/>
      <c r="E9" s="14"/>
      <c r="F9" s="14"/>
      <c r="G9" s="14"/>
    </row>
    <row r="10" customFormat="false" ht="27.75" hidden="false" customHeight="true" outlineLevel="0" collapsed="false">
      <c r="B10" s="53" t="s">
        <v>625</v>
      </c>
      <c r="C10" s="53"/>
      <c r="D10" s="53"/>
      <c r="E10" s="53"/>
    </row>
    <row r="11" customFormat="false" ht="15" hidden="false" customHeight="true" outlineLevel="0" collapsed="false">
      <c r="B11" s="25" t="s">
        <v>956</v>
      </c>
      <c r="C11" s="54"/>
      <c r="D11" s="27" t="s">
        <v>218</v>
      </c>
      <c r="E11" s="28" t="s">
        <v>957</v>
      </c>
      <c r="G11" s="52" t="s">
        <v>305</v>
      </c>
    </row>
    <row r="12" customFormat="false" ht="15" hidden="false" customHeight="true" outlineLevel="0" collapsed="false">
      <c r="B12" s="25" t="s">
        <v>628</v>
      </c>
      <c r="C12" s="55"/>
      <c r="D12" s="27" t="s">
        <v>229</v>
      </c>
      <c r="E12" s="28" t="s">
        <v>629</v>
      </c>
      <c r="G12" s="52" t="s">
        <v>305</v>
      </c>
    </row>
    <row r="13" customFormat="false" ht="15" hidden="false" customHeight="true" outlineLevel="0" collapsed="false">
      <c r="B13" s="25" t="s">
        <v>312</v>
      </c>
      <c r="C13" s="57"/>
      <c r="D13" s="27" t="s">
        <v>313</v>
      </c>
      <c r="E13" s="28" t="s">
        <v>314</v>
      </c>
      <c r="G13" s="52" t="s">
        <v>305</v>
      </c>
    </row>
    <row r="15" customFormat="false" ht="15" hidden="false" customHeight="true" outlineLevel="0" collapsed="false">
      <c r="B15" s="13" t="s">
        <v>315</v>
      </c>
      <c r="C15" s="24" t="s">
        <v>214</v>
      </c>
      <c r="D15" s="24" t="s">
        <v>215</v>
      </c>
      <c r="E15" s="24" t="s">
        <v>216</v>
      </c>
      <c r="F15" s="14"/>
      <c r="G15" s="14"/>
    </row>
    <row r="16" customFormat="false" ht="15" hidden="false" customHeight="true" outlineLevel="0" collapsed="false">
      <c r="B16" s="25" t="s">
        <v>958</v>
      </c>
      <c r="C16" s="26"/>
      <c r="D16" s="27" t="s">
        <v>218</v>
      </c>
      <c r="E16" s="28" t="s">
        <v>959</v>
      </c>
      <c r="F16" s="29" t="n">
        <v>300</v>
      </c>
      <c r="G16" s="30" t="str">
        <f aca="false">IF(ISBLANK(C16),IF(Fill_Example="Yes",F16,""),C16)</f>
        <v/>
      </c>
    </row>
    <row r="17" customFormat="false" ht="15" hidden="false" customHeight="true" outlineLevel="0" collapsed="false">
      <c r="B17" s="25" t="s">
        <v>599</v>
      </c>
      <c r="C17" s="38"/>
      <c r="D17" s="27" t="s">
        <v>231</v>
      </c>
      <c r="E17" s="28" t="s">
        <v>600</v>
      </c>
      <c r="F17" s="39" t="n">
        <v>15</v>
      </c>
      <c r="G17" s="40" t="str">
        <f aca="false">IF(ISBLANK(C17),IF(Fill_Example="Yes",F17,""),C17)</f>
        <v/>
      </c>
    </row>
    <row r="18" customFormat="false" ht="21.75" hidden="false" customHeight="true" outlineLevel="0" collapsed="false">
      <c r="B18" s="25" t="s">
        <v>960</v>
      </c>
      <c r="C18" s="34"/>
      <c r="D18" s="27" t="s">
        <v>229</v>
      </c>
      <c r="E18" s="35" t="s">
        <v>598</v>
      </c>
      <c r="F18" s="36" t="n">
        <v>0.05</v>
      </c>
      <c r="G18" s="37" t="str">
        <f aca="false">IF(ISBLANK(C18),IF(Fill_Example="Yes",F18,""),C18)</f>
        <v/>
      </c>
    </row>
    <row r="19" customFormat="false" ht="21.75" hidden="false" customHeight="true" outlineLevel="0" collapsed="false">
      <c r="B19" s="25" t="s">
        <v>633</v>
      </c>
      <c r="C19" s="34"/>
      <c r="D19" s="27" t="s">
        <v>229</v>
      </c>
      <c r="E19" s="35"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36" t="n">
        <f aca="false">IF(ISNUMBER(Suggest_Fund_Charges),Suggest_Fund_Charges,"")</f>
        <v>0.01</v>
      </c>
      <c r="G19" s="37" t="str">
        <f aca="false">IF(ISBLANK(C19),IF(Fill_Example="Yes",F19,""),C19)</f>
        <v/>
      </c>
    </row>
    <row r="20" customFormat="false" ht="15" hidden="false" customHeight="true" outlineLevel="0" collapsed="false">
      <c r="B20" s="25" t="s">
        <v>636</v>
      </c>
      <c r="C20" s="31"/>
      <c r="D20" s="27" t="s">
        <v>225</v>
      </c>
      <c r="E20" s="28" t="s">
        <v>637</v>
      </c>
      <c r="F20" s="32" t="s">
        <v>3</v>
      </c>
      <c r="G20" s="33" t="str">
        <f aca="false">IF(ISBLANK(C20),F20,C20)</f>
        <v>No</v>
      </c>
    </row>
    <row r="22" customFormat="false" ht="15" hidden="false" customHeight="true" outlineLevel="0" collapsed="false">
      <c r="B22" s="13" t="s">
        <v>324</v>
      </c>
      <c r="C22" s="14"/>
      <c r="D22" s="14"/>
      <c r="E22" s="14"/>
      <c r="F22" s="14"/>
      <c r="G22" s="14"/>
    </row>
    <row r="23" customFormat="false" ht="15" hidden="false" customHeight="true" outlineLevel="0" collapsed="false">
      <c r="B23" s="25" t="s">
        <v>638</v>
      </c>
      <c r="C23" s="45" t="str">
        <f aca="false">IF(COUNTA(Stmt_Monthly_Invested,Stmt_Charges,Stmt_Statement_Date)&gt;0,"Yes","No")</f>
        <v>No</v>
      </c>
      <c r="D23" s="27"/>
      <c r="E23" s="42" t="s">
        <v>961</v>
      </c>
    </row>
    <row r="24" customFormat="false" ht="15" hidden="false" customHeight="true" outlineLevel="0" collapsed="false">
      <c r="B24" s="25" t="s">
        <v>958</v>
      </c>
      <c r="C24" s="58" t="str">
        <f aca="false">IF(ISBLANK(Stmt_Monthly_Invested),Monthly_Amount,Stmt_Monthly_Invested)</f>
        <v/>
      </c>
      <c r="D24" s="59" t="str">
        <f aca="false">IF(ISBLANK(Stmt_Monthly_Invested),"Your figure","From your statement")</f>
        <v>Your figure</v>
      </c>
      <c r="E24" s="49" t="s">
        <v>962</v>
      </c>
    </row>
    <row r="25" customFormat="false" ht="15" hidden="false" customHeight="true" outlineLevel="0" collapsed="false">
      <c r="B25" s="25" t="s">
        <v>633</v>
      </c>
      <c r="C25" s="60" t="str">
        <f aca="false">IF(NOT(ISBLANK(Stmt_Charges)),Stmt_Charges,IF(Statement_Uploaded="Yes",0,Yearly_Fees))</f>
        <v/>
      </c>
      <c r="D25" s="59" t="str">
        <f aca="false">IF(NOT(ISBLANK(Stmt_Charges)),"From your statement",IF(Statement_Uploaded="Yes","None shown on your statement","Your figure"))</f>
        <v>Your figure</v>
      </c>
      <c r="E25" s="49" t="s">
        <v>641</v>
      </c>
    </row>
    <row r="26" customFormat="false" ht="21.75" hidden="false" customHeight="true" outlineLevel="0" collapsed="false">
      <c r="B26" s="25" t="s">
        <v>330</v>
      </c>
      <c r="C26" s="45" t="str">
        <f aca="true">IF(ISBLANK(Stmt_Statement_Date),"",IF(TODAY()-Stmt_Statement_Date&gt;Statement_Max_Age_Days,"Needs a look: statement is more than 12 months old","Up to date"))</f>
        <v/>
      </c>
      <c r="D26" s="27"/>
      <c r="E26" s="42" t="s">
        <v>331</v>
      </c>
    </row>
    <row r="28" customFormat="false" ht="15" hidden="false" customHeight="true" outlineLevel="0" collapsed="false">
      <c r="B28" s="13" t="s">
        <v>238</v>
      </c>
      <c r="C28" s="24" t="s">
        <v>239</v>
      </c>
      <c r="D28" s="24" t="s">
        <v>240</v>
      </c>
      <c r="E28" s="24" t="s">
        <v>241</v>
      </c>
      <c r="F28" s="14"/>
      <c r="G28" s="14"/>
    </row>
    <row r="29" customFormat="false" ht="17.25" hidden="false" customHeight="true" outlineLevel="0" collapsed="false">
      <c r="B29" s="21" t="s">
        <v>963</v>
      </c>
      <c r="C29" s="41" t="str">
        <f aca="false">IF(Need_1&lt;&gt;"",Need_1,IF(Adjust_For_Inflation="Yes",Value_Today,Value_After_Fees))</f>
        <v>Choose your years to see this</v>
      </c>
      <c r="D29" s="27" t="s">
        <v>218</v>
      </c>
      <c r="E29" s="42" t="s">
        <v>964</v>
      </c>
    </row>
    <row r="30" customFormat="false" ht="15" hidden="false" customHeight="true" outlineLevel="0" collapsed="false">
      <c r="B30" s="25" t="s">
        <v>965</v>
      </c>
      <c r="C30" s="43" t="str">
        <f aca="false">IF(Need_1&lt;&gt;"",Need_1,FV((1+Growth_After_Fees)^(1/12)-1,Years*12,-Used_Monthly_Amount))</f>
        <v>Choose your years to see this</v>
      </c>
      <c r="D30" s="27" t="s">
        <v>218</v>
      </c>
      <c r="E30" s="42" t="s">
        <v>966</v>
      </c>
    </row>
    <row r="31" customFormat="false" ht="15" hidden="false" customHeight="true" outlineLevel="0" collapsed="false">
      <c r="B31" s="25" t="s">
        <v>967</v>
      </c>
      <c r="C31" s="43" t="str">
        <f aca="false">IF(Need_2&lt;&gt;"",Need_2,FV((1+Growth_Rate)^(1/12)-1,Years*12,-Used_Monthly_Amount))</f>
        <v>Choose your years to see this</v>
      </c>
      <c r="D31" s="27" t="s">
        <v>218</v>
      </c>
      <c r="E31" s="42" t="s">
        <v>968</v>
      </c>
    </row>
    <row r="32" customFormat="false" ht="17.25" hidden="false" customHeight="true" outlineLevel="0" collapsed="false">
      <c r="B32" s="21" t="s">
        <v>650</v>
      </c>
      <c r="C32" s="41" t="str">
        <f aca="false">IF(Need_1&lt;&gt;"",Need_1,Value_Before_Fees-Value_After_Fees)</f>
        <v>Choose your years to see this</v>
      </c>
      <c r="D32" s="27" t="s">
        <v>218</v>
      </c>
      <c r="E32" s="42" t="s">
        <v>969</v>
      </c>
    </row>
    <row r="33" customFormat="false" ht="15" hidden="false" customHeight="true" outlineLevel="0" collapsed="false">
      <c r="B33" s="25" t="s">
        <v>605</v>
      </c>
      <c r="C33" s="43" t="str">
        <f aca="false">IF(Need_3&lt;&gt;"",Need_3,Used_Monthly_Amount*12*Years)</f>
        <v>Choose your years to see this</v>
      </c>
      <c r="D33" s="27" t="s">
        <v>218</v>
      </c>
      <c r="E33" s="42" t="s">
        <v>970</v>
      </c>
    </row>
    <row r="34" customFormat="false" ht="15" hidden="false" customHeight="true" outlineLevel="0" collapsed="false">
      <c r="B34" s="25" t="s">
        <v>603</v>
      </c>
      <c r="C34" s="43" t="str">
        <f aca="false">IF(Need_4&lt;&gt;"",Need_4,IF(Inflation_Choice="","Choose your inflation rate to see this",Value_After_Fees/(1+Inflation_Choice)^Years))</f>
        <v>Choose your inflation rate to see this</v>
      </c>
      <c r="D34" s="27" t="s">
        <v>218</v>
      </c>
      <c r="E34" s="42" t="s">
        <v>971</v>
      </c>
    </row>
    <row r="35" customFormat="false" ht="15" hidden="false" customHeight="true" outlineLevel="0" collapsed="false">
      <c r="B35" s="25" t="s">
        <v>652</v>
      </c>
      <c r="C35" s="64" t="str">
        <f aca="false">IF(Need_5&lt;&gt;"",Need_5,(1+Growth_Rate)*(1-Used_Yearly_Fees)-1)</f>
        <v>Choose your growth rate to see this</v>
      </c>
      <c r="D35" s="27"/>
      <c r="E35" s="42" t="s">
        <v>653</v>
      </c>
    </row>
    <row r="36" customFormat="false" ht="15" hidden="false" customHeight="true" outlineLevel="0" collapsed="false">
      <c r="B36" s="25" t="s">
        <v>654</v>
      </c>
      <c r="C36" s="64" t="str">
        <f aca="false">IF(Need_6&lt;&gt;"",Need_6,IF(Inflation_Choice="","Choose your inflation rate to see this",(1+Growth_After_Fees)/(1+Inflation_Choice)-1))</f>
        <v>Choose your inflation rate to see this</v>
      </c>
      <c r="D36" s="27"/>
      <c r="E36" s="42" t="s">
        <v>655</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271</v>
      </c>
      <c r="C39" s="14"/>
      <c r="D39" s="14"/>
      <c r="E39" s="14"/>
      <c r="F39" s="14"/>
      <c r="G39" s="14"/>
    </row>
    <row r="40" customFormat="false" ht="27.75" hidden="false" customHeight="true" outlineLevel="0" collapsed="false">
      <c r="B40" s="46" t="s">
        <v>972</v>
      </c>
      <c r="C40" s="46"/>
      <c r="D40" s="46"/>
      <c r="E40" s="46"/>
    </row>
    <row r="41" customFormat="false" ht="13.5" hidden="false" customHeight="true" outlineLevel="0" collapsed="false">
      <c r="B41" s="46" t="s">
        <v>973</v>
      </c>
      <c r="C41" s="46"/>
      <c r="D41" s="46"/>
      <c r="E41" s="46"/>
    </row>
    <row r="42" customFormat="false" ht="13.5" hidden="false" customHeight="true" outlineLevel="0" collapsed="false">
      <c r="B42" s="47" t="s">
        <v>275</v>
      </c>
      <c r="C42" s="47"/>
      <c r="D42" s="47"/>
      <c r="E42" s="47"/>
    </row>
    <row r="43" customFormat="false" ht="13.5" hidden="false" customHeight="true" outlineLevel="0" collapsed="false">
      <c r="B43" s="46" t="s">
        <v>974</v>
      </c>
      <c r="C43" s="46"/>
      <c r="D43" s="46"/>
      <c r="E43" s="46"/>
    </row>
    <row r="45" customFormat="false" ht="15" hidden="false" customHeight="true" outlineLevel="0" collapsed="false">
      <c r="B45" s="13" t="s">
        <v>280</v>
      </c>
      <c r="C45" s="14"/>
      <c r="D45" s="14"/>
      <c r="E45" s="14"/>
      <c r="F45" s="14"/>
      <c r="G45" s="14"/>
    </row>
    <row r="46" customFormat="false" ht="15" hidden="false" customHeight="true" outlineLevel="0" collapsed="false">
      <c r="B46" s="25" t="s">
        <v>281</v>
      </c>
      <c r="C46" s="48" t="str">
        <f aca="false">"Grow my wealth (plan kind pot)"</f>
        <v>Grow my wealth (plan kind pot)</v>
      </c>
      <c r="E46" s="49" t="s">
        <v>613</v>
      </c>
    </row>
    <row r="47" customFormat="false" ht="15" hidden="false" customHeight="true" outlineLevel="0" collapsed="false">
      <c r="B47" s="25" t="s">
        <v>614</v>
      </c>
      <c r="C47" s="50" t="str">
        <f aca="false">IF(Need_1&lt;&gt;"",Need_1,IF(Inflation_Choice="","Choose an inflation rate first",ROUND(Value_Today,0)))</f>
        <v>Choose your years to see this</v>
      </c>
      <c r="E47" s="49" t="s">
        <v>615</v>
      </c>
    </row>
    <row r="48" customFormat="false" ht="15" hidden="false" customHeight="true" outlineLevel="0" collapsed="false">
      <c r="B48" s="25" t="s">
        <v>287</v>
      </c>
      <c r="C48" s="51" t="str">
        <f aca="false">IF(Need_7&lt;&gt;"",Need_7,Years)</f>
        <v>Choose your years to see this</v>
      </c>
      <c r="E48" s="49" t="s">
        <v>580</v>
      </c>
    </row>
    <row r="49" customFormat="false" ht="15" hidden="false" customHeight="true" outlineLevel="0" collapsed="false">
      <c r="B49" s="25" t="s">
        <v>581</v>
      </c>
      <c r="C49" s="69" t="str">
        <f aca="false">IF(Inflation_Choice="","Choose an inflation rate first",Inflation_Choice)</f>
        <v>Choose an inflation rate first</v>
      </c>
      <c r="E49" s="49" t="s">
        <v>582</v>
      </c>
    </row>
    <row r="50" customFormat="false" ht="13.5" hidden="false" customHeight="true" outlineLevel="0" collapsed="false">
      <c r="B50" s="53" t="s">
        <v>975</v>
      </c>
      <c r="C50" s="53"/>
      <c r="D50" s="53"/>
      <c r="E50" s="53"/>
    </row>
    <row r="52" customFormat="false" ht="15" hidden="false" customHeight="true" outlineLevel="0" collapsed="false">
      <c r="B52" s="13" t="s">
        <v>289</v>
      </c>
      <c r="C52" s="14"/>
      <c r="D52" s="14"/>
      <c r="E52" s="14"/>
      <c r="F52" s="14"/>
      <c r="G52" s="14"/>
    </row>
    <row r="53" customFormat="false" ht="15" hidden="false" customHeight="true" outlineLevel="0" collapsed="false">
      <c r="B53" s="52" t="s">
        <v>976</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977</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978</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979</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665</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666</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620</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980</v>
      </c>
      <c r="E1" s="3" t="s">
        <v>981</v>
      </c>
    </row>
    <row r="2" customFormat="false" ht="15" hidden="false" customHeight="true" outlineLevel="0" collapsed="false">
      <c r="B2" s="21" t="s">
        <v>982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983</v>
      </c>
    </row>
    <row r="5" customFormat="false" ht="15" hidden="false" customHeight="true" outlineLevel="0" collapsed="false">
      <c r="B5" s="13" t="s">
        <v>301</v>
      </c>
      <c r="C5" s="14"/>
      <c r="D5" s="14"/>
      <c r="E5" s="14"/>
      <c r="F5" s="14"/>
      <c r="G5" s="14"/>
    </row>
    <row r="6" customFormat="false" ht="27.75" hidden="false" customHeight="true" outlineLevel="0" collapsed="false">
      <c r="B6" s="53" t="s">
        <v>625</v>
      </c>
      <c r="C6" s="53"/>
      <c r="D6" s="53"/>
      <c r="E6" s="53"/>
    </row>
    <row r="7" customFormat="false" ht="15" hidden="false" customHeight="true" outlineLevel="0" collapsed="false">
      <c r="B7" s="25" t="s">
        <v>626</v>
      </c>
      <c r="C7" s="54"/>
      <c r="D7" s="27" t="s">
        <v>218</v>
      </c>
      <c r="E7" s="28" t="s">
        <v>627</v>
      </c>
      <c r="G7" s="52" t="s">
        <v>305</v>
      </c>
    </row>
    <row r="8" customFormat="false" ht="15" hidden="false" customHeight="true" outlineLevel="0" collapsed="false">
      <c r="B8" s="25" t="s">
        <v>628</v>
      </c>
      <c r="C8" s="55"/>
      <c r="D8" s="27" t="s">
        <v>229</v>
      </c>
      <c r="E8" s="28" t="s">
        <v>629</v>
      </c>
      <c r="G8" s="52" t="s">
        <v>305</v>
      </c>
    </row>
    <row r="9" customFormat="false" ht="15" hidden="false" customHeight="true" outlineLevel="0" collapsed="false">
      <c r="B9" s="25" t="s">
        <v>312</v>
      </c>
      <c r="C9" s="57"/>
      <c r="D9" s="27" t="s">
        <v>313</v>
      </c>
      <c r="E9" s="28" t="s">
        <v>314</v>
      </c>
      <c r="G9" s="52" t="s">
        <v>305</v>
      </c>
    </row>
    <row r="11" customFormat="false" ht="15" hidden="false" customHeight="true" outlineLevel="0" collapsed="false">
      <c r="B11" s="13" t="s">
        <v>315</v>
      </c>
      <c r="C11" s="24" t="s">
        <v>214</v>
      </c>
      <c r="D11" s="24" t="s">
        <v>215</v>
      </c>
      <c r="E11" s="24" t="s">
        <v>216</v>
      </c>
      <c r="F11" s="14"/>
      <c r="G11" s="14"/>
    </row>
    <row r="12" customFormat="false" ht="21.75" hidden="false" customHeight="true" outlineLevel="0" collapsed="false">
      <c r="B12" s="25" t="s">
        <v>984</v>
      </c>
      <c r="C12" s="26"/>
      <c r="D12" s="27" t="s">
        <v>218</v>
      </c>
      <c r="E12" s="28" t="s">
        <v>985</v>
      </c>
      <c r="F12" s="29" t="n">
        <v>50000</v>
      </c>
      <c r="G12" s="30" t="str">
        <f aca="false">IF(ISBLANK(C12),IF(Fill_Example="Yes",F12,""),C12)</f>
        <v/>
      </c>
    </row>
    <row r="13" customFormat="false" ht="15" hidden="false" customHeight="true" outlineLevel="0" collapsed="false">
      <c r="B13" s="25" t="s">
        <v>599</v>
      </c>
      <c r="C13" s="38"/>
      <c r="D13" s="27" t="s">
        <v>231</v>
      </c>
      <c r="E13" s="28" t="s">
        <v>600</v>
      </c>
      <c r="F13" s="39" t="n">
        <v>20</v>
      </c>
      <c r="G13" s="40" t="str">
        <f aca="false">IF(ISBLANK(C13),IF(Fill_Example="Yes",F13,""),C13)</f>
        <v/>
      </c>
    </row>
    <row r="14" customFormat="false" ht="21.75" hidden="false" customHeight="true" outlineLevel="0" collapsed="false">
      <c r="B14" s="25" t="s">
        <v>960</v>
      </c>
      <c r="C14" s="34"/>
      <c r="D14" s="27" t="s">
        <v>229</v>
      </c>
      <c r="E14" s="35" t="s">
        <v>598</v>
      </c>
      <c r="F14" s="36" t="n">
        <v>0.05</v>
      </c>
      <c r="G14" s="37" t="str">
        <f aca="false">IF(ISBLANK(C14),IF(Fill_Example="Yes",F14,""),C14)</f>
        <v/>
      </c>
    </row>
    <row r="15" customFormat="false" ht="21.75" hidden="false" customHeight="true" outlineLevel="0" collapsed="false">
      <c r="B15" s="25" t="s">
        <v>986</v>
      </c>
      <c r="C15" s="34"/>
      <c r="D15" s="27" t="s">
        <v>229</v>
      </c>
      <c r="E15"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5" s="36" t="n">
        <f aca="false">IF(ISNUMBER(Suggest_Fund_Charges),Suggest_Fund_Charges,"")</f>
        <v>0.01</v>
      </c>
      <c r="G15" s="37" t="str">
        <f aca="false">IF(ISBLANK(C15),IF(Fill_Example="Yes",F15,""),C15)</f>
        <v/>
      </c>
    </row>
    <row r="16" customFormat="false" ht="21.75" hidden="false" customHeight="true" outlineLevel="0" collapsed="false">
      <c r="B16" s="25" t="s">
        <v>987</v>
      </c>
      <c r="C16" s="34"/>
      <c r="D16" s="27" t="s">
        <v>229</v>
      </c>
      <c r="E16" s="35" t="str">
        <f aca="false">"Type 2 · your figure · Fund charges a year (your statement shows yours). "&amp;IF(ISNUMBER(Suggest_Fund_Charges),"Suggested: "&amp;TEXT(Suggest_Fund_Charges,"0.00%")&amp;" · "&amp;Suggest_Fund_Charges_Label&amp;". ","No suggestion. ")&amp;"Enter your own figure."&amp;" Allowed: 0% to 3% · steps of 0.1%"</f>
        <v>Type 2 · your figure · Fund charges a year (your statement shows yours). Suggested: 1.00% · Pensions Authority pension calculator assumption. Enter your own figure. Allowed: 0% to 3% · steps of 0.1%</v>
      </c>
      <c r="F16" s="36" t="n">
        <f aca="false">IF(ISNUMBER(Suggest_Fund_Charges),Suggest_Fund_Charges,"")</f>
        <v>0.01</v>
      </c>
      <c r="G16" s="37" t="str">
        <f aca="false">IF(ISBLANK(C16),IF(Fill_Example="Yes",F16,""),C16)</f>
        <v/>
      </c>
    </row>
    <row r="18" customFormat="false" ht="15" hidden="false" customHeight="true" outlineLevel="0" collapsed="false">
      <c r="B18" s="13" t="s">
        <v>324</v>
      </c>
      <c r="C18" s="14"/>
      <c r="D18" s="14"/>
      <c r="E18" s="14"/>
      <c r="F18" s="14"/>
      <c r="G18" s="14"/>
    </row>
    <row r="19" customFormat="false" ht="15" hidden="false" customHeight="true" outlineLevel="0" collapsed="false">
      <c r="B19" s="25" t="s">
        <v>638</v>
      </c>
      <c r="C19" s="45" t="str">
        <f aca="false">IF(COUNTA(Stmt_Total_Value,Stmt_Charges,Stmt_Statement_Date)&gt;0,"Yes","No")</f>
        <v>No</v>
      </c>
      <c r="D19" s="27"/>
      <c r="E19" s="42" t="s">
        <v>639</v>
      </c>
    </row>
    <row r="20" customFormat="false" ht="15" hidden="false" customHeight="true" outlineLevel="0" collapsed="false">
      <c r="B20" s="25" t="s">
        <v>984</v>
      </c>
      <c r="C20" s="58" t="str">
        <f aca="false">IF(ISBLANK(Stmt_Total_Value),Amount_Invested,Stmt_Total_Value)</f>
        <v/>
      </c>
      <c r="D20" s="59" t="str">
        <f aca="false">IF(ISBLANK(Stmt_Total_Value),"Your figure","From your statement")</f>
        <v>Your figure</v>
      </c>
      <c r="E20" s="49" t="s">
        <v>988</v>
      </c>
    </row>
    <row r="21" customFormat="false" ht="15" hidden="false" customHeight="true" outlineLevel="0" collapsed="false">
      <c r="B21" s="25" t="s">
        <v>989</v>
      </c>
      <c r="C21" s="60" t="str">
        <f aca="false">IF(NOT(ISBLANK(Stmt_Charges)),Stmt_Charges,IF(Statement_Uploaded="Yes",0,Fee_A))</f>
        <v/>
      </c>
      <c r="D21" s="59" t="str">
        <f aca="false">IF(NOT(ISBLANK(Stmt_Charges)),"From your statement",IF(Statement_Uploaded="Yes","None shown on your statement","Your figure"))</f>
        <v>Your figure</v>
      </c>
      <c r="E21" s="49" t="s">
        <v>990</v>
      </c>
    </row>
    <row r="22" customFormat="false" ht="21.75" hidden="false" customHeight="true" outlineLevel="0" collapsed="false">
      <c r="B22" s="25" t="s">
        <v>330</v>
      </c>
      <c r="C22" s="45" t="str">
        <f aca="true">IF(ISBLANK(Stmt_Statement_Date),"",IF(TODAY()-Stmt_Statement_Date&gt;Statement_Max_Age_Days,"Needs a look: statement is more than 12 months old","Up to date"))</f>
        <v/>
      </c>
      <c r="D22" s="27"/>
      <c r="E22" s="42" t="s">
        <v>331</v>
      </c>
    </row>
    <row r="24" customFormat="false" ht="15" hidden="false" customHeight="true" outlineLevel="0" collapsed="false">
      <c r="B24" s="13" t="s">
        <v>238</v>
      </c>
      <c r="C24" s="24" t="s">
        <v>239</v>
      </c>
      <c r="D24" s="24" t="s">
        <v>240</v>
      </c>
      <c r="E24" s="24" t="s">
        <v>241</v>
      </c>
      <c r="F24" s="14"/>
      <c r="G24" s="14"/>
    </row>
    <row r="25" customFormat="false" ht="17.25" hidden="false" customHeight="true" outlineLevel="0" collapsed="false">
      <c r="B25" s="21" t="s">
        <v>991</v>
      </c>
      <c r="C25" s="41" t="str">
        <f aca="false">IF(Need_1&lt;&gt;"",Need_1,ABS(Value_With_Fee_A-Value_With_Fee_B))</f>
        <v>Choose your years to see this</v>
      </c>
      <c r="D25" s="27" t="s">
        <v>218</v>
      </c>
      <c r="E25" s="42" t="s">
        <v>992</v>
      </c>
    </row>
    <row r="26" customFormat="false" ht="17.25" hidden="false" customHeight="true" outlineLevel="0" collapsed="false">
      <c r="B26" s="21" t="s">
        <v>993</v>
      </c>
      <c r="C26" s="41" t="str">
        <f aca="false">IF(Need_2&lt;&gt;"",Need_2,Used_Amount_Invested*((1+Growth_Rate)*(1-Used_Fee_A))^Years)</f>
        <v>Choose your years to see this</v>
      </c>
      <c r="D26" s="27" t="s">
        <v>218</v>
      </c>
      <c r="E26" s="42" t="s">
        <v>994</v>
      </c>
    </row>
    <row r="27" customFormat="false" ht="17.25" hidden="false" customHeight="true" outlineLevel="0" collapsed="false">
      <c r="B27" s="21" t="s">
        <v>995</v>
      </c>
      <c r="C27" s="41" t="str">
        <f aca="false">IF(Need_3&lt;&gt;"",Need_3,Used_Amount_Invested*((1+Growth_Rate)*(1-Fee_B))^Years)</f>
        <v>Choose your years to see this</v>
      </c>
      <c r="D27" s="27" t="s">
        <v>218</v>
      </c>
      <c r="E27" s="42" t="s">
        <v>996</v>
      </c>
    </row>
    <row r="28" customFormat="false" ht="15" hidden="false" customHeight="true" outlineLevel="0" collapsed="false">
      <c r="B28" s="25" t="s">
        <v>997</v>
      </c>
      <c r="C28" s="65" t="str">
        <f aca="false">IF(Need_4&lt;&gt;"",Need_4,ABS(Fee_B-Used_Fee_A))</f>
        <v>Choose your fee B to see this</v>
      </c>
      <c r="D28" s="27" t="s">
        <v>229</v>
      </c>
      <c r="E28" s="42" t="s">
        <v>998</v>
      </c>
    </row>
    <row r="30" customFormat="false" ht="15" hidden="false" customHeight="true" outlineLevel="0" collapsed="false">
      <c r="B30" s="13" t="s">
        <v>271</v>
      </c>
      <c r="C30" s="14"/>
      <c r="D30" s="14"/>
      <c r="E30" s="14"/>
      <c r="F30" s="14"/>
      <c r="G30" s="14"/>
    </row>
    <row r="31" customFormat="false" ht="13.5" hidden="false" customHeight="true" outlineLevel="0" collapsed="false">
      <c r="B31" s="46" t="s">
        <v>999</v>
      </c>
      <c r="C31" s="46"/>
      <c r="D31" s="46"/>
      <c r="E31" s="46"/>
    </row>
    <row r="32" customFormat="false" ht="13.5" hidden="false" customHeight="true" outlineLevel="0" collapsed="false">
      <c r="B32" s="47" t="s">
        <v>275</v>
      </c>
      <c r="C32" s="47"/>
      <c r="D32" s="47"/>
      <c r="E32" s="47"/>
    </row>
    <row r="33" customFormat="false" ht="13.5" hidden="false" customHeight="true" outlineLevel="0" collapsed="false">
      <c r="B33" s="46" t="s">
        <v>1000</v>
      </c>
      <c r="C33" s="46"/>
      <c r="D33" s="46"/>
      <c r="E33" s="46"/>
    </row>
    <row r="35" customFormat="false" ht="15" hidden="false" customHeight="true" outlineLevel="0" collapsed="false">
      <c r="B35" s="13" t="s">
        <v>280</v>
      </c>
      <c r="C35" s="14"/>
      <c r="D35" s="14"/>
      <c r="E35" s="14"/>
      <c r="F35" s="14"/>
      <c r="G35" s="14"/>
    </row>
    <row r="36" customFormat="false" ht="15" hidden="false" customHeight="true" outlineLevel="0" collapsed="false">
      <c r="B36" s="25" t="s">
        <v>281</v>
      </c>
      <c r="C36" s="48" t="str">
        <f aca="false">"No goal"</f>
        <v>No goal</v>
      </c>
      <c r="E36" s="49" t="s">
        <v>468</v>
      </c>
    </row>
    <row r="38" customFormat="false" ht="15" hidden="false" customHeight="true" outlineLevel="0" collapsed="false">
      <c r="B38" s="13" t="s">
        <v>289</v>
      </c>
      <c r="C38" s="14"/>
      <c r="D38" s="14"/>
      <c r="E38" s="14"/>
      <c r="F38" s="14"/>
      <c r="G38" s="14"/>
    </row>
    <row r="39" customFormat="false" ht="15" hidden="false" customHeight="true" outlineLevel="0" collapsed="false">
      <c r="B39" s="52" t="s">
        <v>1001</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1002</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1003</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1004</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1005</v>
      </c>
      <c r="E1" s="3" t="s">
        <v>1006</v>
      </c>
    </row>
    <row r="2" customFormat="false" ht="15" hidden="false" customHeight="true" outlineLevel="0" collapsed="false">
      <c r="B2" s="21" t="s">
        <v>1007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1008</v>
      </c>
    </row>
    <row r="5" customFormat="false" ht="15" hidden="false" customHeight="true" outlineLevel="0" collapsed="false">
      <c r="B5" s="13" t="s">
        <v>301</v>
      </c>
      <c r="C5" s="14"/>
      <c r="D5" s="14"/>
      <c r="E5" s="14"/>
      <c r="F5" s="14"/>
      <c r="G5" s="14"/>
    </row>
    <row r="6" customFormat="false" ht="27.75" hidden="false" customHeight="true" outlineLevel="0" collapsed="false">
      <c r="B6" s="53" t="s">
        <v>625</v>
      </c>
      <c r="C6" s="53"/>
      <c r="D6" s="53"/>
      <c r="E6" s="53"/>
    </row>
    <row r="7" customFormat="false" ht="15" hidden="false" customHeight="true" outlineLevel="0" collapsed="false">
      <c r="B7" s="25" t="s">
        <v>626</v>
      </c>
      <c r="C7" s="54"/>
      <c r="D7" s="27" t="s">
        <v>218</v>
      </c>
      <c r="E7" s="28" t="s">
        <v>627</v>
      </c>
      <c r="G7" s="52" t="s">
        <v>305</v>
      </c>
    </row>
    <row r="8" customFormat="false" ht="15" hidden="false" customHeight="true" outlineLevel="0" collapsed="false">
      <c r="B8" s="25" t="s">
        <v>1009</v>
      </c>
      <c r="C8" s="55"/>
      <c r="D8" s="27" t="s">
        <v>229</v>
      </c>
      <c r="E8" s="28" t="s">
        <v>1010</v>
      </c>
      <c r="G8" s="52" t="s">
        <v>305</v>
      </c>
    </row>
    <row r="9" customFormat="false" ht="15" hidden="false" customHeight="true" outlineLevel="0" collapsed="false">
      <c r="B9" s="25" t="s">
        <v>312</v>
      </c>
      <c r="C9" s="57"/>
      <c r="D9" s="27" t="s">
        <v>313</v>
      </c>
      <c r="E9" s="28" t="s">
        <v>314</v>
      </c>
      <c r="G9" s="52" t="s">
        <v>305</v>
      </c>
    </row>
    <row r="11" customFormat="false" ht="15" hidden="false" customHeight="true" outlineLevel="0" collapsed="false">
      <c r="B11" s="13" t="s">
        <v>315</v>
      </c>
      <c r="C11" s="24" t="s">
        <v>214</v>
      </c>
      <c r="D11" s="24" t="s">
        <v>215</v>
      </c>
      <c r="E11" s="24" t="s">
        <v>216</v>
      </c>
      <c r="F11" s="14"/>
      <c r="G11" s="14"/>
    </row>
    <row r="12" customFormat="false" ht="21.75" hidden="false" customHeight="true" outlineLevel="0" collapsed="false">
      <c r="B12" s="25" t="s">
        <v>630</v>
      </c>
      <c r="C12" s="26"/>
      <c r="D12" s="27" t="s">
        <v>218</v>
      </c>
      <c r="E12" s="28" t="s">
        <v>985</v>
      </c>
      <c r="F12" s="29" t="n">
        <v>20000</v>
      </c>
      <c r="G12" s="30" t="str">
        <f aca="false">IF(ISBLANK(C12),IF(Fill_Example="Yes",F12,""),C12)</f>
        <v/>
      </c>
    </row>
    <row r="13" customFormat="false" ht="15" hidden="false" customHeight="true" outlineLevel="0" collapsed="false">
      <c r="B13" s="25" t="s">
        <v>599</v>
      </c>
      <c r="C13" s="38"/>
      <c r="D13" s="27" t="s">
        <v>231</v>
      </c>
      <c r="E13" s="28" t="s">
        <v>235</v>
      </c>
      <c r="F13" s="39" t="n">
        <v>10</v>
      </c>
      <c r="G13" s="40" t="str">
        <f aca="false">IF(ISBLANK(C13),IF(Fill_Example="Yes",F13,""),C13)</f>
        <v/>
      </c>
    </row>
    <row r="14" customFormat="false" ht="21.75" hidden="false" customHeight="true" outlineLevel="0" collapsed="false">
      <c r="B14" s="25" t="s">
        <v>1011</v>
      </c>
      <c r="C14" s="38"/>
      <c r="D14" s="27" t="s">
        <v>1012</v>
      </c>
      <c r="E14" s="35" t="s">
        <v>1013</v>
      </c>
      <c r="F14" s="39" t="n">
        <v>2</v>
      </c>
      <c r="G14" s="40" t="str">
        <f aca="false">IF(ISBLANK(C14),IF(Fill_Example="Yes",F14,""),C14)</f>
        <v/>
      </c>
    </row>
    <row r="15" customFormat="false" ht="21.75" hidden="false" customHeight="true" outlineLevel="0" collapsed="false">
      <c r="B15" s="25" t="s">
        <v>1014</v>
      </c>
      <c r="C15" s="34"/>
      <c r="D15" s="27" t="s">
        <v>229</v>
      </c>
      <c r="E15" s="35" t="s">
        <v>1015</v>
      </c>
      <c r="F15" s="36" t="n">
        <v>0.02</v>
      </c>
      <c r="G15" s="37" t="str">
        <f aca="false">IF(ISBLANK(C15),IF(Fill_Example="Yes",F15,""),C15)</f>
        <v/>
      </c>
    </row>
    <row r="16" customFormat="false" ht="21.75" hidden="false" customHeight="true" outlineLevel="0" collapsed="false">
      <c r="B16" s="25" t="s">
        <v>1016</v>
      </c>
      <c r="C16" s="34"/>
      <c r="D16" s="27" t="s">
        <v>229</v>
      </c>
      <c r="E16" s="35" t="s">
        <v>1017</v>
      </c>
      <c r="F16" s="36" t="n">
        <v>0.04</v>
      </c>
      <c r="G16" s="37" t="str">
        <f aca="false">IF(ISBLANK(C16),IF(Fill_Example="Yes",F16,""),C16)</f>
        <v/>
      </c>
    </row>
    <row r="17" customFormat="false" ht="21.75" hidden="false" customHeight="true" outlineLevel="0" collapsed="false">
      <c r="B17" s="25" t="s">
        <v>1018</v>
      </c>
      <c r="C17" s="34"/>
      <c r="D17" s="27" t="s">
        <v>229</v>
      </c>
      <c r="E17" s="35" t="s">
        <v>1019</v>
      </c>
      <c r="F17" s="36" t="n">
        <v>0.06</v>
      </c>
      <c r="G17" s="37" t="str">
        <f aca="false">IF(ISBLANK(C17),IF(Fill_Example="Yes",F17,""),C17)</f>
        <v/>
      </c>
    </row>
    <row r="18" customFormat="false" ht="21.75" hidden="false" customHeight="true" outlineLevel="0" collapsed="false">
      <c r="B18" s="25" t="s">
        <v>1020</v>
      </c>
      <c r="C18" s="34"/>
      <c r="D18" s="27" t="s">
        <v>229</v>
      </c>
      <c r="E18" s="35" t="s">
        <v>1021</v>
      </c>
      <c r="F18" s="36" t="n">
        <v>0.05</v>
      </c>
      <c r="G18" s="37" t="str">
        <f aca="false">IF(ISBLANK(C18),IF(Fill_Example="Yes",F18,""),C18)</f>
        <v/>
      </c>
    </row>
    <row r="19" customFormat="false" ht="21.75" hidden="false" customHeight="true" outlineLevel="0" collapsed="false">
      <c r="B19" s="25" t="s">
        <v>1022</v>
      </c>
      <c r="C19" s="34"/>
      <c r="D19" s="27" t="s">
        <v>229</v>
      </c>
      <c r="E19" s="35" t="s">
        <v>1023</v>
      </c>
      <c r="F19" s="36" t="n">
        <v>0.1</v>
      </c>
      <c r="G19" s="37" t="str">
        <f aca="false">IF(ISBLANK(C19),IF(Fill_Example="Yes",F19,""),C19)</f>
        <v/>
      </c>
    </row>
    <row r="20" customFormat="false" ht="21.75" hidden="false" customHeight="true" outlineLevel="0" collapsed="false">
      <c r="B20" s="25" t="s">
        <v>1024</v>
      </c>
      <c r="C20" s="34"/>
      <c r="D20" s="27" t="s">
        <v>229</v>
      </c>
      <c r="E20" s="35" t="s">
        <v>1025</v>
      </c>
      <c r="F20" s="36" t="n">
        <v>0.16</v>
      </c>
      <c r="G20" s="37" t="str">
        <f aca="false">IF(ISBLANK(C20),IF(Fill_Example="Yes",F20,""),C20)</f>
        <v/>
      </c>
    </row>
    <row r="22" customFormat="false" ht="15" hidden="false" customHeight="true" outlineLevel="0" collapsed="false">
      <c r="B22" s="13" t="s">
        <v>324</v>
      </c>
      <c r="C22" s="14"/>
      <c r="D22" s="14"/>
      <c r="E22" s="14"/>
      <c r="F22" s="14"/>
      <c r="G22" s="14"/>
    </row>
    <row r="23" customFormat="false" ht="15" hidden="false" customHeight="true" outlineLevel="0" collapsed="false">
      <c r="B23" s="25" t="s">
        <v>630</v>
      </c>
      <c r="C23" s="58" t="str">
        <f aca="false">IF(ISBLANK(Stmt_Total_Value),Amount,Stmt_Total_Value)</f>
        <v/>
      </c>
      <c r="D23" s="59" t="str">
        <f aca="false">IF(ISBLANK(Stmt_Total_Value),"Your figure","From your statement")</f>
        <v>Your figure</v>
      </c>
      <c r="E23" s="49" t="s">
        <v>640</v>
      </c>
    </row>
    <row r="24" customFormat="false" ht="15" hidden="false" customHeight="true" outlineLevel="0" collapsed="false">
      <c r="B24" s="25" t="s">
        <v>1026</v>
      </c>
      <c r="C24" s="61" t="str">
        <f aca="false">IF(ISBLANK(Stmt_Shares_Pct),Style,IF(Stmt_Shares_Pct&gt;=Shares_For_Growth,3,IF(Stmt_Shares_Pct&gt;=Shares_For_Balanced,2,1)))</f>
        <v/>
      </c>
      <c r="D24" s="59" t="str">
        <f aca="false">IF(ISBLANK(Stmt_Shares_Pct),"Your figure","From your statement (holdings in shares)")</f>
        <v>Your figure</v>
      </c>
      <c r="E24" s="49" t="s">
        <v>1027</v>
      </c>
    </row>
    <row r="25" customFormat="false" ht="21.75" hidden="false" customHeight="true" outlineLevel="0" collapsed="false">
      <c r="B25" s="25" t="s">
        <v>330</v>
      </c>
      <c r="C25" s="45" t="str">
        <f aca="true">IF(ISBLANK(Stmt_Statement_Date),"",IF(TODAY()-Stmt_Statement_Date&gt;Statement_Max_Age_Days,"Needs a look: statement is more than 12 months old","Up to date"))</f>
        <v/>
      </c>
      <c r="D25" s="27"/>
      <c r="E25" s="42" t="s">
        <v>331</v>
      </c>
    </row>
    <row r="27" customFormat="false" ht="15" hidden="false" customHeight="true" outlineLevel="0" collapsed="false">
      <c r="B27" s="13" t="s">
        <v>238</v>
      </c>
      <c r="C27" s="24" t="s">
        <v>239</v>
      </c>
      <c r="D27" s="24" t="s">
        <v>240</v>
      </c>
      <c r="E27" s="24" t="s">
        <v>241</v>
      </c>
      <c r="F27" s="14"/>
      <c r="G27" s="14"/>
    </row>
    <row r="28" customFormat="false" ht="17.25" hidden="false" customHeight="true" outlineLevel="0" collapsed="false">
      <c r="B28" s="21" t="s">
        <v>1028</v>
      </c>
      <c r="C28" s="41" t="str">
        <f aca="false">IF(Need_1&lt;&gt;"",Need_1,Used_Amount*(1+Middle_Growth)^Years)</f>
        <v>Choose your years to see this</v>
      </c>
      <c r="D28" s="63" t="str">
        <f aca="false">IF(Need_1&lt;&gt;"",Need_1,Style_Name&amp;" · middle outcome")</f>
        <v>Choose your years to see this</v>
      </c>
      <c r="E28" s="42" t="s">
        <v>1029</v>
      </c>
    </row>
    <row r="29" customFormat="false" ht="17.25" hidden="false" customHeight="true" outlineLevel="0" collapsed="false">
      <c r="B29" s="21" t="s">
        <v>1030</v>
      </c>
      <c r="C29" s="41" t="str">
        <f aca="false">IF(Need_2&lt;&gt;"",Need_2,Used_Amount*(1+Middle_Growth-Spread)^Years)</f>
        <v>Choose your years to see this</v>
      </c>
      <c r="D29" s="27" t="s">
        <v>218</v>
      </c>
      <c r="E29" s="42" t="s">
        <v>1031</v>
      </c>
    </row>
    <row r="30" customFormat="false" ht="17.25" hidden="false" customHeight="true" outlineLevel="0" collapsed="false">
      <c r="B30" s="21" t="s">
        <v>1032</v>
      </c>
      <c r="C30" s="41" t="str">
        <f aca="false">IF(Need_2&lt;&gt;"",Need_2,Used_Amount*(1+Middle_Growth+Spread)^Years)</f>
        <v>Choose your years to see this</v>
      </c>
      <c r="D30" s="27" t="s">
        <v>218</v>
      </c>
      <c r="E30" s="42" t="s">
        <v>1033</v>
      </c>
    </row>
    <row r="31" customFormat="false" ht="15" hidden="false" customHeight="true" outlineLevel="0" collapsed="false">
      <c r="B31" s="25" t="s">
        <v>1034</v>
      </c>
      <c r="C31" s="65" t="str">
        <f aca="false">IF(Need_3&lt;&gt;"",Need_3,ROUND((Volatility*One_In_20_Z-Middle_Growth)*100,0)/100)</f>
        <v>Choose your cautious growth to see this</v>
      </c>
      <c r="D31" s="27" t="s">
        <v>229</v>
      </c>
      <c r="E31" s="42" t="s">
        <v>1035</v>
      </c>
    </row>
    <row r="32" customFormat="false" ht="15" hidden="false" customHeight="true" outlineLevel="0" collapsed="false">
      <c r="B32" s="25" t="s">
        <v>1026</v>
      </c>
      <c r="C32" s="45" t="str">
        <f aca="false">IF(Need_4&lt;&gt;"",Need_4,IF(OR(Used_Style&lt;1,Used_Style&gt;3,Used_Style&lt;&gt;INT(Used_Style)),"Choose 1, 2 or 3",INDEX(Risk_Names,Used_Style)))</f>
        <v>Choose your investment style to see this</v>
      </c>
      <c r="D32" s="27"/>
      <c r="E32" s="42" t="s">
        <v>1036</v>
      </c>
    </row>
    <row r="33" customFormat="false" ht="15" hidden="false" customHeight="true" outlineLevel="0" collapsed="false">
      <c r="B33" s="25" t="s">
        <v>1037</v>
      </c>
      <c r="C33" s="65" t="str">
        <f aca="false">IF(Need_5&lt;&gt;"",Need_5,CHOOSE(Used_Style,Mu_Cautious,Mu_Balanced,Mu_Growth))</f>
        <v>Choose your cautious growth to see this</v>
      </c>
      <c r="D33" s="27" t="s">
        <v>229</v>
      </c>
      <c r="E33" s="42" t="s">
        <v>1038</v>
      </c>
    </row>
    <row r="34" customFormat="false" ht="15" hidden="false" customHeight="true" outlineLevel="0" collapsed="false">
      <c r="B34" s="25" t="s">
        <v>1039</v>
      </c>
      <c r="C34" s="65" t="str">
        <f aca="false">IF(Need_6&lt;&gt;"",Need_6,CHOOSE(Used_Style,Vol_Cautious,Vol_Balanced,Vol_Growth))</f>
        <v>Choose your cautious volatility to see this</v>
      </c>
      <c r="D34" s="27" t="s">
        <v>229</v>
      </c>
      <c r="E34" s="42" t="s">
        <v>1040</v>
      </c>
    </row>
    <row r="35" customFormat="false" ht="15" hidden="false" customHeight="true" outlineLevel="0" collapsed="false">
      <c r="B35" s="25" t="s">
        <v>1041</v>
      </c>
      <c r="C35" s="64" t="str">
        <f aca="false">IF(Need_7&lt;&gt;"",Need_7,Volatility/SQRT(Years))</f>
        <v>Choose your years to see this</v>
      </c>
      <c r="D35" s="27"/>
      <c r="E35" s="42" t="s">
        <v>1042</v>
      </c>
    </row>
    <row r="37" customFormat="false" ht="15" hidden="false" customHeight="true" outlineLevel="0" collapsed="false">
      <c r="B37" s="13" t="s">
        <v>271</v>
      </c>
      <c r="C37" s="14"/>
      <c r="D37" s="14"/>
      <c r="E37" s="14"/>
      <c r="F37" s="14"/>
      <c r="G37" s="14"/>
    </row>
    <row r="38" customFormat="false" ht="27.75" hidden="false" customHeight="true" outlineLevel="0" collapsed="false">
      <c r="B38" s="46" t="s">
        <v>1043</v>
      </c>
      <c r="C38" s="46"/>
      <c r="D38" s="46"/>
      <c r="E38" s="46"/>
    </row>
    <row r="39" customFormat="false" ht="13.5" hidden="false" customHeight="true" outlineLevel="0" collapsed="false">
      <c r="B39" s="46" t="s">
        <v>1044</v>
      </c>
      <c r="C39" s="46"/>
      <c r="D39" s="46"/>
      <c r="E39" s="46"/>
    </row>
    <row r="40" customFormat="false" ht="13.5" hidden="false" customHeight="true" outlineLevel="0" collapsed="false">
      <c r="B40" s="47" t="s">
        <v>275</v>
      </c>
      <c r="C40" s="47"/>
      <c r="D40" s="47"/>
      <c r="E40" s="47"/>
    </row>
    <row r="41" customFormat="false" ht="13.5" hidden="false" customHeight="true" outlineLevel="0" collapsed="false">
      <c r="B41" s="46" t="s">
        <v>1045</v>
      </c>
      <c r="C41" s="46"/>
      <c r="D41" s="46"/>
      <c r="E41" s="46"/>
    </row>
    <row r="42" customFormat="false" ht="13.5" hidden="false" customHeight="true" outlineLevel="0" collapsed="false">
      <c r="B42" s="46" t="s">
        <v>1046</v>
      </c>
      <c r="C42" s="46"/>
      <c r="D42" s="46"/>
      <c r="E42" s="46"/>
    </row>
    <row r="44" customFormat="false" ht="15" hidden="false" customHeight="true" outlineLevel="0" collapsed="false">
      <c r="B44" s="13" t="s">
        <v>280</v>
      </c>
      <c r="C44" s="14"/>
      <c r="D44" s="14"/>
      <c r="E44" s="14"/>
      <c r="F44" s="14"/>
      <c r="G44" s="14"/>
    </row>
    <row r="45" customFormat="false" ht="15" hidden="false" customHeight="true" outlineLevel="0" collapsed="false">
      <c r="B45" s="25" t="s">
        <v>281</v>
      </c>
      <c r="C45" s="48" t="str">
        <f aca="false">"No goal"</f>
        <v>No goal</v>
      </c>
      <c r="E45" s="49" t="s">
        <v>468</v>
      </c>
    </row>
    <row r="47" customFormat="false" ht="15" hidden="false" customHeight="true" outlineLevel="0" collapsed="false">
      <c r="B47" s="13" t="s">
        <v>289</v>
      </c>
      <c r="C47" s="14"/>
      <c r="D47" s="14"/>
      <c r="E47" s="14"/>
      <c r="F47" s="14"/>
      <c r="G47" s="14"/>
    </row>
    <row r="48" customFormat="false" ht="15" hidden="false" customHeight="true" outlineLevel="0" collapsed="false">
      <c r="B48" s="52" t="s">
        <v>1047</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1048</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1049</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1050</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1051</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1052</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1053</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1054</v>
      </c>
      <c r="E1" s="3" t="s">
        <v>1055</v>
      </c>
    </row>
    <row r="2" customFormat="false" ht="15" hidden="false" customHeight="true" outlineLevel="0" collapsed="false">
      <c r="B2" s="21" t="s">
        <v>1056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1057</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312</v>
      </c>
      <c r="C8" s="57"/>
      <c r="D8" s="27" t="s">
        <v>313</v>
      </c>
      <c r="E8" s="28" t="s">
        <v>314</v>
      </c>
      <c r="G8" s="52" t="s">
        <v>305</v>
      </c>
    </row>
    <row r="10" customFormat="false" ht="15" hidden="false" customHeight="true" outlineLevel="0" collapsed="false">
      <c r="B10" s="13" t="s">
        <v>315</v>
      </c>
      <c r="C10" s="24" t="s">
        <v>214</v>
      </c>
      <c r="D10" s="24" t="s">
        <v>215</v>
      </c>
      <c r="E10" s="24" t="s">
        <v>216</v>
      </c>
      <c r="F10" s="14"/>
      <c r="G10" s="14"/>
    </row>
    <row r="11" customFormat="false" ht="21.75" hidden="false" customHeight="true" outlineLevel="0" collapsed="false">
      <c r="B11" s="25" t="s">
        <v>217</v>
      </c>
      <c r="C11" s="26"/>
      <c r="D11" s="27" t="s">
        <v>218</v>
      </c>
      <c r="E11" s="28" t="s">
        <v>1058</v>
      </c>
      <c r="F11" s="29" t="n">
        <v>60000</v>
      </c>
      <c r="G11" s="30" t="str">
        <f aca="false">IF(ISBLANK(C11),IF(Fill_Example="Yes",F11,""),C11)</f>
        <v/>
      </c>
    </row>
    <row r="12" customFormat="false" ht="21.75" hidden="false" customHeight="true" outlineLevel="0" collapsed="false">
      <c r="B12" s="25" t="s">
        <v>1059</v>
      </c>
      <c r="C12" s="38"/>
      <c r="D12" s="27" t="s">
        <v>231</v>
      </c>
      <c r="E12" s="35" t="s">
        <v>1060</v>
      </c>
      <c r="F12" s="39" t="n">
        <v>15</v>
      </c>
      <c r="G12" s="40" t="str">
        <f aca="false">IF(ISBLANK(C12),IF(Fill_Example="Yes",F12,""),C12)</f>
        <v/>
      </c>
    </row>
    <row r="13" customFormat="false" ht="21.75" hidden="false" customHeight="true" outlineLevel="0" collapsed="false">
      <c r="B13" s="25" t="s">
        <v>1061</v>
      </c>
      <c r="C13" s="34"/>
      <c r="D13" s="27" t="s">
        <v>229</v>
      </c>
      <c r="E13" s="35" t="s">
        <v>1062</v>
      </c>
      <c r="F13" s="36" t="n">
        <v>0.6</v>
      </c>
      <c r="G13" s="37" t="str">
        <f aca="false">IF(ISBLANK(C13),IF(Fill_Example="Yes",F13,""),C13)</f>
        <v/>
      </c>
    </row>
    <row r="14" customFormat="false" ht="21.75" hidden="false" customHeight="true" outlineLevel="0" collapsed="false">
      <c r="B14" s="25" t="s">
        <v>407</v>
      </c>
      <c r="C14" s="26"/>
      <c r="D14" s="27" t="s">
        <v>218</v>
      </c>
      <c r="E14" s="28" t="s">
        <v>1063</v>
      </c>
      <c r="F14" s="29" t="n">
        <v>250000</v>
      </c>
      <c r="G14" s="30" t="str">
        <f aca="false">IF(ISBLANK(C14),IF(Fill_Example="Yes",F14,""),C14)</f>
        <v/>
      </c>
    </row>
    <row r="15" customFormat="false" ht="15" hidden="false" customHeight="true" outlineLevel="0" collapsed="false">
      <c r="B15" s="25" t="s">
        <v>1064</v>
      </c>
      <c r="C15" s="31"/>
      <c r="D15" s="27" t="s">
        <v>225</v>
      </c>
      <c r="E15" s="28" t="s">
        <v>1065</v>
      </c>
      <c r="F15" s="32" t="s">
        <v>227</v>
      </c>
      <c r="G15" s="33" t="str">
        <f aca="false">IF(ISBLANK(C15),IF(Fill_Example="Yes",F15,""),C15)</f>
        <v/>
      </c>
    </row>
    <row r="16" customFormat="false" ht="21.75" hidden="false" customHeight="true" outlineLevel="0" collapsed="false">
      <c r="B16" s="25" t="s">
        <v>1066</v>
      </c>
      <c r="C16" s="26"/>
      <c r="D16" s="27" t="s">
        <v>218</v>
      </c>
      <c r="E16" s="28" t="s">
        <v>1067</v>
      </c>
      <c r="F16" s="29" t="n">
        <v>10000</v>
      </c>
      <c r="G16" s="30" t="str">
        <f aca="false">IF(ISBLANK(C16),IF(Debts_Listed_Total&gt;0,Debts_Listed_Total,IF(Fill_Example="Yes",F16,"")),C16)</f>
        <v/>
      </c>
    </row>
    <row r="17" customFormat="false" ht="21.75" hidden="false" customHeight="true" outlineLevel="0" collapsed="false">
      <c r="B17" s="25" t="s">
        <v>1068</v>
      </c>
      <c r="C17" s="26"/>
      <c r="D17" s="27" t="s">
        <v>218</v>
      </c>
      <c r="E17" s="28" t="s">
        <v>1069</v>
      </c>
      <c r="F17" s="29" t="n">
        <v>20000</v>
      </c>
      <c r="G17" s="30" t="str">
        <f aca="false">IF(ISBLANK(C17),IF(Fill_Example="Yes",F17,""),C17)</f>
        <v/>
      </c>
    </row>
    <row r="18" customFormat="false" ht="15" hidden="false" customHeight="true" outlineLevel="0" collapsed="false">
      <c r="B18" s="25" t="s">
        <v>1070</v>
      </c>
      <c r="C18" s="26"/>
      <c r="D18" s="27" t="s">
        <v>218</v>
      </c>
      <c r="E18" s="28" t="s">
        <v>1071</v>
      </c>
      <c r="F18" s="29" t="n">
        <v>100000</v>
      </c>
      <c r="G18" s="30" t="str">
        <f aca="false">IF(ISBLANK(C18),IF(Cover_Existing_Total&gt;0,Cover_Existing_Total,IF(Fill_Example="Yes",F18,"")),C18)</f>
        <v/>
      </c>
    </row>
    <row r="19" customFormat="false" ht="33" hidden="false" customHeight="true" outlineLevel="0" collapsed="false">
      <c r="B19" s="25" t="s">
        <v>1072</v>
      </c>
      <c r="C19" s="82"/>
      <c r="D19" s="27" t="s">
        <v>1073</v>
      </c>
      <c r="E19" s="35" t="s">
        <v>1074</v>
      </c>
      <c r="F19" s="83" t="n">
        <f aca="false">Survivor_Pension_Week</f>
        <v>259.5</v>
      </c>
      <c r="G19" s="84" t="str">
        <f aca="false">IF(ISBLANK(C19),IF(Fill_Example="Yes",F19,""),C19)</f>
        <v/>
      </c>
    </row>
    <row r="21" customFormat="false" ht="15" hidden="false" customHeight="true" outlineLevel="0" collapsed="false">
      <c r="B21" s="13" t="s">
        <v>324</v>
      </c>
      <c r="C21" s="14"/>
      <c r="D21" s="14"/>
      <c r="E21" s="14"/>
      <c r="F21" s="14"/>
      <c r="G21" s="14"/>
    </row>
    <row r="22" customFormat="false" ht="15" hidden="false" customHeight="true" outlineLevel="0" collapsed="false">
      <c r="B22" s="25" t="s">
        <v>407</v>
      </c>
      <c r="C22" s="58" t="str">
        <f aca="false">IF(ISBLANK(Stmt_Balance),Mortgage_Balance,Stmt_Balance)</f>
        <v/>
      </c>
      <c r="D22" s="59" t="str">
        <f aca="false">IF(ISBLANK(Stmt_Balance),"Your figure","From your statement")</f>
        <v>Your figure</v>
      </c>
      <c r="E22" s="49" t="s">
        <v>413</v>
      </c>
    </row>
    <row r="23" customFormat="false" ht="21.75" hidden="false" customHeight="true" outlineLevel="0" collapsed="false">
      <c r="B23" s="25" t="s">
        <v>330</v>
      </c>
      <c r="C23" s="45" t="str">
        <f aca="true">IF(ISBLANK(Stmt_Statement_Date),"",IF(TODAY()-Stmt_Statement_Date&gt;Statement_Max_Age_Days,"Needs a look: statement is more than 12 months old","Up to date"))</f>
        <v/>
      </c>
      <c r="D23" s="27"/>
      <c r="E23" s="42" t="s">
        <v>331</v>
      </c>
    </row>
    <row r="25" customFormat="false" ht="15" hidden="false" customHeight="true" outlineLevel="0" collapsed="false">
      <c r="B25" s="13" t="s">
        <v>238</v>
      </c>
      <c r="C25" s="24" t="s">
        <v>239</v>
      </c>
      <c r="D25" s="24" t="s">
        <v>240</v>
      </c>
      <c r="E25" s="24" t="s">
        <v>241</v>
      </c>
      <c r="F25" s="14"/>
      <c r="G25" s="14"/>
    </row>
    <row r="26" customFormat="false" ht="17.25" hidden="false" customHeight="true" outlineLevel="0" collapsed="false">
      <c r="B26" s="21" t="s">
        <v>1075</v>
      </c>
      <c r="C26" s="41" t="str">
        <f aca="false">IF(Need_1&lt;&gt;"",Need_1,MAX(0,Income_Need+Debts_To_Clear-Already_Have))</f>
        <v>Choose your gross yearly income to see this</v>
      </c>
      <c r="D26" s="27" t="s">
        <v>218</v>
      </c>
      <c r="E26" s="42" t="s">
        <v>1076</v>
      </c>
    </row>
    <row r="27" customFormat="false" ht="17.25" hidden="false" customHeight="true" outlineLevel="0" collapsed="false">
      <c r="B27" s="21" t="s">
        <v>1077</v>
      </c>
      <c r="C27" s="41" t="str">
        <f aca="false">IF(Need_2&lt;&gt;"",Need_2,MAX(0,Yearly_Income*Life_Replace-Survivor_Pension*Weeks_Per_Year)*Years_Support)</f>
        <v>Choose your gross yearly income to see this</v>
      </c>
      <c r="D27" s="27" t="s">
        <v>218</v>
      </c>
      <c r="E27" s="42" t="s">
        <v>1078</v>
      </c>
    </row>
    <row r="28" customFormat="false" ht="17.25" hidden="false" customHeight="true" outlineLevel="0" collapsed="false">
      <c r="B28" s="21" t="s">
        <v>1079</v>
      </c>
      <c r="C28" s="41" t="str">
        <f aca="false">IF(Need_3&lt;&gt;"",Need_3,IF(Mortgage_Protected="Yes",0,Used_Mortgage_Balance)+Other_Debts)</f>
        <v>Choose your mortgage protection answer to see this</v>
      </c>
      <c r="D28" s="27" t="s">
        <v>218</v>
      </c>
      <c r="E28" s="42" t="s">
        <v>1080</v>
      </c>
    </row>
    <row r="29" customFormat="false" ht="15" hidden="false" customHeight="true" outlineLevel="0" collapsed="false">
      <c r="B29" s="25" t="s">
        <v>1081</v>
      </c>
      <c r="C29" s="43" t="str">
        <f aca="false">IF(Need_4&lt;&gt;"",Need_4,Existing_Cover+Savings)</f>
        <v>Choose your savings &amp; investments to see this</v>
      </c>
      <c r="D29" s="27" t="s">
        <v>218</v>
      </c>
      <c r="E29" s="42" t="s">
        <v>1082</v>
      </c>
    </row>
    <row r="30" customFormat="false" ht="15" hidden="false" customHeight="true" outlineLevel="0" collapsed="false">
      <c r="B30" s="25" t="s">
        <v>1083</v>
      </c>
      <c r="C30" s="43" t="str">
        <f aca="false">IF(Need_5&lt;&gt;"",Need_5,Yearly_Income*Life_Replace*Years_Support)</f>
        <v>Choose your gross yearly income to see this</v>
      </c>
      <c r="D30" s="27" t="s">
        <v>218</v>
      </c>
      <c r="E30" s="42" t="s">
        <v>1084</v>
      </c>
    </row>
    <row r="32" customFormat="false" ht="15" hidden="false" customHeight="true" outlineLevel="0" collapsed="false">
      <c r="B32" s="13" t="s">
        <v>271</v>
      </c>
      <c r="C32" s="14"/>
      <c r="D32" s="14"/>
      <c r="E32" s="14"/>
      <c r="F32" s="14"/>
      <c r="G32" s="14"/>
    </row>
    <row r="33" customFormat="false" ht="13.5" hidden="false" customHeight="true" outlineLevel="0" collapsed="false">
      <c r="B33" s="46" t="s">
        <v>1085</v>
      </c>
      <c r="C33" s="46"/>
      <c r="D33" s="46"/>
      <c r="E33" s="46"/>
    </row>
    <row r="34" customFormat="false" ht="27.75" hidden="false" customHeight="true" outlineLevel="0" collapsed="false">
      <c r="B34" s="46" t="s">
        <v>1086</v>
      </c>
      <c r="C34" s="46"/>
      <c r="D34" s="46"/>
      <c r="E34" s="46"/>
    </row>
    <row r="35" customFormat="false" ht="13.5" hidden="false" customHeight="true" outlineLevel="0" collapsed="false">
      <c r="B35" s="46" t="s">
        <v>1087</v>
      </c>
      <c r="C35" s="46"/>
      <c r="D35" s="46"/>
      <c r="E35" s="46"/>
    </row>
    <row r="36" customFormat="false" ht="13.5" hidden="false" customHeight="true" outlineLevel="0" collapsed="false">
      <c r="B36" s="47" t="s">
        <v>275</v>
      </c>
      <c r="C36" s="47"/>
      <c r="D36" s="47"/>
      <c r="E36" s="47"/>
    </row>
    <row r="37" customFormat="false" ht="13.5" hidden="false" customHeight="true" outlineLevel="0" collapsed="false">
      <c r="B37" s="46" t="s">
        <v>1088</v>
      </c>
      <c r="C37" s="46"/>
      <c r="D37" s="46"/>
      <c r="E37" s="46"/>
    </row>
    <row r="38" customFormat="false" ht="13.5" hidden="false" customHeight="true" outlineLevel="0" collapsed="false">
      <c r="B38" s="46" t="s">
        <v>1089</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"No goal: record a protection need for the adviser"</f>
        <v>No goal: record a protection need for the adviser</v>
      </c>
      <c r="E41" s="49" t="s">
        <v>1090</v>
      </c>
    </row>
    <row r="42" customFormat="false" ht="15" hidden="false" customHeight="true" outlineLevel="0" collapsed="false">
      <c r="B42" s="25" t="s">
        <v>1091</v>
      </c>
      <c r="C42" s="50" t="str">
        <f aca="false">IF(Need_1&lt;&gt;"",Need_1,Cover_Gap)</f>
        <v>Choose your gross yearly income to see this</v>
      </c>
      <c r="E42" s="49" t="s">
        <v>1092</v>
      </c>
    </row>
    <row r="43" customFormat="false" ht="13.5" hidden="false" customHeight="true" outlineLevel="0" collapsed="false">
      <c r="B43" s="53" t="s">
        <v>1093</v>
      </c>
      <c r="C43" s="53"/>
      <c r="D43" s="53"/>
      <c r="E43" s="53"/>
    </row>
    <row r="45" customFormat="false" ht="15" hidden="false" customHeight="true" outlineLevel="0" collapsed="false">
      <c r="B45" s="13" t="s">
        <v>289</v>
      </c>
      <c r="C45" s="14"/>
      <c r="D45" s="14"/>
      <c r="E45" s="14"/>
      <c r="F45" s="14"/>
      <c r="G45" s="14"/>
    </row>
    <row r="46" customFormat="false" ht="15" hidden="false" customHeight="true" outlineLevel="0" collapsed="false">
      <c r="B46" s="52" t="s">
        <v>1094</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1095</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1096</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1097</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1098</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1099</v>
      </c>
      <c r="E1" s="3" t="s">
        <v>1100</v>
      </c>
    </row>
    <row r="2" customFormat="false" ht="15" hidden="false" customHeight="true" outlineLevel="0" collapsed="false">
      <c r="B2" s="21" t="s">
        <v>1101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1102</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671</v>
      </c>
      <c r="C6" s="26"/>
      <c r="D6" s="27" t="s">
        <v>218</v>
      </c>
      <c r="E6" s="28" t="s">
        <v>672</v>
      </c>
      <c r="F6" s="29" t="n">
        <v>2500</v>
      </c>
      <c r="G6" s="30" t="str">
        <f aca="false">IF(ISBLANK(C6),IF(Fill_Example="Yes",F6,""),C6)</f>
        <v/>
      </c>
    </row>
    <row r="7" customFormat="false" ht="15" hidden="false" customHeight="true" outlineLevel="0" collapsed="false">
      <c r="B7" s="25" t="s">
        <v>1103</v>
      </c>
      <c r="C7" s="38"/>
      <c r="D7" s="27" t="s">
        <v>674</v>
      </c>
      <c r="E7" s="28" t="s">
        <v>1104</v>
      </c>
      <c r="F7" s="39" t="n">
        <v>3</v>
      </c>
      <c r="G7" s="40" t="str">
        <f aca="false">IF(ISBLANK(C7),IF(Fill_Example="Yes",F7,""),C7)</f>
        <v/>
      </c>
    </row>
    <row r="8" customFormat="false" ht="21.75" hidden="false" customHeight="true" outlineLevel="0" collapsed="false">
      <c r="B8" s="25" t="s">
        <v>678</v>
      </c>
      <c r="C8" s="26"/>
      <c r="D8" s="27" t="s">
        <v>218</v>
      </c>
      <c r="E8" s="28" t="s">
        <v>1105</v>
      </c>
      <c r="F8" s="29" t="n">
        <v>8000</v>
      </c>
      <c r="G8" s="30" t="str">
        <f aca="false">IF(ISBLANK(C8),IF(Fill_Example="Yes",F8,""),C8)</f>
        <v/>
      </c>
    </row>
    <row r="9" customFormat="false" ht="21.75" hidden="false" customHeight="true" outlineLevel="0" collapsed="false">
      <c r="B9" s="25" t="s">
        <v>217</v>
      </c>
      <c r="C9" s="26"/>
      <c r="D9" s="27" t="s">
        <v>218</v>
      </c>
      <c r="E9" s="28" t="s">
        <v>1058</v>
      </c>
      <c r="F9" s="29" t="n">
        <v>60000</v>
      </c>
      <c r="G9" s="30" t="str">
        <f aca="false">IF(ISBLANK(C9),IF(Fill_Example="Yes",F9,""),C9)</f>
        <v/>
      </c>
    </row>
    <row r="10" customFormat="false" ht="21.75" hidden="false" customHeight="true" outlineLevel="0" collapsed="false">
      <c r="B10" s="25" t="s">
        <v>1106</v>
      </c>
      <c r="C10" s="82"/>
      <c r="D10" s="27" t="s">
        <v>1073</v>
      </c>
      <c r="E10" s="35" t="s">
        <v>1107</v>
      </c>
      <c r="F10" s="83" t="n">
        <f aca="false">Illness_Benefit_Week</f>
        <v>254</v>
      </c>
      <c r="G10" s="84" t="str">
        <f aca="false">IF(ISBLANK(C10),IF(Fill_Example="Yes",F10,""),C10)</f>
        <v/>
      </c>
    </row>
    <row r="12" customFormat="false" ht="15" hidden="false" customHeight="true" outlineLevel="0" collapsed="false">
      <c r="B12" s="13" t="s">
        <v>238</v>
      </c>
      <c r="C12" s="24" t="s">
        <v>239</v>
      </c>
      <c r="D12" s="24" t="s">
        <v>240</v>
      </c>
      <c r="E12" s="24" t="s">
        <v>241</v>
      </c>
      <c r="F12" s="14"/>
      <c r="G12" s="14"/>
    </row>
    <row r="13" customFormat="false" ht="23.25" hidden="false" customHeight="true" outlineLevel="0" collapsed="false">
      <c r="B13" s="21" t="s">
        <v>1108</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1109</v>
      </c>
    </row>
    <row r="14" customFormat="false" ht="17.25" hidden="false" customHeight="true" outlineLevel="0" collapsed="false">
      <c r="B14" s="21" t="s">
        <v>1110</v>
      </c>
      <c r="C14" s="41" t="str">
        <f aca="false">IF(Need_2&lt;&gt;"",Need_2,MAX(0,Essential_Spending-Illness_Benefit_Month))</f>
        <v>Choose your essential monthly spending to see this</v>
      </c>
      <c r="D14" s="27" t="s">
        <v>218</v>
      </c>
      <c r="E14" s="42" t="s">
        <v>1111</v>
      </c>
    </row>
    <row r="15" customFormat="false" ht="17.25" hidden="false" customHeight="true" outlineLevel="0" collapsed="false">
      <c r="B15" s="21" t="s">
        <v>1112</v>
      </c>
      <c r="C15" s="41" t="str">
        <f aca="false">IF(Need_3&lt;&gt;"",Need_3,MIN(Monthly_Gap,IP_Max))</f>
        <v>Choose your essential monthly spending to see this</v>
      </c>
      <c r="D15" s="27" t="s">
        <v>218</v>
      </c>
      <c r="E15" s="42" t="s">
        <v>1113</v>
      </c>
    </row>
    <row r="16" customFormat="false" ht="15" hidden="false" customHeight="true" outlineLevel="0" collapsed="false">
      <c r="B16" s="25" t="s">
        <v>1114</v>
      </c>
      <c r="C16" s="43" t="str">
        <f aca="false">IF(Need_4&lt;&gt;"",Need_4,Illness_Benefit*Weeks_Per_Year/12)</f>
        <v>Choose your Illness Benefit amount to see this</v>
      </c>
      <c r="D16" s="27" t="s">
        <v>218</v>
      </c>
      <c r="E16" s="42" t="s">
        <v>1115</v>
      </c>
    </row>
    <row r="17" customFormat="false" ht="23.25" hidden="false" customHeight="true" outlineLevel="0" collapsed="false">
      <c r="B17" s="25" t="s">
        <v>1116</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1117</v>
      </c>
    </row>
    <row r="18" customFormat="false" ht="15" hidden="false" customHeight="true" outlineLevel="0" collapsed="false">
      <c r="B18" s="25" t="s">
        <v>1118</v>
      </c>
      <c r="C18" s="43" t="str">
        <f aca="false">IF(Need_6&lt;&gt;"",Need_6,MAX(0,Gross_Income*IP_Max_Pct/12-Illness_Benefit_Month))</f>
        <v>Choose your gross yearly income to see this</v>
      </c>
      <c r="D18" s="27" t="s">
        <v>218</v>
      </c>
      <c r="E18" s="42" t="s">
        <v>1119</v>
      </c>
    </row>
    <row r="20" customFormat="false" ht="15" hidden="false" customHeight="true" outlineLevel="0" collapsed="false">
      <c r="B20" s="13" t="s">
        <v>271</v>
      </c>
      <c r="C20" s="14"/>
      <c r="D20" s="14"/>
      <c r="E20" s="14"/>
      <c r="F20" s="14"/>
      <c r="G20" s="14"/>
    </row>
    <row r="21" customFormat="false" ht="27.75" hidden="false" customHeight="true" outlineLevel="0" collapsed="false">
      <c r="B21" s="46" t="s">
        <v>1120</v>
      </c>
      <c r="C21" s="46"/>
      <c r="D21" s="46"/>
      <c r="E21" s="46"/>
    </row>
    <row r="22" customFormat="false" ht="13.5" hidden="false" customHeight="true" outlineLevel="0" collapsed="false">
      <c r="B22" s="46" t="s">
        <v>1121</v>
      </c>
      <c r="C22" s="46"/>
      <c r="D22" s="46"/>
      <c r="E22" s="46"/>
    </row>
    <row r="23" customFormat="false" ht="13.5" hidden="false" customHeight="true" outlineLevel="0" collapsed="false">
      <c r="B23" s="46" t="s">
        <v>1122</v>
      </c>
      <c r="C23" s="46"/>
      <c r="D23" s="46"/>
      <c r="E23" s="46"/>
    </row>
    <row r="24" customFormat="false" ht="13.5" hidden="false" customHeight="true" outlineLevel="0" collapsed="false">
      <c r="B24" s="47" t="s">
        <v>275</v>
      </c>
      <c r="C24" s="47"/>
      <c r="D24" s="47"/>
      <c r="E24" s="47"/>
    </row>
    <row r="25" customFormat="false" ht="13.5" hidden="false" customHeight="true" outlineLevel="0" collapsed="false">
      <c r="B25" s="46" t="s">
        <v>1123</v>
      </c>
      <c r="C25" s="46"/>
      <c r="D25" s="46"/>
      <c r="E25" s="46"/>
    </row>
    <row r="26" customFormat="false" ht="13.5" hidden="false" customHeight="true" outlineLevel="0" collapsed="false">
      <c r="B26" s="46" t="s">
        <v>1124</v>
      </c>
      <c r="C26" s="46"/>
      <c r="D26" s="46"/>
      <c r="E26" s="46"/>
    </row>
    <row r="28" customFormat="false" ht="15" hidden="false" customHeight="true" outlineLevel="0" collapsed="false">
      <c r="B28" s="13" t="s">
        <v>280</v>
      </c>
      <c r="C28" s="14"/>
      <c r="D28" s="14"/>
      <c r="E28" s="14"/>
      <c r="F28" s="14"/>
      <c r="G28" s="14"/>
    </row>
    <row r="29" customFormat="false" ht="15" hidden="false" customHeight="true" outlineLevel="0" collapsed="false">
      <c r="B29" s="25" t="s">
        <v>281</v>
      </c>
      <c r="C29" s="48" t="str">
        <f aca="false">"No goal: record an income protection need for the adviser"</f>
        <v>No goal: record an income protection need for the adviser</v>
      </c>
      <c r="E29" s="49" t="s">
        <v>1125</v>
      </c>
    </row>
    <row r="30" customFormat="false" ht="15" hidden="false" customHeight="true" outlineLevel="0" collapsed="false">
      <c r="B30" s="25" t="s">
        <v>1126</v>
      </c>
      <c r="C30" s="50" t="str">
        <f aca="false">IF(Need_3&lt;&gt;"",Need_3,IP_Needed)</f>
        <v>Choose your essential monthly spending to see this</v>
      </c>
      <c r="E30" s="49" t="s">
        <v>1127</v>
      </c>
    </row>
    <row r="32" customFormat="false" ht="15" hidden="false" customHeight="true" outlineLevel="0" collapsed="false">
      <c r="B32" s="13" t="s">
        <v>289</v>
      </c>
      <c r="C32" s="14"/>
      <c r="D32" s="14"/>
      <c r="E32" s="14"/>
      <c r="F32" s="14"/>
      <c r="G32" s="14"/>
    </row>
    <row r="33" customFormat="false" ht="15" hidden="false" customHeight="true" outlineLevel="0" collapsed="false">
      <c r="B33" s="52" t="s">
        <v>1128</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1129</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1130</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1131</v>
      </c>
      <c r="C36" s="52" t="str">
        <f aca="false">IF(Illness_Benefit="","Choose your Illness Benefit amount to see this","")</f>
        <v>Choose your Illness Benefit amount to see this</v>
      </c>
    </row>
    <row r="37" customFormat="false" ht="15" hidden="false" customHeight="true" outlineLevel="0" collapsed="false">
      <c r="B37" s="52" t="s">
        <v>1132</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1133</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1134</v>
      </c>
      <c r="E1" s="3" t="s">
        <v>1135</v>
      </c>
    </row>
    <row r="2" customFormat="false" ht="15" hidden="false" customHeight="true" outlineLevel="0" collapsed="false">
      <c r="B2" s="21" t="s">
        <v>1136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1137</v>
      </c>
    </row>
    <row r="5" customFormat="false" ht="15" hidden="false" customHeight="true" outlineLevel="0" collapsed="false">
      <c r="B5" s="13" t="s">
        <v>301</v>
      </c>
      <c r="C5" s="14"/>
      <c r="D5" s="14"/>
      <c r="E5" s="14"/>
      <c r="F5" s="14"/>
      <c r="G5" s="14"/>
    </row>
    <row r="6" customFormat="false" ht="27.75" hidden="false" customHeight="true" outlineLevel="0" collapsed="false">
      <c r="B6" s="53" t="s">
        <v>302</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306</v>
      </c>
      <c r="C8" s="55"/>
      <c r="D8" s="27" t="s">
        <v>229</v>
      </c>
      <c r="E8" s="28" t="s">
        <v>307</v>
      </c>
      <c r="G8" s="52" t="s">
        <v>305</v>
      </c>
    </row>
    <row r="9" customFormat="false" ht="15" hidden="false" customHeight="true" outlineLevel="0" collapsed="false">
      <c r="B9" s="25" t="s">
        <v>308</v>
      </c>
      <c r="C9" s="56"/>
      <c r="D9" s="27" t="s">
        <v>231</v>
      </c>
      <c r="E9" s="28" t="s">
        <v>309</v>
      </c>
      <c r="G9" s="52" t="s">
        <v>305</v>
      </c>
    </row>
    <row r="10" customFormat="false" ht="15" hidden="false" customHeight="true" outlineLevel="0" collapsed="false">
      <c r="B10" s="25" t="s">
        <v>310</v>
      </c>
      <c r="C10" s="54"/>
      <c r="D10" s="27" t="s">
        <v>218</v>
      </c>
      <c r="E10" s="28" t="s">
        <v>311</v>
      </c>
      <c r="G10" s="52" t="s">
        <v>305</v>
      </c>
    </row>
    <row r="11" customFormat="false" ht="15" hidden="false" customHeight="true" outlineLevel="0" collapsed="false">
      <c r="B11" s="25" t="s">
        <v>312</v>
      </c>
      <c r="C11" s="57"/>
      <c r="D11" s="27" t="s">
        <v>313</v>
      </c>
      <c r="E11" s="28" t="s">
        <v>314</v>
      </c>
      <c r="G11" s="52" t="s">
        <v>305</v>
      </c>
    </row>
    <row r="13" customFormat="false" ht="15" hidden="false" customHeight="true" outlineLevel="0" collapsed="false">
      <c r="B13" s="13" t="s">
        <v>315</v>
      </c>
      <c r="C13" s="24" t="s">
        <v>214</v>
      </c>
      <c r="D13" s="24" t="s">
        <v>215</v>
      </c>
      <c r="E13" s="24" t="s">
        <v>216</v>
      </c>
      <c r="F13" s="14"/>
      <c r="G13" s="14"/>
    </row>
    <row r="14" customFormat="false" ht="21.75" hidden="false" customHeight="true" outlineLevel="0" collapsed="false">
      <c r="B14" s="25" t="s">
        <v>407</v>
      </c>
      <c r="C14" s="26"/>
      <c r="D14" s="27" t="s">
        <v>218</v>
      </c>
      <c r="E14" s="28" t="s">
        <v>1138</v>
      </c>
      <c r="F14" s="29" t="n">
        <v>250000</v>
      </c>
      <c r="G14" s="30" t="str">
        <f aca="false">IF(ISBLANK(C14),IF(Fill_Example="Yes",F14,""),C14)</f>
        <v/>
      </c>
    </row>
    <row r="15" customFormat="false" ht="21.75" hidden="false" customHeight="true" outlineLevel="0" collapsed="false">
      <c r="B15" s="25" t="s">
        <v>306</v>
      </c>
      <c r="C15" s="34"/>
      <c r="D15" s="27" t="s">
        <v>229</v>
      </c>
      <c r="E15" s="28"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36" t="n">
        <f aca="false">IF(ISNUMBER(Suggest_Mortgage_Rate),Suggest_Mortgage_Rate,"")</f>
        <v>0.0348</v>
      </c>
      <c r="G15" s="37" t="str">
        <f aca="false">IF(ISBLANK(C15),IF(Fill_Example="Yes",F15,""),C15)</f>
        <v/>
      </c>
    </row>
    <row r="16" customFormat="false" ht="21.75" hidden="false" customHeight="true" outlineLevel="0" collapsed="false">
      <c r="B16" s="25" t="s">
        <v>409</v>
      </c>
      <c r="C16" s="38"/>
      <c r="D16" s="27" t="s">
        <v>231</v>
      </c>
      <c r="E16" s="28" t="s">
        <v>319</v>
      </c>
      <c r="F16" s="39" t="n">
        <v>25</v>
      </c>
      <c r="G16" s="40" t="str">
        <f aca="false">IF(ISBLANK(C16),IF(Fill_Example="Yes",F16,""),C16)</f>
        <v/>
      </c>
    </row>
    <row r="17" customFormat="false" ht="21.75" hidden="false" customHeight="true" outlineLevel="0" collapsed="false">
      <c r="B17" s="25" t="s">
        <v>320</v>
      </c>
      <c r="C17" s="26"/>
      <c r="D17" s="27" t="s">
        <v>218</v>
      </c>
      <c r="E17" s="28" t="s">
        <v>1139</v>
      </c>
      <c r="F17" s="29" t="n">
        <v>0</v>
      </c>
      <c r="G17" s="30" t="str">
        <f aca="false">IF(ISBLANK(C17),IF(Fill_Example="Yes",F17,""),C17)</f>
        <v/>
      </c>
    </row>
    <row r="19" customFormat="false" ht="15" hidden="false" customHeight="true" outlineLevel="0" collapsed="false">
      <c r="B19" s="13" t="s">
        <v>324</v>
      </c>
      <c r="C19" s="14"/>
      <c r="D19" s="14"/>
      <c r="E19" s="14"/>
      <c r="F19" s="14"/>
      <c r="G19" s="14"/>
    </row>
    <row r="20" customFormat="false" ht="15" hidden="false" customHeight="true" outlineLevel="0" collapsed="false">
      <c r="B20" s="25" t="s">
        <v>407</v>
      </c>
      <c r="C20" s="58" t="str">
        <f aca="false">IF(ISBLANK(Stmt_Balance),Mortgage_Balance,Stmt_Balance)</f>
        <v/>
      </c>
      <c r="D20" s="59" t="str">
        <f aca="false">IF(ISBLANK(Stmt_Balance),"Your figure","From your statement")</f>
        <v>Your figure</v>
      </c>
      <c r="E20" s="49" t="s">
        <v>413</v>
      </c>
    </row>
    <row r="21" customFormat="false" ht="15" hidden="false" customHeight="true" outlineLevel="0" collapsed="false">
      <c r="B21" s="25" t="s">
        <v>306</v>
      </c>
      <c r="C21" s="60" t="str">
        <f aca="false">IF(ISBLANK(Stmt_Rate),Interest_Rate,Stmt_Rate)</f>
        <v/>
      </c>
      <c r="D21" s="59" t="str">
        <f aca="false">IF(ISBLANK(Stmt_Rate),"Your figure","From your statement")</f>
        <v>Your figure</v>
      </c>
      <c r="E21" s="49" t="s">
        <v>326</v>
      </c>
    </row>
    <row r="22" customFormat="false" ht="15" hidden="false" customHeight="true" outlineLevel="0" collapsed="false">
      <c r="B22" s="25" t="s">
        <v>409</v>
      </c>
      <c r="C22" s="61" t="str">
        <f aca="false">IF(ISBLANK(Stmt_Term),Years_Left,Stmt_Term)</f>
        <v/>
      </c>
      <c r="D22" s="59" t="str">
        <f aca="false">IF(ISBLANK(Stmt_Term),"Your figure","From your statement")</f>
        <v>Your figure</v>
      </c>
      <c r="E22" s="49" t="s">
        <v>414</v>
      </c>
    </row>
    <row r="23" customFormat="false" ht="15" hidden="false" customHeight="true" outlineLevel="0" collapsed="false">
      <c r="B23" s="25" t="s">
        <v>328</v>
      </c>
      <c r="C23" s="58" t="str">
        <f aca="false">IF(ISBLANK(Stmt_Repayment),Actual_Repayment,Stmt_Repayment)</f>
        <v/>
      </c>
      <c r="D23" s="59" t="str">
        <f aca="false">IF(ISBLANK(Stmt_Repayment),"Your figure","From your statement")</f>
        <v>Your figure</v>
      </c>
      <c r="E23" s="49" t="s">
        <v>329</v>
      </c>
    </row>
    <row r="24" customFormat="false" ht="21.75" hidden="false" customHeight="true" outlineLevel="0" collapsed="false">
      <c r="B24" s="25" t="s">
        <v>330</v>
      </c>
      <c r="C24" s="45" t="str">
        <f aca="true">IF(ISBLANK(Stmt_Statement_Date),"",IF(TODAY()-Stmt_Statement_Date&gt;Statement_Max_Age_Days,"Needs a look: statement is more than 12 months old","Up to date"))</f>
        <v/>
      </c>
      <c r="D24" s="27"/>
      <c r="E24" s="42" t="s">
        <v>331</v>
      </c>
    </row>
    <row r="26" customFormat="false" ht="15" hidden="false" customHeight="true" outlineLevel="0" collapsed="false">
      <c r="B26" s="13" t="s">
        <v>238</v>
      </c>
      <c r="C26" s="24" t="s">
        <v>239</v>
      </c>
      <c r="D26" s="24" t="s">
        <v>240</v>
      </c>
      <c r="E26" s="24" t="s">
        <v>241</v>
      </c>
      <c r="F26" s="14"/>
      <c r="G26" s="14"/>
    </row>
    <row r="27" customFormat="false" ht="17.25" hidden="false" customHeight="true" outlineLevel="0" collapsed="false">
      <c r="B27" s="21" t="s">
        <v>1140</v>
      </c>
      <c r="C27" s="41" t="str">
        <f aca="false">IF(Need_1&lt;&gt;"",Need_1,Used_Mortgage_Balance)</f>
        <v>Choose your mortgage balance to see this</v>
      </c>
      <c r="D27" s="27" t="s">
        <v>218</v>
      </c>
      <c r="E27" s="42" t="s">
        <v>1141</v>
      </c>
    </row>
    <row r="28" customFormat="false" ht="15" hidden="false" customHeight="true" outlineLevel="0" collapsed="false">
      <c r="B28" s="72" t="s">
        <v>762</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1142</v>
      </c>
      <c r="C29" s="41" t="str">
        <f aca="false">IF(Need_2&lt;&gt;"",Need_2,IF(Warning&lt;&gt;"","—",MAX(0,-FV(Monthly_Rate,MP_Year_1*12,-Repayment,Used_Mortgage_Balance))))</f>
        <v>Choose your mortgage balance to see this</v>
      </c>
      <c r="D29" s="27" t="s">
        <v>218</v>
      </c>
      <c r="E29" s="42" t="s">
        <v>1143</v>
      </c>
    </row>
    <row r="30" customFormat="false" ht="17.25" hidden="false" customHeight="true" outlineLevel="0" collapsed="false">
      <c r="B30" s="21" t="s">
        <v>1144</v>
      </c>
      <c r="C30" s="41" t="str">
        <f aca="false">IF(Need_2&lt;&gt;"",Need_2,IF(Warning&lt;&gt;"","—",MAX(0,-FV(Monthly_Rate,MP_Year_2*12,-Repayment,Used_Mortgage_Balance))))</f>
        <v>Choose your mortgage balance to see this</v>
      </c>
      <c r="D30" s="27" t="s">
        <v>218</v>
      </c>
      <c r="E30" s="42" t="s">
        <v>1145</v>
      </c>
    </row>
    <row r="31" customFormat="false" ht="17.25" hidden="false" customHeight="true" outlineLevel="0" collapsed="false">
      <c r="B31" s="21" t="s">
        <v>1146</v>
      </c>
      <c r="C31" s="41" t="str">
        <f aca="false">IF(Need_2&lt;&gt;"",Need_2,IF(Warning&lt;&gt;"","—",MAX(0,-FV(Monthly_Rate,MP_Year_3*12,-Repayment,Used_Mortgage_Balance))))</f>
        <v>Choose your mortgage balance to see this</v>
      </c>
      <c r="D31" s="27" t="s">
        <v>218</v>
      </c>
      <c r="E31" s="42" t="s">
        <v>1147</v>
      </c>
    </row>
    <row r="32" customFormat="false" ht="15" hidden="false" customHeight="true" outlineLevel="0" collapsed="false">
      <c r="B32" s="25" t="s">
        <v>339</v>
      </c>
      <c r="C32" s="64" t="str">
        <f aca="false">IF(Need_3&lt;&gt;"",Need_3,Used_Interest_Rate/12)</f>
        <v>Choose your interest rate to see this</v>
      </c>
      <c r="D32" s="27"/>
      <c r="E32" s="42" t="s">
        <v>340</v>
      </c>
    </row>
    <row r="33" customFormat="false" ht="15" hidden="false" customHeight="true" outlineLevel="0" collapsed="false">
      <c r="B33" s="25" t="s">
        <v>1148</v>
      </c>
      <c r="C33" s="43" t="str">
        <f aca="false">IF(Need_2&lt;&gt;"",Need_2,IF(Used_Actual_Repayment&gt;0,Used_Actual_Repayment,PMT(Monthly_Rate,Used_Years_Left*12,-Used_Mortgage_Balance)))</f>
        <v>Choose your mortgage balance to see this</v>
      </c>
      <c r="D33" s="27" t="s">
        <v>218</v>
      </c>
      <c r="E33" s="42" t="s">
        <v>424</v>
      </c>
    </row>
    <row r="35" customFormat="false" ht="15" hidden="false" customHeight="true" outlineLevel="0" collapsed="false">
      <c r="B35" s="13" t="s">
        <v>271</v>
      </c>
      <c r="C35" s="14"/>
      <c r="D35" s="14"/>
      <c r="E35" s="14"/>
      <c r="F35" s="14"/>
      <c r="G35" s="14"/>
    </row>
    <row r="36" customFormat="false" ht="13.5" hidden="false" customHeight="true" outlineLevel="0" collapsed="false">
      <c r="B36" s="46" t="s">
        <v>1149</v>
      </c>
      <c r="C36" s="46"/>
      <c r="D36" s="46"/>
      <c r="E36" s="46"/>
    </row>
    <row r="37" customFormat="false" ht="13.5" hidden="false" customHeight="true" outlineLevel="0" collapsed="false">
      <c r="B37" s="47" t="s">
        <v>275</v>
      </c>
      <c r="C37" s="47"/>
      <c r="D37" s="47"/>
      <c r="E37" s="47"/>
    </row>
    <row r="38" customFormat="false" ht="13.5" hidden="false" customHeight="true" outlineLevel="0" collapsed="false">
      <c r="B38" s="46" t="s">
        <v>1150</v>
      </c>
      <c r="C38" s="46"/>
      <c r="D38" s="46"/>
      <c r="E38" s="46"/>
    </row>
    <row r="40" customFormat="false" ht="15" hidden="false" customHeight="true" outlineLevel="0" collapsed="false">
      <c r="B40" s="13" t="s">
        <v>280</v>
      </c>
      <c r="C40" s="14"/>
      <c r="D40" s="14"/>
      <c r="E40" s="14"/>
      <c r="F40" s="14"/>
      <c r="G40" s="14"/>
    </row>
    <row r="41" customFormat="false" ht="15" hidden="false" customHeight="true" outlineLevel="0" collapsed="false">
      <c r="B41" s="25" t="s">
        <v>281</v>
      </c>
      <c r="C41" s="48" t="str">
        <f aca="false">"No goal"</f>
        <v>No goal</v>
      </c>
      <c r="E41" s="49" t="s">
        <v>468</v>
      </c>
    </row>
    <row r="43" customFormat="false" ht="15" hidden="false" customHeight="true" outlineLevel="0" collapsed="false">
      <c r="B43" s="13" t="s">
        <v>289</v>
      </c>
      <c r="C43" s="14"/>
      <c r="D43" s="14"/>
      <c r="E43" s="14"/>
      <c r="F43" s="14"/>
      <c r="G43" s="14"/>
    </row>
    <row r="44" customFormat="false" ht="15" hidden="false" customHeight="true" outlineLevel="0" collapsed="false">
      <c r="B44" s="52" t="s">
        <v>1151</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444</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361</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1152</v>
      </c>
      <c r="E1" s="3" t="s">
        <v>1153</v>
      </c>
    </row>
    <row r="2" customFormat="false" ht="15" hidden="false" customHeight="true" outlineLevel="0" collapsed="false">
      <c r="B2" s="21" t="s">
        <v>1154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1155</v>
      </c>
    </row>
    <row r="5" customFormat="false" ht="15" hidden="false" customHeight="true" outlineLevel="0" collapsed="false">
      <c r="B5" s="13" t="s">
        <v>301</v>
      </c>
      <c r="C5" s="14"/>
      <c r="D5" s="14"/>
      <c r="E5" s="14"/>
      <c r="F5" s="14"/>
      <c r="G5" s="14"/>
    </row>
    <row r="6" customFormat="false" ht="27.75" hidden="false" customHeight="true" outlineLevel="0" collapsed="false">
      <c r="B6" s="53" t="s">
        <v>1156</v>
      </c>
      <c r="C6" s="53"/>
      <c r="D6" s="53"/>
      <c r="E6" s="53"/>
    </row>
    <row r="7" customFormat="false" ht="15" hidden="false" customHeight="true" outlineLevel="0" collapsed="false">
      <c r="B7" s="25" t="s">
        <v>303</v>
      </c>
      <c r="C7" s="54"/>
      <c r="D7" s="27" t="s">
        <v>218</v>
      </c>
      <c r="E7" s="28" t="s">
        <v>304</v>
      </c>
      <c r="G7" s="52" t="s">
        <v>305</v>
      </c>
    </row>
    <row r="8" customFormat="false" ht="15" hidden="false" customHeight="true" outlineLevel="0" collapsed="false">
      <c r="B8" s="25" t="s">
        <v>1157</v>
      </c>
      <c r="C8" s="54"/>
      <c r="D8" s="27" t="s">
        <v>218</v>
      </c>
      <c r="E8" s="28" t="s">
        <v>627</v>
      </c>
      <c r="G8" s="52" t="s">
        <v>305</v>
      </c>
    </row>
    <row r="9" customFormat="false" ht="15" hidden="false" customHeight="true" outlineLevel="0" collapsed="false">
      <c r="B9" s="25" t="s">
        <v>702</v>
      </c>
      <c r="C9" s="54"/>
      <c r="D9" s="27" t="s">
        <v>218</v>
      </c>
      <c r="E9" s="28" t="s">
        <v>703</v>
      </c>
      <c r="G9" s="52" t="s">
        <v>305</v>
      </c>
    </row>
    <row r="10" customFormat="false" ht="15" hidden="false" customHeight="true" outlineLevel="0" collapsed="false">
      <c r="B10" s="25" t="s">
        <v>626</v>
      </c>
      <c r="C10" s="54"/>
      <c r="D10" s="27" t="s">
        <v>218</v>
      </c>
      <c r="E10" s="28" t="s">
        <v>627</v>
      </c>
      <c r="G10" s="52" t="s">
        <v>305</v>
      </c>
    </row>
    <row r="12" customFormat="false" ht="15" hidden="false" customHeight="true" outlineLevel="0" collapsed="false">
      <c r="B12" s="13" t="s">
        <v>315</v>
      </c>
      <c r="C12" s="24" t="s">
        <v>214</v>
      </c>
      <c r="D12" s="24" t="s">
        <v>215</v>
      </c>
      <c r="E12" s="24" t="s">
        <v>216</v>
      </c>
      <c r="F12" s="14"/>
      <c r="G12" s="14"/>
    </row>
    <row r="13" customFormat="false" ht="21.75" hidden="false" customHeight="true" outlineLevel="0" collapsed="false">
      <c r="B13" s="25" t="s">
        <v>1158</v>
      </c>
      <c r="C13" s="26"/>
      <c r="D13" s="27" t="s">
        <v>218</v>
      </c>
      <c r="E13" s="28" t="s">
        <v>1159</v>
      </c>
      <c r="F13" s="29" t="n">
        <v>15000</v>
      </c>
      <c r="G13" s="30" t="str">
        <f aca="false">IF(ISBLANK(C13),IF(Fill_Example="Yes",F13,""),C13)</f>
        <v/>
      </c>
    </row>
    <row r="14" customFormat="false" ht="21.75" hidden="false" customHeight="true" outlineLevel="0" collapsed="false">
      <c r="B14" s="25" t="s">
        <v>55</v>
      </c>
      <c r="C14" s="26"/>
      <c r="D14" s="27" t="s">
        <v>218</v>
      </c>
      <c r="E14" s="28" t="s">
        <v>1160</v>
      </c>
      <c r="F14" s="29" t="n">
        <v>10000</v>
      </c>
      <c r="G14" s="30" t="str">
        <f aca="false">IF(ISBLANK(C14),IF(Fill_Example="Yes",F14,""),C14)</f>
        <v/>
      </c>
    </row>
    <row r="15" customFormat="false" ht="21.75" hidden="false" customHeight="true" outlineLevel="0" collapsed="false">
      <c r="B15" s="25" t="s">
        <v>1161</v>
      </c>
      <c r="C15" s="26"/>
      <c r="D15" s="27" t="s">
        <v>218</v>
      </c>
      <c r="E15" s="28" t="s">
        <v>1162</v>
      </c>
      <c r="F15" s="29" t="n">
        <v>60000</v>
      </c>
      <c r="G15" s="30" t="str">
        <f aca="false">IF(ISBLANK(C15),IF(Pens_Value_Total&gt;0,Pens_Value_Total,IF(Fill_Example="Yes",F15,"")),C15)</f>
        <v/>
      </c>
    </row>
    <row r="16" customFormat="false" ht="21.75" hidden="false" customHeight="true" outlineLevel="0" collapsed="false">
      <c r="B16" s="25" t="s">
        <v>1163</v>
      </c>
      <c r="C16" s="26"/>
      <c r="D16" s="27" t="s">
        <v>218</v>
      </c>
      <c r="E16" s="28" t="s">
        <v>1164</v>
      </c>
      <c r="F16" s="29" t="n">
        <v>350000</v>
      </c>
      <c r="G16" s="30" t="str">
        <f aca="false">IF(ISBLANK(C16),IF(Fill_Example="Yes",F16,""),C16)</f>
        <v/>
      </c>
    </row>
    <row r="17" customFormat="false" ht="21.75" hidden="false" customHeight="true" outlineLevel="0" collapsed="false">
      <c r="B17" s="25" t="s">
        <v>521</v>
      </c>
      <c r="C17" s="26"/>
      <c r="D17" s="27" t="s">
        <v>218</v>
      </c>
      <c r="E17" s="28" t="s">
        <v>1165</v>
      </c>
      <c r="F17" s="29" t="n">
        <v>250000</v>
      </c>
      <c r="G17" s="30" t="str">
        <f aca="false">IF(ISBLANK(C17),IF(Fill_Example="Yes",F17,""),C17)</f>
        <v/>
      </c>
    </row>
    <row r="18" customFormat="false" ht="21.75" hidden="false" customHeight="true" outlineLevel="0" collapsed="false">
      <c r="B18" s="25" t="s">
        <v>1166</v>
      </c>
      <c r="C18" s="26"/>
      <c r="D18" s="27" t="s">
        <v>218</v>
      </c>
      <c r="E18" s="28" t="s">
        <v>1167</v>
      </c>
      <c r="F18" s="29" t="n">
        <v>8000</v>
      </c>
      <c r="G18" s="30" t="str">
        <f aca="false">IF(ISBLANK(C18),IF(Debts_Listed_Total&gt;0,Debts_Listed_Total,IF(Fill_Example="Yes",F18,"")),C18)</f>
        <v/>
      </c>
    </row>
    <row r="20" customFormat="false" ht="15" hidden="false" customHeight="true" outlineLevel="0" collapsed="false">
      <c r="B20" s="13" t="s">
        <v>324</v>
      </c>
      <c r="C20" s="14"/>
      <c r="D20" s="14"/>
      <c r="E20" s="14"/>
      <c r="F20" s="14"/>
      <c r="G20" s="14"/>
    </row>
    <row r="21" customFormat="false" ht="15" hidden="false" customHeight="true" outlineLevel="0" collapsed="false">
      <c r="B21" s="25" t="s">
        <v>521</v>
      </c>
      <c r="C21" s="58" t="str">
        <f aca="false">IF(ISBLANK(Stmt_Mortgage_Balance),Mortgage,Stmt_Mortgage_Balance)</f>
        <v/>
      </c>
      <c r="D21" s="59" t="str">
        <f aca="false">IF(ISBLANK(Stmt_Mortgage_Balance),"Your figure","From your statement")</f>
        <v>Your figure</v>
      </c>
      <c r="E21" s="49" t="s">
        <v>1168</v>
      </c>
    </row>
    <row r="22" customFormat="false" ht="15" hidden="false" customHeight="true" outlineLevel="0" collapsed="false">
      <c r="B22" s="25" t="s">
        <v>1163</v>
      </c>
      <c r="C22" s="58" t="str">
        <f aca="false">IF(ISBLANK(Stmt_Property_Value),Property,Stmt_Property_Value)</f>
        <v/>
      </c>
      <c r="D22" s="59" t="str">
        <f aca="false">IF(ISBLANK(Stmt_Property_Value),"Your figure","From your statement")</f>
        <v>Your figure</v>
      </c>
      <c r="E22" s="49" t="s">
        <v>1169</v>
      </c>
    </row>
    <row r="23" customFormat="false" ht="15" hidden="false" customHeight="true" outlineLevel="0" collapsed="false">
      <c r="B23" s="25" t="s">
        <v>1161</v>
      </c>
      <c r="C23" s="58" t="str">
        <f aca="false">IF(ISBLANK(Stmt_Pension_Value),Pensions,Stmt_Pension_Value)</f>
        <v/>
      </c>
      <c r="D23" s="59" t="str">
        <f aca="false">IF(ISBLANK(Stmt_Pension_Value),"Your figure","From your statement")</f>
        <v>Your figure</v>
      </c>
      <c r="E23" s="49" t="s">
        <v>1170</v>
      </c>
    </row>
    <row r="24" customFormat="false" ht="15" hidden="false" customHeight="true" outlineLevel="0" collapsed="false">
      <c r="B24" s="25" t="s">
        <v>55</v>
      </c>
      <c r="C24" s="58" t="str">
        <f aca="false">IF(ISBLANK(Stmt_Investment_Value),Investments,Stmt_Investment_Value)</f>
        <v/>
      </c>
      <c r="D24" s="59" t="str">
        <f aca="false">IF(ISBLANK(Stmt_Investment_Value),"Your figure","From your statement")</f>
        <v>Your figure</v>
      </c>
      <c r="E24" s="49" t="s">
        <v>1171</v>
      </c>
    </row>
    <row r="26" customFormat="false" ht="15" hidden="false" customHeight="true" outlineLevel="0" collapsed="false">
      <c r="B26" s="13" t="s">
        <v>238</v>
      </c>
      <c r="C26" s="24" t="s">
        <v>239</v>
      </c>
      <c r="D26" s="24" t="s">
        <v>240</v>
      </c>
      <c r="E26" s="24" t="s">
        <v>241</v>
      </c>
      <c r="F26" s="14"/>
      <c r="G26" s="14"/>
    </row>
    <row r="27" customFormat="false" ht="17.25" hidden="false" customHeight="true" outlineLevel="0" collapsed="false">
      <c r="B27" s="21" t="s">
        <v>1172</v>
      </c>
      <c r="C27" s="41" t="str">
        <f aca="false">IF(Need_1&lt;&gt;"",Need_1,You_Own-You_Owe)</f>
        <v>Choose your savings to see this</v>
      </c>
      <c r="D27" s="27" t="s">
        <v>218</v>
      </c>
      <c r="E27" s="42" t="s">
        <v>1173</v>
      </c>
    </row>
    <row r="28" customFormat="false" ht="17.25" hidden="false" customHeight="true" outlineLevel="0" collapsed="false">
      <c r="B28" s="21" t="s">
        <v>1174</v>
      </c>
      <c r="C28" s="41" t="str">
        <f aca="false">IF(Need_2&lt;&gt;"",Need_2,Savings+Used_Investments+Used_Pensions+Used_Property)</f>
        <v>Choose your savings to see this</v>
      </c>
      <c r="D28" s="27" t="s">
        <v>218</v>
      </c>
      <c r="E28" s="42" t="s">
        <v>1175</v>
      </c>
    </row>
    <row r="29" customFormat="false" ht="17.25" hidden="false" customHeight="true" outlineLevel="0" collapsed="false">
      <c r="B29" s="21" t="s">
        <v>1176</v>
      </c>
      <c r="C29" s="41" t="str">
        <f aca="false">IF(Need_3&lt;&gt;"",Need_3,Used_Mortgage+Other_Loans)</f>
        <v>Choose your other loans to see this</v>
      </c>
      <c r="D29" s="27" t="s">
        <v>218</v>
      </c>
      <c r="E29" s="42" t="s">
        <v>1177</v>
      </c>
    </row>
    <row r="31" customFormat="false" ht="15" hidden="false" customHeight="true" outlineLevel="0" collapsed="false">
      <c r="B31" s="13" t="s">
        <v>271</v>
      </c>
      <c r="C31" s="14"/>
      <c r="D31" s="14"/>
      <c r="E31" s="14"/>
      <c r="F31" s="14"/>
      <c r="G31" s="14"/>
    </row>
    <row r="32" customFormat="false" ht="13.5" hidden="false" customHeight="true" outlineLevel="0" collapsed="false">
      <c r="B32" s="46" t="s">
        <v>1178</v>
      </c>
      <c r="C32" s="46"/>
      <c r="D32" s="46"/>
      <c r="E32" s="46"/>
    </row>
    <row r="33" customFormat="false" ht="13.5" hidden="false" customHeight="true" outlineLevel="0" collapsed="false">
      <c r="B33" s="47" t="s">
        <v>275</v>
      </c>
      <c r="C33" s="47"/>
      <c r="D33" s="47"/>
      <c r="E33" s="47"/>
    </row>
    <row r="34" customFormat="false" ht="13.5" hidden="false" customHeight="true" outlineLevel="0" collapsed="false">
      <c r="B34" s="46" t="s">
        <v>1179</v>
      </c>
      <c r="C34" s="46"/>
      <c r="D34" s="46"/>
      <c r="E34" s="46"/>
    </row>
    <row r="36" customFormat="false" ht="15" hidden="false" customHeight="true" outlineLevel="0" collapsed="false">
      <c r="B36" s="13" t="s">
        <v>280</v>
      </c>
      <c r="C36" s="14"/>
      <c r="D36" s="14"/>
      <c r="E36" s="14"/>
      <c r="F36" s="14"/>
      <c r="G36" s="14"/>
    </row>
    <row r="37" customFormat="false" ht="15" hidden="false" customHeight="true" outlineLevel="0" collapsed="false">
      <c r="B37" s="25" t="s">
        <v>281</v>
      </c>
      <c r="C37" s="48" t="str">
        <f aca="false">"No goal"</f>
        <v>No goal</v>
      </c>
      <c r="E37" s="49" t="s">
        <v>468</v>
      </c>
    </row>
    <row r="39" customFormat="false" ht="15" hidden="false" customHeight="true" outlineLevel="0" collapsed="false">
      <c r="B39" s="13" t="s">
        <v>289</v>
      </c>
      <c r="C39" s="14"/>
      <c r="D39" s="14"/>
      <c r="E39" s="14"/>
      <c r="F39" s="14"/>
      <c r="G39" s="14"/>
    </row>
    <row r="40" customFormat="false" ht="15" hidden="false" customHeight="true" outlineLevel="0" collapsed="false">
      <c r="B40" s="52" t="s">
        <v>1180</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1181</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1182</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1183</v>
      </c>
      <c r="E1" s="3" t="s">
        <v>1184</v>
      </c>
    </row>
    <row r="2" customFormat="false" ht="15" hidden="false" customHeight="true" outlineLevel="0" collapsed="false">
      <c r="B2" s="21" t="s">
        <v>1185</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1186</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1187</v>
      </c>
      <c r="C6" s="26"/>
      <c r="D6" s="27" t="s">
        <v>218</v>
      </c>
      <c r="E6" s="28" t="s">
        <v>1188</v>
      </c>
      <c r="F6" s="29"/>
      <c r="G6" s="30" t="str">
        <f aca="false">IF(ISBLANK(C6),"",C6)</f>
        <v/>
      </c>
    </row>
    <row r="7" customFormat="false" ht="21.75" hidden="false" customHeight="true" outlineLevel="0" collapsed="false">
      <c r="B7" s="25" t="s">
        <v>1189</v>
      </c>
      <c r="C7" s="26"/>
      <c r="D7" s="27" t="s">
        <v>218</v>
      </c>
      <c r="E7" s="28" t="s">
        <v>1190</v>
      </c>
      <c r="F7" s="29" t="n">
        <v>2000</v>
      </c>
      <c r="G7" s="30" t="str">
        <f aca="false">IF(ISBLANK(C7),IF(Fill_Example="Yes",F7,""),C7)</f>
        <v/>
      </c>
    </row>
    <row r="8" customFormat="false" ht="15" hidden="false" customHeight="true" outlineLevel="0" collapsed="false">
      <c r="B8" s="25" t="s">
        <v>1191</v>
      </c>
      <c r="C8" s="26"/>
      <c r="D8" s="27" t="s">
        <v>218</v>
      </c>
      <c r="E8" s="28" t="s">
        <v>1192</v>
      </c>
      <c r="F8" s="29" t="n">
        <v>800</v>
      </c>
      <c r="G8" s="30" t="str">
        <f aca="false">IF(ISBLANK(C8),IF(Fill_Example="Yes",F8,""),C8)</f>
        <v/>
      </c>
    </row>
    <row r="9" customFormat="false" ht="21.75" hidden="false" customHeight="true" outlineLevel="0" collapsed="false">
      <c r="B9" s="25" t="s">
        <v>1193</v>
      </c>
      <c r="C9" s="26"/>
      <c r="D9" s="27" t="s">
        <v>218</v>
      </c>
      <c r="E9" s="28" t="s">
        <v>1194</v>
      </c>
      <c r="F9" s="29" t="n">
        <v>200</v>
      </c>
      <c r="G9" s="30" t="str">
        <f aca="false">IF(ISBLANK(C9),IF(Debts_Pay_Total&gt;0,Debts_Pay_Total,IF(Fill_Example="Yes",F9,"")),C9)</f>
        <v/>
      </c>
    </row>
    <row r="11" customFormat="false" ht="15" hidden="false" customHeight="true" outlineLevel="0" collapsed="false">
      <c r="B11" s="13" t="s">
        <v>324</v>
      </c>
      <c r="C11" s="14"/>
      <c r="D11" s="14"/>
      <c r="E11" s="14"/>
      <c r="F11" s="14"/>
      <c r="G11" s="14"/>
    </row>
    <row r="12" customFormat="false" ht="15" hidden="false" customHeight="true" outlineLevel="0" collapsed="false">
      <c r="B12" s="25" t="s">
        <v>1195</v>
      </c>
      <c r="C12" s="58" t="str">
        <f aca="false">IF(Take_Home="",TE_Take_Home_Month,Take_Home)</f>
        <v>Choose your tax status to see this</v>
      </c>
      <c r="D12" s="59" t="str">
        <f aca="false">IF(Take_Home="","From the Tax engine","Your figure")</f>
        <v>From the Tax engine</v>
      </c>
      <c r="E12" s="49" t="s">
        <v>1196</v>
      </c>
    </row>
    <row r="14" customFormat="false" ht="15" hidden="false" customHeight="true" outlineLevel="0" collapsed="false">
      <c r="B14" s="13" t="s">
        <v>238</v>
      </c>
      <c r="C14" s="24" t="s">
        <v>239</v>
      </c>
      <c r="D14" s="24" t="s">
        <v>240</v>
      </c>
      <c r="E14" s="24" t="s">
        <v>241</v>
      </c>
      <c r="F14" s="14"/>
      <c r="G14" s="14"/>
    </row>
    <row r="15" customFormat="false" ht="17.25" hidden="false" customHeight="true" outlineLevel="0" collapsed="false">
      <c r="B15" s="21" t="s">
        <v>1197</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1198</v>
      </c>
    </row>
    <row r="16" customFormat="false" ht="17.25" hidden="false" customHeight="true" outlineLevel="0" collapsed="false">
      <c r="B16" s="21" t="s">
        <v>1199</v>
      </c>
      <c r="C16" s="41" t="str">
        <f aca="false">IF(Need_2&lt;&gt;"",Need_2,Essentials+Lifestyle+Debt_Repayments)</f>
        <v>Choose your essentials to see this</v>
      </c>
      <c r="D16" s="27" t="s">
        <v>218</v>
      </c>
      <c r="E16" s="42" t="s">
        <v>1200</v>
      </c>
    </row>
    <row r="18" customFormat="false" ht="15" hidden="false" customHeight="true" outlineLevel="0" collapsed="false">
      <c r="B18" s="13" t="s">
        <v>271</v>
      </c>
      <c r="C18" s="14"/>
      <c r="D18" s="14"/>
      <c r="E18" s="14"/>
      <c r="F18" s="14"/>
      <c r="G18" s="14"/>
    </row>
    <row r="19" customFormat="false" ht="13.5" hidden="false" customHeight="true" outlineLevel="0" collapsed="false">
      <c r="B19" s="46" t="s">
        <v>1201</v>
      </c>
      <c r="C19" s="46"/>
      <c r="D19" s="46"/>
      <c r="E19" s="46"/>
    </row>
    <row r="20" customFormat="false" ht="13.5" hidden="false" customHeight="true" outlineLevel="0" collapsed="false">
      <c r="B20" s="47" t="s">
        <v>275</v>
      </c>
      <c r="C20" s="47"/>
      <c r="D20" s="47"/>
      <c r="E20" s="47"/>
    </row>
    <row r="21" customFormat="false" ht="13.5" hidden="false" customHeight="true" outlineLevel="0" collapsed="false">
      <c r="B21" s="46" t="s">
        <v>1202</v>
      </c>
      <c r="C21" s="46"/>
      <c r="D21" s="46"/>
      <c r="E21" s="46"/>
    </row>
    <row r="23" customFormat="false" ht="15" hidden="false" customHeight="true" outlineLevel="0" collapsed="false">
      <c r="B23" s="13" t="s">
        <v>280</v>
      </c>
      <c r="C23" s="14"/>
      <c r="D23" s="14"/>
      <c r="E23" s="14"/>
      <c r="F23" s="14"/>
      <c r="G23" s="14"/>
    </row>
    <row r="24" customFormat="false" ht="15" hidden="false" customHeight="true" outlineLevel="0" collapsed="false">
      <c r="B24" s="25" t="s">
        <v>281</v>
      </c>
      <c r="C24" s="48" t="str">
        <f aca="false">IF(Need_1&lt;&gt;"",Need_1,IF(Surplus&gt;0,"Save my surplus (plan kind pot)","No goal"))</f>
        <v>Choose your essentials to see this</v>
      </c>
      <c r="E24" s="49" t="s">
        <v>1203</v>
      </c>
    </row>
    <row r="25" customFormat="false" ht="15" hidden="false" customHeight="true" outlineLevel="0" collapsed="false">
      <c r="B25" s="25" t="s">
        <v>1204</v>
      </c>
      <c r="C25" s="50" t="str">
        <f aca="false">IF(Need_1&lt;&gt;"",Need_1,IF(Surplus&gt;0,ROUND(Surplus*12,0),"—"))</f>
        <v>Choose your essentials to see this</v>
      </c>
      <c r="E25" s="49" t="s">
        <v>1205</v>
      </c>
    </row>
    <row r="26" customFormat="false" ht="15" hidden="false" customHeight="true" outlineLevel="0" collapsed="false">
      <c r="B26" s="25" t="s">
        <v>287</v>
      </c>
      <c r="C26" s="51" t="str">
        <f aca="false">IF(Need_1&lt;&gt;"",Need_1,IF(Surplus&gt;0,1,"—"))</f>
        <v>Choose your essentials to see this</v>
      </c>
      <c r="E26" s="49" t="s">
        <v>1206</v>
      </c>
    </row>
    <row r="28" customFormat="false" ht="15" hidden="false" customHeight="true" outlineLevel="0" collapsed="false">
      <c r="B28" s="13" t="s">
        <v>289</v>
      </c>
      <c r="C28" s="14"/>
      <c r="D28" s="14"/>
      <c r="E28" s="14"/>
      <c r="F28" s="14"/>
      <c r="G28" s="14"/>
    </row>
    <row r="29" customFormat="false" ht="15" hidden="false" customHeight="true" outlineLevel="0" collapsed="false">
      <c r="B29" s="52" t="s">
        <v>1207</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1208</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1209</v>
      </c>
      <c r="E1" s="3" t="s">
        <v>1210</v>
      </c>
    </row>
    <row r="2" customFormat="false" ht="15" hidden="false" customHeight="true" outlineLevel="0" collapsed="false">
      <c r="B2" s="21" t="s">
        <v>1211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1212</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1187</v>
      </c>
      <c r="C6" s="26"/>
      <c r="D6" s="27" t="s">
        <v>218</v>
      </c>
      <c r="E6" s="28" t="s">
        <v>1188</v>
      </c>
      <c r="F6" s="29"/>
      <c r="G6" s="30" t="str">
        <f aca="false">IF(ISBLANK(C6),"",C6)</f>
        <v/>
      </c>
    </row>
    <row r="7" customFormat="false" ht="21.75" hidden="false" customHeight="true" outlineLevel="0" collapsed="false">
      <c r="B7" s="25" t="s">
        <v>1213</v>
      </c>
      <c r="C7" s="34"/>
      <c r="D7" s="27" t="s">
        <v>229</v>
      </c>
      <c r="E7" s="35" t="s">
        <v>1214</v>
      </c>
      <c r="F7" s="36" t="n">
        <v>0.5</v>
      </c>
      <c r="G7" s="37" t="str">
        <f aca="false">IF(ISBLANK(C7),IF(Fill_Example="Yes",F7,""),C7)</f>
        <v/>
      </c>
    </row>
    <row r="8" customFormat="false" ht="21.75" hidden="false" customHeight="true" outlineLevel="0" collapsed="false">
      <c r="B8" s="25" t="s">
        <v>1215</v>
      </c>
      <c r="C8" s="34"/>
      <c r="D8" s="27" t="s">
        <v>229</v>
      </c>
      <c r="E8" s="35" t="s">
        <v>1216</v>
      </c>
      <c r="F8" s="36" t="n">
        <v>0.3</v>
      </c>
      <c r="G8" s="37" t="str">
        <f aca="false">IF(ISBLANK(C8),IF(Fill_Example="Yes",F8,""),C8)</f>
        <v/>
      </c>
    </row>
    <row r="9" customFormat="false" ht="21.75" hidden="false" customHeight="true" outlineLevel="0" collapsed="false">
      <c r="B9" s="25" t="s">
        <v>1217</v>
      </c>
      <c r="C9" s="34"/>
      <c r="D9" s="27" t="s">
        <v>229</v>
      </c>
      <c r="E9" s="35" t="s">
        <v>1218</v>
      </c>
      <c r="F9" s="36" t="n">
        <v>0.2</v>
      </c>
      <c r="G9" s="37" t="str">
        <f aca="false">IF(ISBLANK(C9),IF(Fill_Example="Yes",F9,""),C9)</f>
        <v/>
      </c>
    </row>
    <row r="11" customFormat="false" ht="15" hidden="false" customHeight="true" outlineLevel="0" collapsed="false">
      <c r="B11" s="13" t="s">
        <v>324</v>
      </c>
      <c r="C11" s="14"/>
      <c r="D11" s="14"/>
      <c r="E11" s="14"/>
      <c r="F11" s="14"/>
      <c r="G11" s="14"/>
    </row>
    <row r="12" customFormat="false" ht="15" hidden="false" customHeight="true" outlineLevel="0" collapsed="false">
      <c r="B12" s="25" t="s">
        <v>1195</v>
      </c>
      <c r="C12" s="58" t="str">
        <f aca="false">IF(Take_Home="",TE_Take_Home_Month,Take_Home)</f>
        <v>Choose your tax status to see this</v>
      </c>
      <c r="D12" s="59" t="str">
        <f aca="false">IF(Take_Home="","From the Tax engine","Your figure")</f>
        <v>From the Tax engine</v>
      </c>
      <c r="E12" s="49" t="s">
        <v>1196</v>
      </c>
    </row>
    <row r="14" customFormat="false" ht="15" hidden="false" customHeight="true" outlineLevel="0" collapsed="false">
      <c r="B14" s="13" t="s">
        <v>238</v>
      </c>
      <c r="C14" s="24" t="s">
        <v>239</v>
      </c>
      <c r="D14" s="24" t="s">
        <v>240</v>
      </c>
      <c r="E14" s="24" t="s">
        <v>241</v>
      </c>
      <c r="F14" s="14"/>
      <c r="G14" s="14"/>
    </row>
    <row r="15" customFormat="false" ht="15" hidden="false" customHeight="true" outlineLevel="0" collapsed="false">
      <c r="B15" s="72" t="s">
        <v>762</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1219</v>
      </c>
      <c r="C16" s="41" t="str">
        <f aca="false">IF(Need_2&lt;&gt;"",Need_2,Used_Take_Home*Budget_Save)</f>
        <v>Choose your share for savings to see this</v>
      </c>
      <c r="D16" s="27" t="s">
        <v>218</v>
      </c>
      <c r="E16" s="42" t="s">
        <v>1220</v>
      </c>
    </row>
    <row r="17" customFormat="false" ht="17.25" hidden="false" customHeight="true" outlineLevel="0" collapsed="false">
      <c r="B17" s="21" t="s">
        <v>1221</v>
      </c>
      <c r="C17" s="41" t="str">
        <f aca="false">IF(Need_3&lt;&gt;"",Need_3,Used_Take_Home*Budget_Needs)</f>
        <v>Choose your share for needs to see this</v>
      </c>
      <c r="D17" s="27" t="s">
        <v>218</v>
      </c>
      <c r="E17" s="42" t="s">
        <v>1222</v>
      </c>
    </row>
    <row r="18" customFormat="false" ht="17.25" hidden="false" customHeight="true" outlineLevel="0" collapsed="false">
      <c r="B18" s="21" t="s">
        <v>1223</v>
      </c>
      <c r="C18" s="41" t="str">
        <f aca="false">IF(Need_4&lt;&gt;"",Need_4,Used_Take_Home*Budget_Wants)</f>
        <v>Choose your share for wants to see this</v>
      </c>
      <c r="D18" s="27" t="s">
        <v>218</v>
      </c>
      <c r="E18" s="42" t="s">
        <v>1224</v>
      </c>
    </row>
    <row r="20" customFormat="false" ht="15" hidden="false" customHeight="true" outlineLevel="0" collapsed="false">
      <c r="B20" s="13" t="s">
        <v>271</v>
      </c>
      <c r="C20" s="14"/>
      <c r="D20" s="14"/>
      <c r="E20" s="14"/>
      <c r="F20" s="14"/>
      <c r="G20" s="14"/>
    </row>
    <row r="21" customFormat="false" ht="13.5" hidden="false" customHeight="true" outlineLevel="0" collapsed="false">
      <c r="B21" s="46" t="s">
        <v>1225</v>
      </c>
      <c r="C21" s="46"/>
      <c r="D21" s="46"/>
      <c r="E21" s="46"/>
    </row>
    <row r="22" customFormat="false" ht="13.5" hidden="false" customHeight="true" outlineLevel="0" collapsed="false">
      <c r="B22" s="47" t="s">
        <v>275</v>
      </c>
      <c r="C22" s="47"/>
      <c r="D22" s="47"/>
      <c r="E22" s="47"/>
    </row>
    <row r="23" customFormat="false" ht="13.5" hidden="false" customHeight="true" outlineLevel="0" collapsed="false">
      <c r="B23" s="46" t="s">
        <v>1226</v>
      </c>
      <c r="C23" s="46"/>
      <c r="D23" s="46"/>
      <c r="E23" s="46"/>
    </row>
    <row r="25" customFormat="false" ht="15" hidden="false" customHeight="true" outlineLevel="0" collapsed="false">
      <c r="B25" s="13" t="s">
        <v>280</v>
      </c>
      <c r="C25" s="14"/>
      <c r="D25" s="14"/>
      <c r="E25" s="14"/>
      <c r="F25" s="14"/>
      <c r="G25" s="14"/>
    </row>
    <row r="26" customFormat="false" ht="15" hidden="false" customHeight="true" outlineLevel="0" collapsed="false">
      <c r="B26" s="25" t="s">
        <v>281</v>
      </c>
      <c r="C26" s="48" t="str">
        <f aca="false">"No goal"</f>
        <v>No goal</v>
      </c>
      <c r="E26" s="49" t="s">
        <v>468</v>
      </c>
    </row>
    <row r="28" customFormat="false" ht="15" hidden="false" customHeight="true" outlineLevel="0" collapsed="false">
      <c r="B28" s="13" t="s">
        <v>289</v>
      </c>
      <c r="C28" s="14"/>
      <c r="D28" s="14"/>
      <c r="E28" s="14"/>
      <c r="F28" s="14"/>
      <c r="G28" s="14"/>
    </row>
    <row r="29" customFormat="false" ht="15" hidden="false" customHeight="true" outlineLevel="0" collapsed="false">
      <c r="B29" s="52" t="s">
        <v>1227</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1228</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1229</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1230</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1231</v>
      </c>
      <c r="E1" s="3" t="s">
        <v>1232</v>
      </c>
    </row>
    <row r="2" customFormat="false" ht="15" hidden="false" customHeight="true" outlineLevel="0" collapsed="false">
      <c r="B2" s="21" t="s">
        <v>1233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1234</v>
      </c>
    </row>
    <row r="5" customFormat="false" ht="15" hidden="false" customHeight="true" outlineLevel="0" collapsed="false">
      <c r="B5" s="13" t="s">
        <v>213</v>
      </c>
      <c r="C5" s="24" t="s">
        <v>214</v>
      </c>
      <c r="D5" s="24" t="s">
        <v>215</v>
      </c>
      <c r="E5" s="24" t="s">
        <v>216</v>
      </c>
      <c r="F5" s="14"/>
      <c r="G5" s="14"/>
    </row>
    <row r="6" customFormat="false" ht="21.75" hidden="false" customHeight="true" outlineLevel="0" collapsed="false">
      <c r="B6" s="25" t="s">
        <v>1235</v>
      </c>
      <c r="C6" s="26"/>
      <c r="D6" s="27" t="s">
        <v>218</v>
      </c>
      <c r="E6" s="28" t="s">
        <v>1236</v>
      </c>
      <c r="F6" s="29" t="n">
        <v>5000</v>
      </c>
      <c r="G6" s="30" t="str">
        <f aca="false">IF(ISBLANK(C6),IF(Fill_Example="Yes",F6,""),C6)</f>
        <v/>
      </c>
    </row>
    <row r="7" customFormat="false" ht="33" hidden="false" customHeight="true" outlineLevel="0" collapsed="false">
      <c r="B7" s="25" t="s">
        <v>1237</v>
      </c>
      <c r="C7" s="34"/>
      <c r="D7" s="27" t="s">
        <v>229</v>
      </c>
      <c r="E7" s="35"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36" t="str">
        <f aca="false">IF(ISNUMBER(Suggest_Card_APR),Suggest_Card_APR,"")</f>
        <v/>
      </c>
      <c r="G7" s="37" t="str">
        <f aca="false">IF(ISBLANK(C7),IF(Fill_Example="Yes",F7,""),C7)</f>
        <v/>
      </c>
    </row>
    <row r="8" customFormat="false" ht="21.75" hidden="false" customHeight="true" outlineLevel="0" collapsed="false">
      <c r="B8" s="25" t="s">
        <v>1238</v>
      </c>
      <c r="C8" s="26"/>
      <c r="D8" s="27" t="s">
        <v>218</v>
      </c>
      <c r="E8" s="28" t="s">
        <v>1239</v>
      </c>
      <c r="F8" s="29" t="n">
        <v>250</v>
      </c>
      <c r="G8" s="30" t="str">
        <f aca="false">IF(ISBLANK(C8),IF(Fill_Example="Yes",F8,""),C8)</f>
        <v/>
      </c>
    </row>
    <row r="9" customFormat="false" ht="15" hidden="false" customHeight="true" outlineLevel="0" collapsed="false">
      <c r="B9" s="25" t="s">
        <v>1240</v>
      </c>
      <c r="C9" s="26"/>
      <c r="D9" s="27" t="s">
        <v>218</v>
      </c>
      <c r="E9" s="28" t="s">
        <v>1241</v>
      </c>
      <c r="F9" s="29" t="n">
        <v>0</v>
      </c>
      <c r="G9" s="30" t="n">
        <f aca="false">IF(ISBLANK(C9),F9,C9)</f>
        <v>0</v>
      </c>
    </row>
    <row r="11" customFormat="false" ht="15" hidden="false" customHeight="true" outlineLevel="0" collapsed="false">
      <c r="B11" s="13" t="s">
        <v>238</v>
      </c>
      <c r="C11" s="24" t="s">
        <v>239</v>
      </c>
      <c r="D11" s="24" t="s">
        <v>240</v>
      </c>
      <c r="E11" s="24" t="s">
        <v>241</v>
      </c>
      <c r="F11" s="14"/>
      <c r="G11" s="14"/>
    </row>
    <row r="12" customFormat="false" ht="17.25" hidden="false" customHeight="true" outlineLevel="0" collapsed="false">
      <c r="B12" s="21" t="s">
        <v>1242</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1243</v>
      </c>
    </row>
    <row r="13" customFormat="false" ht="17.25" hidden="false" customHeight="true" outlineLevel="0" collapsed="false">
      <c r="B13" s="21" t="s">
        <v>335</v>
      </c>
      <c r="C13" s="41" t="str">
        <f aca="false">IF(Need_1&lt;&gt;"",Need_1,IF(Months_To_Clear="Never","—",Payment*(Months_To_Clear-1)+Final_Payment-Balance))</f>
        <v>Choose your balance to see this</v>
      </c>
      <c r="D13" s="27" t="s">
        <v>218</v>
      </c>
      <c r="E13" s="42" t="s">
        <v>1244</v>
      </c>
    </row>
    <row r="14" customFormat="false" ht="15" hidden="false" customHeight="true" outlineLevel="0" collapsed="false">
      <c r="B14" s="25" t="s">
        <v>1245</v>
      </c>
      <c r="C14" s="64" t="str">
        <f aca="false">IF(Need_2&lt;&gt;"",Need_2,(1+APR)^(1/12)-1)</f>
        <v>Choose your interest rate (APR) to see this</v>
      </c>
      <c r="D14" s="27"/>
      <c r="E14" s="42" t="s">
        <v>1246</v>
      </c>
    </row>
    <row r="15" customFormat="false" ht="15" hidden="false" customHeight="true" outlineLevel="0" collapsed="false">
      <c r="B15" s="25" t="s">
        <v>1247</v>
      </c>
      <c r="C15" s="43" t="str">
        <f aca="false">IF(Need_3&lt;&gt;"",Need_3,Monthly_Payment+Extra_Payment)</f>
        <v>Choose your monthly payment to see this</v>
      </c>
      <c r="D15" s="27" t="s">
        <v>218</v>
      </c>
      <c r="E15" s="42" t="s">
        <v>1248</v>
      </c>
    </row>
    <row r="16" customFormat="false" ht="15" hidden="false" customHeight="true" outlineLevel="0" collapsed="false">
      <c r="B16" s="25" t="s">
        <v>343</v>
      </c>
      <c r="C16" s="43" t="str">
        <f aca="false">IF(Need_1&lt;&gt;"",Need_1,IF(Months_To_Clear="Never","—",-FV(Monthly_Rate,Months_To_Clear-1,-Payment,Balance)*(1+Monthly_Rate)))</f>
        <v>Choose your balance to see this</v>
      </c>
      <c r="D16" s="27" t="s">
        <v>218</v>
      </c>
      <c r="E16" s="42" t="s">
        <v>1249</v>
      </c>
    </row>
    <row r="18" customFormat="false" ht="15" hidden="false" customHeight="true" outlineLevel="0" collapsed="false">
      <c r="B18" s="13" t="s">
        <v>271</v>
      </c>
      <c r="C18" s="14"/>
      <c r="D18" s="14"/>
      <c r="E18" s="14"/>
      <c r="F18" s="14"/>
      <c r="G18" s="14"/>
    </row>
    <row r="19" customFormat="false" ht="13.5" hidden="false" customHeight="true" outlineLevel="0" collapsed="false">
      <c r="B19" s="46" t="s">
        <v>1250</v>
      </c>
      <c r="C19" s="46"/>
      <c r="D19" s="46"/>
      <c r="E19" s="46"/>
    </row>
    <row r="20" customFormat="false" ht="13.5" hidden="false" customHeight="true" outlineLevel="0" collapsed="false">
      <c r="B20" s="46" t="s">
        <v>1251</v>
      </c>
      <c r="C20" s="46"/>
      <c r="D20" s="46"/>
      <c r="E20" s="46"/>
    </row>
    <row r="21" customFormat="false" ht="13.5" hidden="false" customHeight="true" outlineLevel="0" collapsed="false">
      <c r="B21" s="47" t="s">
        <v>275</v>
      </c>
      <c r="C21" s="47"/>
      <c r="D21" s="47"/>
      <c r="E21" s="47"/>
    </row>
    <row r="22" customFormat="false" ht="27.75" hidden="false" customHeight="true" outlineLevel="0" collapsed="false">
      <c r="B22" s="46" t="s">
        <v>354</v>
      </c>
      <c r="C22" s="46"/>
      <c r="D22" s="46"/>
      <c r="E22" s="46"/>
    </row>
    <row r="23" customFormat="false" ht="13.5" hidden="false" customHeight="true" outlineLevel="0" collapsed="false">
      <c r="B23" s="46" t="s">
        <v>1252</v>
      </c>
      <c r="C23" s="46"/>
      <c r="D23" s="46"/>
      <c r="E23" s="46"/>
    </row>
    <row r="24" customFormat="false" ht="27.75" hidden="false" customHeight="true" outlineLevel="0" collapsed="false">
      <c r="B24" s="46" t="s">
        <v>356</v>
      </c>
      <c r="C24" s="46"/>
      <c r="D24" s="46"/>
      <c r="E24" s="46"/>
    </row>
    <row r="25" customFormat="false" ht="13.5" hidden="false" customHeight="true" outlineLevel="0" collapsed="false">
      <c r="B25" s="46" t="s">
        <v>279</v>
      </c>
      <c r="C25" s="46"/>
      <c r="D25" s="46"/>
      <c r="E25" s="46"/>
    </row>
    <row r="27" customFormat="false" ht="15" hidden="false" customHeight="true" outlineLevel="0" collapsed="false">
      <c r="B27" s="13" t="s">
        <v>280</v>
      </c>
      <c r="C27" s="14"/>
      <c r="D27" s="14"/>
      <c r="E27" s="14"/>
      <c r="F27" s="14"/>
      <c r="G27" s="14"/>
    </row>
    <row r="28" customFormat="false" ht="15" hidden="false" customHeight="true" outlineLevel="0" collapsed="false">
      <c r="B28" s="25" t="s">
        <v>281</v>
      </c>
      <c r="C28" s="48" t="str">
        <f aca="false">"No goal (the plan already repays this debt)"</f>
        <v>No goal (the plan already repays this debt)</v>
      </c>
      <c r="E28" s="49" t="s">
        <v>1253</v>
      </c>
    </row>
    <row r="29" customFormat="false" ht="13.5" hidden="false" customHeight="true" outlineLevel="0" collapsed="false">
      <c r="B29" s="53" t="s">
        <v>1254</v>
      </c>
      <c r="C29" s="53"/>
      <c r="D29" s="53"/>
      <c r="E29" s="53"/>
    </row>
    <row r="31" customFormat="false" ht="15" hidden="false" customHeight="true" outlineLevel="0" collapsed="false">
      <c r="B31" s="13" t="s">
        <v>289</v>
      </c>
      <c r="C31" s="14"/>
      <c r="D31" s="14"/>
      <c r="E31" s="14"/>
      <c r="F31" s="14"/>
      <c r="G31" s="14"/>
    </row>
    <row r="32" customFormat="false" ht="15" hidden="false" customHeight="true" outlineLevel="0" collapsed="false">
      <c r="B32" s="52" t="s">
        <v>1255</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1256</v>
      </c>
      <c r="C33" s="52" t="str">
        <f aca="false">IF(APR="","Choose your interest rate (APR) to see this","")</f>
        <v>Choose your interest rate (APR) to see this</v>
      </c>
    </row>
    <row r="34" customFormat="false" ht="15" hidden="false" customHeight="true" outlineLevel="0" collapsed="false">
      <c r="B34" s="52" t="s">
        <v>1257</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1258</v>
      </c>
      <c r="E1" s="3" t="s">
        <v>1259</v>
      </c>
    </row>
    <row r="2" customFormat="false" ht="15" hidden="false" customHeight="true" outlineLevel="0" collapsed="false">
      <c r="B2" s="21" t="s">
        <v>1260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1261</v>
      </c>
    </row>
    <row r="5" customFormat="false" ht="15" hidden="false" customHeight="true" outlineLevel="0" collapsed="false">
      <c r="B5" s="13" t="s">
        <v>213</v>
      </c>
      <c r="C5" s="24" t="s">
        <v>214</v>
      </c>
      <c r="D5" s="24" t="s">
        <v>215</v>
      </c>
      <c r="E5" s="24" t="s">
        <v>216</v>
      </c>
      <c r="F5" s="14"/>
      <c r="G5" s="14"/>
    </row>
    <row r="6" customFormat="false" ht="15" hidden="false" customHeight="true" outlineLevel="0" collapsed="false">
      <c r="B6" s="25" t="s">
        <v>1262</v>
      </c>
      <c r="C6" s="26"/>
      <c r="D6" s="27" t="s">
        <v>218</v>
      </c>
      <c r="E6" s="28" t="s">
        <v>1263</v>
      </c>
      <c r="F6" s="29" t="n">
        <v>15000</v>
      </c>
      <c r="G6" s="30" t="str">
        <f aca="false">IF(ISBLANK(C6),IF(Fill_Example="Yes",F6,""),C6)</f>
        <v/>
      </c>
    </row>
    <row r="7" customFormat="false" ht="21.75" hidden="false" customHeight="true" outlineLevel="0" collapsed="false">
      <c r="B7" s="25" t="s">
        <v>1237</v>
      </c>
      <c r="C7" s="34"/>
      <c r="D7" s="27" t="s">
        <v>229</v>
      </c>
      <c r="E7" s="35" t="str">
        <f aca="false">"Type 2 · your figure · Your loan's APR: your loan agreement shows it. "&amp;IF(ISNUMBER(Suggest_Loan_APR),"Suggested: "&amp;TEXT(Suggest_Loan_APR,"0.00%")&amp;" · "&amp;Suggest_Loan_APR_Label&amp;". ","No suggestion. ")&amp;"Enter your own figure."&amp;" Allowed: 0% to 25% · steps of 0.5%"</f>
        <v>Type 2 · your figure · Your loan's APR: your loan agreement shows it. Suggested: 6.72% · Central Bank of Ireland: average rate on new consumer loans, Jul 2026. Enter your own figure. Allowed: 0% to 25% · steps of 0.5%</v>
      </c>
      <c r="F7" s="36" t="n">
        <f aca="false">IF(ISNUMBER(Suggest_Loan_APR),Suggest_Loan_APR,"")</f>
        <v>0.0672</v>
      </c>
      <c r="G7" s="37" t="str">
        <f aca="false">IF(ISBLANK(C7),IF(Fill_Example="Yes",F7,""),C7)</f>
        <v/>
      </c>
    </row>
    <row r="8" customFormat="false" ht="15" hidden="false" customHeight="true" outlineLevel="0" collapsed="false">
      <c r="B8" s="25" t="s">
        <v>599</v>
      </c>
      <c r="C8" s="38"/>
      <c r="D8" s="27" t="s">
        <v>231</v>
      </c>
      <c r="E8" s="28" t="s">
        <v>677</v>
      </c>
      <c r="F8" s="39" t="n">
        <v>5</v>
      </c>
      <c r="G8" s="40" t="str">
        <f aca="false">IF(ISBLANK(C8),IF(Fill_Example="Yes",F8,""),C8)</f>
        <v/>
      </c>
    </row>
    <row r="10" customFormat="false" ht="15" hidden="false" customHeight="true" outlineLevel="0" collapsed="false">
      <c r="B10" s="13" t="s">
        <v>238</v>
      </c>
      <c r="C10" s="24" t="s">
        <v>239</v>
      </c>
      <c r="D10" s="24" t="s">
        <v>240</v>
      </c>
      <c r="E10" s="24" t="s">
        <v>241</v>
      </c>
      <c r="F10" s="14"/>
      <c r="G10" s="14"/>
    </row>
    <row r="11" customFormat="false" ht="17.25" hidden="false" customHeight="true" outlineLevel="0" collapsed="false">
      <c r="B11" s="21" t="s">
        <v>310</v>
      </c>
      <c r="C11" s="41" t="str">
        <f aca="false">IF(Need_1&lt;&gt;"",Need_1,PMT(Monthly_Rate,Years*12,-Loan_Amount))</f>
        <v>Choose your loan amount to see this</v>
      </c>
      <c r="D11" s="27" t="s">
        <v>218</v>
      </c>
      <c r="E11" s="42" t="s">
        <v>1264</v>
      </c>
    </row>
    <row r="12" customFormat="false" ht="17.25" hidden="false" customHeight="true" outlineLevel="0" collapsed="false">
      <c r="B12" s="21" t="s">
        <v>335</v>
      </c>
      <c r="C12" s="41" t="str">
        <f aca="false">IF(Need_1&lt;&gt;"",Need_1,Total_Repaid-Loan_Amount)</f>
        <v>Choose your loan amount to see this</v>
      </c>
      <c r="D12" s="27" t="s">
        <v>218</v>
      </c>
      <c r="E12" s="42" t="s">
        <v>1265</v>
      </c>
    </row>
    <row r="13" customFormat="false" ht="15" hidden="false" customHeight="true" outlineLevel="0" collapsed="false">
      <c r="B13" s="25" t="s">
        <v>337</v>
      </c>
      <c r="C13" s="43" t="str">
        <f aca="false">IF(Need_1&lt;&gt;"",Need_1,Monthly_Repayment*Years*12)</f>
        <v>Choose your loan amount to see this</v>
      </c>
      <c r="D13" s="27" t="s">
        <v>218</v>
      </c>
      <c r="E13" s="42" t="s">
        <v>1266</v>
      </c>
    </row>
    <row r="14" customFormat="false" ht="15" hidden="false" customHeight="true" outlineLevel="0" collapsed="false">
      <c r="B14" s="25" t="s">
        <v>1245</v>
      </c>
      <c r="C14" s="64" t="str">
        <f aca="false">IF(Need_2&lt;&gt;"",Need_2,(1+APR)^(1/12)-1)</f>
        <v>Choose your interest rate (APR) to see this</v>
      </c>
      <c r="D14" s="27"/>
      <c r="E14" s="42" t="s">
        <v>1246</v>
      </c>
    </row>
    <row r="16" customFormat="false" ht="15" hidden="false" customHeight="true" outlineLevel="0" collapsed="false">
      <c r="B16" s="13" t="s">
        <v>271</v>
      </c>
      <c r="C16" s="14"/>
      <c r="D16" s="14"/>
      <c r="E16" s="14"/>
      <c r="F16" s="14"/>
      <c r="G16" s="14"/>
    </row>
    <row r="17" customFormat="false" ht="13.5" hidden="false" customHeight="true" outlineLevel="0" collapsed="false">
      <c r="B17" s="46" t="s">
        <v>1267</v>
      </c>
      <c r="C17" s="46"/>
      <c r="D17" s="46"/>
      <c r="E17" s="46"/>
    </row>
    <row r="18" customFormat="false" ht="13.5" hidden="false" customHeight="true" outlineLevel="0" collapsed="false">
      <c r="B18" s="46" t="s">
        <v>1268</v>
      </c>
      <c r="C18" s="46"/>
      <c r="D18" s="46"/>
      <c r="E18" s="46"/>
    </row>
    <row r="19" customFormat="false" ht="13.5" hidden="false" customHeight="true" outlineLevel="0" collapsed="false">
      <c r="B19" s="47" t="s">
        <v>275</v>
      </c>
      <c r="C19" s="47"/>
      <c r="D19" s="47"/>
      <c r="E19" s="47"/>
    </row>
    <row r="20" customFormat="false" ht="13.5" hidden="false" customHeight="true" outlineLevel="0" collapsed="false">
      <c r="B20" s="46" t="s">
        <v>279</v>
      </c>
      <c r="C20" s="46"/>
      <c r="D20" s="46"/>
      <c r="E20" s="46"/>
    </row>
    <row r="22" customFormat="false" ht="15" hidden="false" customHeight="true" outlineLevel="0" collapsed="false">
      <c r="B22" s="13" t="s">
        <v>280</v>
      </c>
      <c r="C22" s="14"/>
      <c r="D22" s="14"/>
      <c r="E22" s="14"/>
      <c r="F22" s="14"/>
      <c r="G22" s="14"/>
    </row>
    <row r="23" customFormat="false" ht="15" hidden="false" customHeight="true" outlineLevel="0" collapsed="false">
      <c r="B23" s="25" t="s">
        <v>281</v>
      </c>
      <c r="C23" s="48" t="str">
        <f aca="false">"No goal"</f>
        <v>No goal</v>
      </c>
      <c r="E23" s="49" t="s">
        <v>468</v>
      </c>
    </row>
    <row r="25" customFormat="false" ht="15" hidden="false" customHeight="true" outlineLevel="0" collapsed="false">
      <c r="B25" s="13" t="s">
        <v>289</v>
      </c>
      <c r="C25" s="14"/>
      <c r="D25" s="14"/>
      <c r="E25" s="14"/>
      <c r="F25" s="14"/>
      <c r="G25" s="14"/>
    </row>
    <row r="26" customFormat="false" ht="15" hidden="false" customHeight="true" outlineLevel="0" collapsed="false">
      <c r="B26" s="52" t="s">
        <v>1269</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1256</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1270</v>
      </c>
    </row>
    <row r="2" customFormat="false" ht="15" hidden="false" customHeight="true" outlineLevel="0" collapsed="false">
      <c r="B2" s="86" t="s">
        <v>1271</v>
      </c>
    </row>
    <row r="4" customFormat="false" ht="15" hidden="false" customHeight="true" outlineLevel="0" collapsed="false">
      <c r="B4" s="13" t="s">
        <v>213</v>
      </c>
      <c r="C4" s="14"/>
      <c r="D4" s="14"/>
      <c r="E4" s="14"/>
      <c r="F4" s="24" t="s">
        <v>1272</v>
      </c>
      <c r="G4" s="24" t="s">
        <v>1273</v>
      </c>
    </row>
    <row r="5" customFormat="false" ht="15" hidden="false" customHeight="true" outlineLevel="0" collapsed="false">
      <c r="B5" s="25" t="s">
        <v>1274</v>
      </c>
      <c r="C5" s="31"/>
      <c r="E5" s="3" t="s">
        <v>1275</v>
      </c>
      <c r="F5" s="32" t="s">
        <v>1276</v>
      </c>
      <c r="G5" s="33" t="str">
        <f aca="false">IF(ISBLANK(C5),IF(Fill_Example="Yes",F5,""),C5)</f>
        <v/>
      </c>
    </row>
    <row r="6" customFormat="false" ht="15" hidden="false" customHeight="true" outlineLevel="0" collapsed="false">
      <c r="B6" s="25" t="s">
        <v>1277</v>
      </c>
      <c r="C6" s="26"/>
      <c r="E6" s="3" t="s">
        <v>1278</v>
      </c>
      <c r="F6" s="29" t="n">
        <v>60000</v>
      </c>
      <c r="G6" s="30" t="str">
        <f aca="false">IF(ISBLANK(C6),IF(Fill_Example="Yes",F6,""),C6)</f>
        <v/>
      </c>
    </row>
    <row r="7" customFormat="false" ht="15" hidden="false" customHeight="true" outlineLevel="0" collapsed="false">
      <c r="B7" s="25" t="s">
        <v>1279</v>
      </c>
      <c r="C7" s="26"/>
      <c r="E7" s="3" t="s">
        <v>1280</v>
      </c>
      <c r="F7" s="29" t="n">
        <v>0</v>
      </c>
      <c r="G7" s="30" t="n">
        <f aca="false">IF(ISBLANK(C7),F7,C7)</f>
        <v>0</v>
      </c>
    </row>
    <row r="8" customFormat="false" ht="15" hidden="false" customHeight="true" outlineLevel="0" collapsed="false">
      <c r="B8" s="25" t="s">
        <v>1281</v>
      </c>
      <c r="C8" s="31"/>
      <c r="E8" s="3" t="s">
        <v>1282</v>
      </c>
      <c r="F8" s="32" t="s">
        <v>3</v>
      </c>
      <c r="G8" s="33" t="str">
        <f aca="false">IF(ISBLANK(C8),IF(Fill_Example="Yes",F8,""),C8)</f>
        <v/>
      </c>
    </row>
    <row r="9" customFormat="false" ht="15" hidden="false" customHeight="true" outlineLevel="0" collapsed="false">
      <c r="B9" s="25" t="s">
        <v>1283</v>
      </c>
      <c r="C9" s="31"/>
      <c r="E9" s="3" t="s">
        <v>1284</v>
      </c>
      <c r="F9" s="32" t="s">
        <v>3</v>
      </c>
      <c r="G9" s="33" t="str">
        <f aca="false">IF(ISBLANK(C9),IF(Fill_Example="Yes",F9,""),C9)</f>
        <v/>
      </c>
    </row>
    <row r="10" customFormat="false" ht="15" hidden="false" customHeight="true" outlineLevel="0" collapsed="false">
      <c r="B10" s="25" t="s">
        <v>1285</v>
      </c>
      <c r="C10" s="31"/>
      <c r="E10" s="3" t="s">
        <v>1286</v>
      </c>
      <c r="F10" s="32" t="s">
        <v>1287</v>
      </c>
      <c r="G10" s="33" t="str">
        <f aca="false">IF(ISBLANK(C10),F10,C10)</f>
        <v>From 1 Oct 2026</v>
      </c>
    </row>
    <row r="12" customFormat="false" ht="15" hidden="false" customHeight="true" outlineLevel="0" collapsed="false">
      <c r="B12" s="13" t="s">
        <v>1288</v>
      </c>
      <c r="C12" s="14"/>
      <c r="D12" s="14"/>
      <c r="E12" s="14"/>
    </row>
    <row r="13" customFormat="false" ht="15" hidden="false" customHeight="true" outlineLevel="0" collapsed="false">
      <c r="B13" s="25" t="s">
        <v>1289</v>
      </c>
      <c r="C13" s="87" t="n">
        <f aca="false">IF(TE_PRSI_Basis="Calendar 2026 blend",PRSI_Rate_2026_Blend,PRSI_Rate)</f>
        <v>0.0435</v>
      </c>
      <c r="E13" s="88" t="s">
        <v>1290</v>
      </c>
    </row>
    <row r="14" customFormat="false" ht="15" hidden="false" customHeight="true" outlineLevel="0" collapsed="false">
      <c r="B14" s="25" t="s">
        <v>1291</v>
      </c>
      <c r="C14" s="89" t="str">
        <f aca="false">IF(TE_Need&lt;&gt;"",TE_Need,IF(TE_Status="Married two earners",TE_Gross_2,0))</f>
        <v>Choose your tax status to see this</v>
      </c>
      <c r="E14" s="88" t="s">
        <v>1292</v>
      </c>
    </row>
    <row r="15" customFormat="false" ht="30" hidden="false" customHeight="true" outlineLevel="0" collapsed="false">
      <c r="B15" s="25" t="s">
        <v>1293</v>
      </c>
      <c r="C15" s="89" t="str">
        <f aca="false">IF(TE_Need&lt;&gt;"",TE_Need,IF(TE_Status="Single",Band_Single,IF(TE_Status="Single parent",Band_Single_Parent,IF(TE_Status="Married one earner",Band_Married,Band_Married+MIN(MIN(TE_Gross_1,TE_Gross_2),Band_Second_Earner_Max)))))</f>
        <v>Choose your tax status to see this</v>
      </c>
      <c r="E15" s="88" t="s">
        <v>1294</v>
      </c>
    </row>
    <row r="16" customFormat="false" ht="15" hidden="false" customHeight="true" outlineLevel="0" collapsed="false">
      <c r="B16" s="25" t="s">
        <v>1295</v>
      </c>
      <c r="C16" s="89" t="str">
        <f aca="false">IF(TE_Need&lt;&gt;"",TE_Need,TE_Gross_1+TE_Earner_2)</f>
        <v>Choose your tax status to see this</v>
      </c>
      <c r="E16" s="88" t="s">
        <v>1296</v>
      </c>
    </row>
    <row r="17" customFormat="false" ht="15" hidden="false" customHeight="true" outlineLevel="0" collapsed="false">
      <c r="B17" s="25" t="s">
        <v>1297</v>
      </c>
      <c r="C17" s="90" t="str">
        <f aca="false">IF(TE_Need&lt;&gt;"",TE_Need,Rate_Standard*MIN(TE_Taxable,TE_Band)+Rate_Higher*MAX(0,TE_Taxable-TE_Band))</f>
        <v>Choose your tax status to see this</v>
      </c>
      <c r="E17" s="88" t="s">
        <v>1298</v>
      </c>
    </row>
    <row r="18" customFormat="false" ht="30" hidden="false" customHeight="true" outlineLevel="0" collapsed="false">
      <c r="B18" s="25" t="s">
        <v>1299</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1300</v>
      </c>
    </row>
    <row r="19" customFormat="false" ht="15" hidden="false" customHeight="true" outlineLevel="0" collapsed="false">
      <c r="B19" s="10" t="s">
        <v>1301</v>
      </c>
      <c r="C19" s="91" t="str">
        <f aca="false">IF(TE_Need&lt;&gt;"",TE_Need,MAX(0,TE_Tax_Before_Credits-TE_Credits))</f>
        <v>Choose your tax status to see this</v>
      </c>
      <c r="E19" s="88" t="s">
        <v>1302</v>
      </c>
    </row>
    <row r="20" customFormat="false" ht="30" hidden="false" customHeight="true" outlineLevel="0" collapsed="false">
      <c r="B20" s="10" t="s">
        <v>1303</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1304</v>
      </c>
    </row>
    <row r="21" customFormat="false" ht="30" hidden="false" customHeight="true" outlineLevel="0" collapsed="false">
      <c r="B21" s="10" t="s">
        <v>1305</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1306</v>
      </c>
    </row>
    <row r="22" customFormat="false" ht="15" hidden="false" customHeight="true" outlineLevel="0" collapsed="false">
      <c r="B22" s="10" t="s">
        <v>1307</v>
      </c>
      <c r="C22" s="91" t="str">
        <f aca="false">IF(TE_Need&lt;&gt;"",TE_Need,TE_Taxable-TE_Income_Tax-TE_USC-TE_PRSI)</f>
        <v>Choose your tax status to see this</v>
      </c>
      <c r="E22" s="88" t="s">
        <v>1308</v>
      </c>
    </row>
    <row r="23" customFormat="false" ht="15" hidden="false" customHeight="true" outlineLevel="0" collapsed="false">
      <c r="B23" s="10" t="s">
        <v>1309</v>
      </c>
      <c r="C23" s="91" t="str">
        <f aca="false">IF(TE_Need&lt;&gt;"",TE_Need,TE_Take_Home/12)</f>
        <v>Choose your tax status to see this</v>
      </c>
      <c r="E23" s="88" t="s">
        <v>1310</v>
      </c>
    </row>
    <row r="24" customFormat="false" ht="15" hidden="false" customHeight="true" outlineLevel="0" collapsed="false">
      <c r="B24" s="10" t="s">
        <v>1311</v>
      </c>
      <c r="C24" s="92" t="str">
        <f aca="false">IF(TE_Need&lt;&gt;"",TE_Need,IF(TE_Taxable&gt;TE_Band,Rate_Higher,Rate_Standard))</f>
        <v>Choose your tax status to see this</v>
      </c>
      <c r="E24" s="88" t="s">
        <v>1312</v>
      </c>
    </row>
    <row r="25" customFormat="false" ht="15" hidden="false" customHeight="true" outlineLevel="0" collapsed="false">
      <c r="B25" s="52" t="s">
        <v>1313</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271</v>
      </c>
      <c r="C27" s="14"/>
      <c r="D27" s="14"/>
      <c r="E27" s="14"/>
    </row>
    <row r="28" customFormat="false" ht="15" hidden="false" customHeight="true" outlineLevel="0" collapsed="false">
      <c r="B28" s="93" t="s">
        <v>1314</v>
      </c>
      <c r="C28" s="93"/>
      <c r="D28" s="93"/>
      <c r="E28" s="93"/>
    </row>
    <row r="29" customFormat="false" ht="15" hidden="false" customHeight="true" outlineLevel="0" collapsed="false">
      <c r="B29" s="93" t="s">
        <v>1315</v>
      </c>
      <c r="C29" s="93"/>
      <c r="D29" s="93"/>
      <c r="E29" s="93"/>
    </row>
    <row r="30" customFormat="false" ht="15" hidden="false" customHeight="true" outlineLevel="0" collapsed="false">
      <c r="B30" s="93" t="s">
        <v>1316</v>
      </c>
      <c r="C30" s="93"/>
      <c r="D30" s="93"/>
      <c r="E30" s="93"/>
    </row>
    <row r="31" customFormat="false" ht="15" hidden="false" customHeight="true" outlineLevel="0" collapsed="false">
      <c r="B31" s="93" t="s">
        <v>1317</v>
      </c>
      <c r="C31" s="93"/>
      <c r="D31" s="93"/>
      <c r="E31" s="93"/>
    </row>
    <row r="33" customFormat="false" ht="15" hidden="false" customHeight="true" outlineLevel="0" collapsed="false">
      <c r="B33" s="13" t="s">
        <v>1318</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1319</v>
      </c>
      <c r="C34" s="94" t="s">
        <v>1320</v>
      </c>
      <c r="D34" s="94" t="s">
        <v>1321</v>
      </c>
      <c r="E34" s="94" t="s">
        <v>1322</v>
      </c>
      <c r="F34" s="94" t="s">
        <v>1301</v>
      </c>
      <c r="G34" s="94" t="s">
        <v>1323</v>
      </c>
      <c r="H34" s="94" t="s">
        <v>1324</v>
      </c>
      <c r="I34" s="94" t="s">
        <v>1325</v>
      </c>
      <c r="J34" s="94" t="s">
        <v>1326</v>
      </c>
      <c r="K34" s="94" t="s">
        <v>1327</v>
      </c>
      <c r="L34" s="94" t="s">
        <v>1328</v>
      </c>
      <c r="M34" s="94" t="s">
        <v>1329</v>
      </c>
      <c r="N34" s="94" t="s">
        <v>1330</v>
      </c>
      <c r="O34" s="94" t="s">
        <v>1331</v>
      </c>
      <c r="P34" s="94" t="s">
        <v>1332</v>
      </c>
      <c r="Q34" s="94" t="s">
        <v>239</v>
      </c>
      <c r="R34" s="94"/>
    </row>
    <row r="35" customFormat="false" ht="15" hidden="false" customHeight="true" outlineLevel="0" collapsed="false">
      <c r="B35" s="12" t="s">
        <v>1333</v>
      </c>
      <c r="C35" s="80" t="n">
        <v>25000</v>
      </c>
      <c r="D35" s="12" t="s">
        <v>1276</v>
      </c>
      <c r="E35" s="12" t="s">
        <v>1334</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1335</v>
      </c>
      <c r="C36" s="80" t="n">
        <v>25000</v>
      </c>
      <c r="D36" s="12" t="s">
        <v>1336</v>
      </c>
      <c r="E36" s="12" t="s">
        <v>1334</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1337</v>
      </c>
      <c r="C37" s="80" t="n">
        <v>45000</v>
      </c>
      <c r="D37" s="12" t="s">
        <v>1276</v>
      </c>
      <c r="E37" s="12" t="s">
        <v>1334</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1338</v>
      </c>
      <c r="C38" s="80" t="n">
        <v>45000</v>
      </c>
      <c r="D38" s="12" t="s">
        <v>1336</v>
      </c>
      <c r="E38" s="12" t="s">
        <v>1334</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1339</v>
      </c>
      <c r="C39" s="80" t="n">
        <v>80000</v>
      </c>
      <c r="D39" s="12" t="s">
        <v>1276</v>
      </c>
      <c r="E39" s="12" t="s">
        <v>1334</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1340</v>
      </c>
      <c r="C40" s="80" t="n">
        <v>80000</v>
      </c>
      <c r="D40" s="12" t="s">
        <v>1336</v>
      </c>
      <c r="E40" s="12" t="s">
        <v>1334</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1341</v>
      </c>
      <c r="C41" s="80" t="n">
        <v>150000</v>
      </c>
      <c r="D41" s="12" t="s">
        <v>1276</v>
      </c>
      <c r="E41" s="12" t="s">
        <v>1334</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1342</v>
      </c>
      <c r="C42" s="80" t="n">
        <v>150000</v>
      </c>
      <c r="D42" s="12" t="s">
        <v>1336</v>
      </c>
      <c r="E42" s="12" t="s">
        <v>1334</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1343</v>
      </c>
      <c r="C43" s="80" t="n">
        <v>60000</v>
      </c>
      <c r="D43" s="12" t="s">
        <v>1344</v>
      </c>
      <c r="E43" s="12" t="s">
        <v>1345</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1346</v>
      </c>
      <c r="C44" s="80" t="n">
        <v>80000</v>
      </c>
      <c r="D44" s="12" t="s">
        <v>1344</v>
      </c>
      <c r="E44" s="12" t="s">
        <v>1347</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1348</v>
      </c>
      <c r="C45" s="80" t="n">
        <v>45000</v>
      </c>
      <c r="D45" s="12" t="s">
        <v>1344</v>
      </c>
      <c r="E45" s="12" t="s">
        <v>1349</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1350</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1351</v>
      </c>
    </row>
    <row r="3" customFormat="false" ht="15" hidden="false" customHeight="true" outlineLevel="0" collapsed="false">
      <c r="B3" s="8" t="s">
        <v>1352</v>
      </c>
      <c r="C3" s="8"/>
      <c r="D3" s="8"/>
      <c r="E3" s="8"/>
      <c r="F3" s="8"/>
    </row>
    <row r="4" customFormat="false" ht="15" hidden="false" customHeight="true" outlineLevel="0" collapsed="false">
      <c r="B4" s="8" t="s">
        <v>1353</v>
      </c>
      <c r="C4" s="8"/>
      <c r="D4" s="8"/>
      <c r="E4" s="8"/>
      <c r="F4" s="8"/>
    </row>
    <row r="5" customFormat="false" ht="15" hidden="false" customHeight="true" outlineLevel="0" collapsed="false">
      <c r="B5" s="8" t="s">
        <v>1354</v>
      </c>
      <c r="C5" s="8"/>
      <c r="D5" s="8"/>
      <c r="E5" s="8"/>
      <c r="F5" s="8"/>
    </row>
    <row r="6" customFormat="false" ht="15" hidden="false" customHeight="true" outlineLevel="0" collapsed="false">
      <c r="B6" s="8" t="s">
        <v>1355</v>
      </c>
      <c r="C6" s="8"/>
      <c r="D6" s="8"/>
      <c r="E6" s="8"/>
      <c r="F6" s="8"/>
    </row>
    <row r="7" customFormat="false" ht="15" hidden="false" customHeight="true" outlineLevel="0" collapsed="false">
      <c r="B7" s="8" t="s">
        <v>1356</v>
      </c>
      <c r="C7" s="8"/>
      <c r="D7" s="8"/>
      <c r="E7" s="8"/>
      <c r="F7" s="8"/>
    </row>
    <row r="8" customFormat="false" ht="15" hidden="false" customHeight="true" outlineLevel="0" collapsed="false">
      <c r="B8" s="8" t="s">
        <v>1357</v>
      </c>
      <c r="C8" s="8"/>
      <c r="D8" s="8"/>
      <c r="E8" s="8"/>
      <c r="F8" s="8"/>
    </row>
    <row r="10" customFormat="false" ht="23.25" hidden="false" customHeight="true" outlineLevel="0" collapsed="false">
      <c r="B10" s="97" t="s">
        <v>1358</v>
      </c>
      <c r="C10" s="97" t="s">
        <v>1359</v>
      </c>
      <c r="D10" s="97" t="s">
        <v>1360</v>
      </c>
      <c r="E10" s="97" t="s">
        <v>1361</v>
      </c>
      <c r="F10" s="97" t="s">
        <v>1362</v>
      </c>
      <c r="G10" s="97" t="s">
        <v>1363</v>
      </c>
    </row>
    <row r="11" customFormat="false" ht="36" hidden="false" customHeight="true" outlineLevel="0" collapsed="false">
      <c r="B11" s="98" t="s">
        <v>1364</v>
      </c>
      <c r="C11" s="99" t="s">
        <v>702</v>
      </c>
      <c r="D11" s="99" t="s">
        <v>1365</v>
      </c>
      <c r="E11" s="99" t="s">
        <v>1366</v>
      </c>
      <c r="F11" s="99" t="s">
        <v>1367</v>
      </c>
      <c r="G11" s="99" t="s">
        <v>1368</v>
      </c>
    </row>
    <row r="12" customFormat="false" ht="36" hidden="false" customHeight="true" outlineLevel="0" collapsed="false">
      <c r="B12" s="98"/>
      <c r="C12" s="99" t="s">
        <v>1369</v>
      </c>
      <c r="D12" s="99" t="s">
        <v>1370</v>
      </c>
      <c r="E12" s="99" t="s">
        <v>1371</v>
      </c>
      <c r="F12" s="99" t="s">
        <v>1372</v>
      </c>
      <c r="G12" s="99" t="s">
        <v>1368</v>
      </c>
    </row>
    <row r="13" customFormat="false" ht="24" hidden="false" customHeight="true" outlineLevel="0" collapsed="false">
      <c r="B13" s="98"/>
      <c r="C13" s="99" t="s">
        <v>1373</v>
      </c>
      <c r="D13" s="99" t="s">
        <v>1374</v>
      </c>
      <c r="E13" s="99" t="s">
        <v>1375</v>
      </c>
      <c r="F13" s="99" t="s">
        <v>1376</v>
      </c>
      <c r="G13" s="99" t="s">
        <v>1368</v>
      </c>
    </row>
    <row r="14" customFormat="false" ht="24" hidden="false" customHeight="true" outlineLevel="0" collapsed="false">
      <c r="B14" s="98"/>
      <c r="C14" s="99" t="s">
        <v>706</v>
      </c>
      <c r="D14" s="99" t="s">
        <v>1377</v>
      </c>
      <c r="E14" s="99" t="s">
        <v>1378</v>
      </c>
      <c r="F14" s="99" t="s">
        <v>1379</v>
      </c>
      <c r="G14" s="99" t="s">
        <v>1368</v>
      </c>
    </row>
    <row r="15" customFormat="false" ht="60" hidden="false" customHeight="true" outlineLevel="0" collapsed="false">
      <c r="B15" s="98"/>
      <c r="C15" s="99" t="s">
        <v>746</v>
      </c>
      <c r="D15" s="99" t="s">
        <v>1380</v>
      </c>
      <c r="E15" s="99" t="s">
        <v>1375</v>
      </c>
      <c r="F15" s="99" t="s">
        <v>1381</v>
      </c>
      <c r="G15" s="99" t="s">
        <v>1368</v>
      </c>
    </row>
    <row r="16" customFormat="false" ht="36" hidden="false" customHeight="true" outlineLevel="0" collapsed="false">
      <c r="B16" s="98"/>
      <c r="C16" s="99" t="s">
        <v>1382</v>
      </c>
      <c r="D16" s="99" t="s">
        <v>1383</v>
      </c>
      <c r="E16" s="99" t="s">
        <v>1384</v>
      </c>
      <c r="F16" s="99" t="s">
        <v>1385</v>
      </c>
      <c r="G16" s="99" t="s">
        <v>1368</v>
      </c>
    </row>
    <row r="17" customFormat="false" ht="24" hidden="false" customHeight="true" outlineLevel="0" collapsed="false">
      <c r="B17" s="98"/>
      <c r="C17" s="99" t="s">
        <v>1386</v>
      </c>
      <c r="D17" s="99" t="s">
        <v>1387</v>
      </c>
      <c r="E17" s="99" t="s">
        <v>1388</v>
      </c>
      <c r="F17" s="99" t="s">
        <v>1389</v>
      </c>
      <c r="G17" s="99" t="s">
        <v>1368</v>
      </c>
    </row>
    <row r="18" customFormat="false" ht="24" hidden="false" customHeight="true" outlineLevel="0" collapsed="false">
      <c r="B18" s="98"/>
      <c r="C18" s="99" t="s">
        <v>1390</v>
      </c>
      <c r="D18" s="99" t="s">
        <v>1391</v>
      </c>
      <c r="E18" s="99" t="s">
        <v>1392</v>
      </c>
      <c r="F18" s="99" t="s">
        <v>1393</v>
      </c>
      <c r="G18" s="99" t="s">
        <v>1368</v>
      </c>
    </row>
    <row r="19" customFormat="false" ht="24" hidden="false" customHeight="true" outlineLevel="0" collapsed="false">
      <c r="B19" s="98"/>
      <c r="C19" s="99" t="s">
        <v>312</v>
      </c>
      <c r="D19" s="99" t="s">
        <v>1394</v>
      </c>
      <c r="E19" s="99" t="s">
        <v>1395</v>
      </c>
      <c r="F19" s="99" t="s">
        <v>1396</v>
      </c>
      <c r="G19" s="99" t="s">
        <v>1368</v>
      </c>
    </row>
    <row r="20" customFormat="false" ht="36" hidden="false" customHeight="true" outlineLevel="0" collapsed="false">
      <c r="B20" s="98" t="s">
        <v>1397</v>
      </c>
      <c r="C20" s="99" t="s">
        <v>1398</v>
      </c>
      <c r="D20" s="99" t="s">
        <v>1399</v>
      </c>
      <c r="E20" s="99" t="s">
        <v>1400</v>
      </c>
      <c r="F20" s="99" t="s">
        <v>1400</v>
      </c>
      <c r="G20" s="99" t="s">
        <v>1368</v>
      </c>
    </row>
    <row r="21" customFormat="false" ht="24" hidden="false" customHeight="true" outlineLevel="0" collapsed="false">
      <c r="B21" s="98" t="s">
        <v>1401</v>
      </c>
      <c r="C21" s="99" t="s">
        <v>1402</v>
      </c>
      <c r="D21" s="99" t="s">
        <v>1403</v>
      </c>
      <c r="E21" s="99" t="s">
        <v>1404</v>
      </c>
      <c r="F21" s="99" t="s">
        <v>1405</v>
      </c>
      <c r="G21" s="99" t="s">
        <v>1368</v>
      </c>
    </row>
    <row r="22" customFormat="false" ht="24" hidden="false" customHeight="true" outlineLevel="0" collapsed="false">
      <c r="B22" s="98"/>
      <c r="C22" s="99" t="s">
        <v>706</v>
      </c>
      <c r="D22" s="99" t="s">
        <v>1400</v>
      </c>
      <c r="E22" s="99" t="s">
        <v>1406</v>
      </c>
      <c r="F22" s="99" t="s">
        <v>1407</v>
      </c>
      <c r="G22" s="99" t="s">
        <v>1368</v>
      </c>
    </row>
    <row r="23" customFormat="false" ht="36" hidden="false" customHeight="true" outlineLevel="0" collapsed="false">
      <c r="B23" s="98" t="s">
        <v>1408</v>
      </c>
      <c r="C23" s="99" t="s">
        <v>1409</v>
      </c>
      <c r="D23" s="99" t="s">
        <v>1410</v>
      </c>
      <c r="E23" s="99" t="s">
        <v>1411</v>
      </c>
      <c r="F23" s="99" t="s">
        <v>1412</v>
      </c>
      <c r="G23" s="99" t="s">
        <v>1368</v>
      </c>
    </row>
    <row r="24" customFormat="false" ht="24" hidden="false" customHeight="true" outlineLevel="0" collapsed="false">
      <c r="B24" s="98"/>
      <c r="C24" s="99" t="s">
        <v>312</v>
      </c>
      <c r="D24" s="99" t="s">
        <v>1413</v>
      </c>
      <c r="E24" s="99" t="s">
        <v>313</v>
      </c>
      <c r="F24" s="99" t="s">
        <v>1414</v>
      </c>
      <c r="G24" s="99" t="s">
        <v>1368</v>
      </c>
    </row>
    <row r="25" customFormat="false" ht="24" hidden="false" customHeight="true" outlineLevel="0" collapsed="false">
      <c r="B25" s="98" t="s">
        <v>1415</v>
      </c>
      <c r="C25" s="99" t="s">
        <v>303</v>
      </c>
      <c r="D25" s="99" t="s">
        <v>1416</v>
      </c>
      <c r="E25" s="99" t="s">
        <v>1417</v>
      </c>
      <c r="F25" s="99" t="s">
        <v>1418</v>
      </c>
      <c r="G25" s="99" t="s">
        <v>1368</v>
      </c>
    </row>
    <row r="26" customFormat="false" ht="24" hidden="false" customHeight="true" outlineLevel="0" collapsed="false">
      <c r="B26" s="98"/>
      <c r="C26" s="99" t="s">
        <v>306</v>
      </c>
      <c r="D26" s="99" t="s">
        <v>1419</v>
      </c>
      <c r="E26" s="99" t="s">
        <v>1420</v>
      </c>
      <c r="F26" s="99" t="s">
        <v>1421</v>
      </c>
      <c r="G26" s="99" t="s">
        <v>1368</v>
      </c>
    </row>
    <row r="27" customFormat="false" ht="24" hidden="false" customHeight="true" outlineLevel="0" collapsed="false">
      <c r="B27" s="98"/>
      <c r="C27" s="99" t="s">
        <v>1422</v>
      </c>
      <c r="D27" s="99" t="s">
        <v>1423</v>
      </c>
      <c r="E27" s="99" t="s">
        <v>1424</v>
      </c>
      <c r="F27" s="99" t="s">
        <v>1425</v>
      </c>
      <c r="G27" s="99" t="s">
        <v>1368</v>
      </c>
    </row>
    <row r="28" customFormat="false" ht="24" hidden="false" customHeight="true" outlineLevel="0" collapsed="false">
      <c r="B28" s="98"/>
      <c r="C28" s="99" t="s">
        <v>308</v>
      </c>
      <c r="D28" s="99" t="s">
        <v>1426</v>
      </c>
      <c r="E28" s="99" t="s">
        <v>1427</v>
      </c>
      <c r="F28" s="99" t="s">
        <v>1428</v>
      </c>
      <c r="G28" s="99" t="s">
        <v>1368</v>
      </c>
    </row>
    <row r="29" customFormat="false" ht="24" hidden="false" customHeight="true" outlineLevel="0" collapsed="false">
      <c r="B29" s="98"/>
      <c r="C29" s="99" t="s">
        <v>310</v>
      </c>
      <c r="D29" s="99" t="s">
        <v>1429</v>
      </c>
      <c r="E29" s="99" t="s">
        <v>1375</v>
      </c>
      <c r="F29" s="99" t="s">
        <v>1430</v>
      </c>
      <c r="G29" s="99" t="s">
        <v>1368</v>
      </c>
    </row>
    <row r="30" customFormat="false" ht="24" hidden="false" customHeight="true" outlineLevel="0" collapsed="false">
      <c r="B30" s="98"/>
      <c r="C30" s="99" t="s">
        <v>312</v>
      </c>
      <c r="D30" s="99" t="s">
        <v>1431</v>
      </c>
      <c r="E30" s="99" t="s">
        <v>1432</v>
      </c>
      <c r="F30" s="99" t="s">
        <v>1414</v>
      </c>
      <c r="G30" s="99" t="s">
        <v>1368</v>
      </c>
    </row>
    <row r="31" customFormat="false" ht="24" hidden="false" customHeight="true" outlineLevel="0" collapsed="false">
      <c r="B31" s="98" t="s">
        <v>1433</v>
      </c>
      <c r="C31" s="99" t="s">
        <v>1434</v>
      </c>
      <c r="D31" s="99" t="s">
        <v>1435</v>
      </c>
      <c r="E31" s="99" t="s">
        <v>1436</v>
      </c>
      <c r="F31" s="99" t="s">
        <v>1437</v>
      </c>
      <c r="G31" s="99" t="s">
        <v>1368</v>
      </c>
    </row>
    <row r="32" customFormat="false" ht="24" hidden="false" customHeight="true" outlineLevel="0" collapsed="false">
      <c r="B32" s="98" t="s">
        <v>1438</v>
      </c>
      <c r="C32" s="99" t="s">
        <v>626</v>
      </c>
      <c r="D32" s="99" t="s">
        <v>1439</v>
      </c>
      <c r="E32" s="99" t="s">
        <v>1375</v>
      </c>
      <c r="F32" s="99" t="s">
        <v>1440</v>
      </c>
      <c r="G32" s="99" t="s">
        <v>1368</v>
      </c>
    </row>
    <row r="33" customFormat="false" ht="24" hidden="false" customHeight="true" outlineLevel="0" collapsed="false">
      <c r="B33" s="98"/>
      <c r="C33" s="99" t="s">
        <v>956</v>
      </c>
      <c r="D33" s="99" t="s">
        <v>1441</v>
      </c>
      <c r="E33" s="99" t="s">
        <v>1375</v>
      </c>
      <c r="F33" s="99" t="s">
        <v>1442</v>
      </c>
      <c r="G33" s="99" t="s">
        <v>1368</v>
      </c>
    </row>
    <row r="34" customFormat="false" ht="24" hidden="false" customHeight="true" outlineLevel="0" collapsed="false">
      <c r="B34" s="98"/>
      <c r="C34" s="99" t="s">
        <v>1390</v>
      </c>
      <c r="D34" s="99" t="s">
        <v>1443</v>
      </c>
      <c r="E34" s="99" t="s">
        <v>1444</v>
      </c>
      <c r="F34" s="99" t="s">
        <v>1445</v>
      </c>
      <c r="G34" s="99" t="s">
        <v>1368</v>
      </c>
    </row>
    <row r="35" customFormat="false" ht="24" hidden="false" customHeight="true" outlineLevel="0" collapsed="false">
      <c r="B35" s="98"/>
      <c r="C35" s="99" t="s">
        <v>1446</v>
      </c>
      <c r="D35" s="99" t="s">
        <v>1447</v>
      </c>
      <c r="E35" s="99" t="s">
        <v>1448</v>
      </c>
      <c r="F35" s="99" t="s">
        <v>1449</v>
      </c>
      <c r="G35" s="99" t="s">
        <v>1368</v>
      </c>
    </row>
    <row r="36" customFormat="false" ht="24" hidden="false" customHeight="true" outlineLevel="0" collapsed="false">
      <c r="B36" s="98"/>
      <c r="C36" s="99" t="s">
        <v>312</v>
      </c>
      <c r="D36" s="99" t="s">
        <v>1450</v>
      </c>
      <c r="E36" s="99" t="s">
        <v>313</v>
      </c>
      <c r="F36" s="99" t="s">
        <v>1414</v>
      </c>
      <c r="G36" s="99" t="s">
        <v>1368</v>
      </c>
    </row>
    <row r="37" customFormat="false" ht="24" hidden="false" customHeight="true" outlineLevel="0" collapsed="false">
      <c r="B37" s="98" t="s">
        <v>1451</v>
      </c>
      <c r="C37" s="99" t="s">
        <v>1452</v>
      </c>
      <c r="D37" s="99" t="s">
        <v>1453</v>
      </c>
      <c r="E37" s="99" t="s">
        <v>1375</v>
      </c>
      <c r="F37" s="99" t="s">
        <v>1454</v>
      </c>
      <c r="G37" s="99" t="s">
        <v>1368</v>
      </c>
    </row>
    <row r="38" customFormat="false" ht="24" hidden="false" customHeight="true" outlineLevel="0" collapsed="false">
      <c r="B38" s="98"/>
      <c r="C38" s="99" t="s">
        <v>1455</v>
      </c>
      <c r="D38" s="99" t="s">
        <v>1456</v>
      </c>
      <c r="E38" s="99" t="s">
        <v>1457</v>
      </c>
      <c r="F38" s="99" t="s">
        <v>1458</v>
      </c>
      <c r="G38" s="99" t="s">
        <v>1368</v>
      </c>
    </row>
    <row r="39" customFormat="false" ht="24" hidden="false" customHeight="true" outlineLevel="0" collapsed="false">
      <c r="B39" s="98" t="s">
        <v>1459</v>
      </c>
      <c r="C39" s="99" t="s">
        <v>1460</v>
      </c>
      <c r="D39" s="99" t="s">
        <v>1461</v>
      </c>
      <c r="E39" s="99" t="s">
        <v>1462</v>
      </c>
      <c r="F39" s="99" t="s">
        <v>1463</v>
      </c>
      <c r="G39" s="99" t="s">
        <v>1368</v>
      </c>
    </row>
    <row r="40" customFormat="false" ht="24" hidden="false" customHeight="true" outlineLevel="0" collapsed="false">
      <c r="B40" s="98"/>
      <c r="C40" s="99" t="s">
        <v>1464</v>
      </c>
      <c r="D40" s="99" t="s">
        <v>1465</v>
      </c>
      <c r="E40" s="99" t="s">
        <v>218</v>
      </c>
      <c r="F40" s="99" t="s">
        <v>1466</v>
      </c>
      <c r="G40" s="99" t="s">
        <v>1368</v>
      </c>
    </row>
    <row r="41" customFormat="false" ht="24" hidden="false" customHeight="true" outlineLevel="0" collapsed="false">
      <c r="B41" s="98"/>
      <c r="C41" s="99" t="s">
        <v>1467</v>
      </c>
      <c r="D41" s="99" t="s">
        <v>1468</v>
      </c>
      <c r="E41" s="99" t="s">
        <v>218</v>
      </c>
      <c r="F41" s="99" t="s">
        <v>1469</v>
      </c>
      <c r="G41" s="99" t="s">
        <v>1368</v>
      </c>
    </row>
    <row r="42" customFormat="false" ht="24" hidden="false" customHeight="true" outlineLevel="0" collapsed="false">
      <c r="B42" s="98"/>
      <c r="C42" s="99" t="s">
        <v>1470</v>
      </c>
      <c r="D42" s="99" t="s">
        <v>1471</v>
      </c>
      <c r="E42" s="99" t="s">
        <v>1472</v>
      </c>
      <c r="F42" s="99" t="s">
        <v>1414</v>
      </c>
      <c r="G42" s="99" t="s">
        <v>1368</v>
      </c>
    </row>
    <row r="43" customFormat="false" ht="24" hidden="false" customHeight="true" outlineLevel="0" collapsed="false">
      <c r="B43" s="98" t="s">
        <v>1473</v>
      </c>
      <c r="C43" s="99" t="s">
        <v>1474</v>
      </c>
      <c r="D43" s="99" t="s">
        <v>1475</v>
      </c>
      <c r="E43" s="99" t="s">
        <v>1375</v>
      </c>
      <c r="F43" s="99" t="s">
        <v>1463</v>
      </c>
      <c r="G43" s="99" t="s">
        <v>1368</v>
      </c>
    </row>
    <row r="44" customFormat="false" ht="24" hidden="false" customHeight="true" outlineLevel="0" collapsed="false">
      <c r="B44" s="98"/>
      <c r="C44" s="99" t="s">
        <v>1476</v>
      </c>
      <c r="D44" s="99" t="s">
        <v>1477</v>
      </c>
      <c r="E44" s="99" t="s">
        <v>1375</v>
      </c>
      <c r="F44" s="99" t="s">
        <v>1478</v>
      </c>
      <c r="G44" s="99" t="s">
        <v>1368</v>
      </c>
    </row>
    <row r="45" customFormat="false" ht="24" hidden="false" customHeight="true" outlineLevel="0" collapsed="false">
      <c r="B45" s="98"/>
      <c r="C45" s="99" t="s">
        <v>1479</v>
      </c>
      <c r="D45" s="99" t="s">
        <v>1480</v>
      </c>
      <c r="E45" s="99" t="s">
        <v>218</v>
      </c>
      <c r="F45" s="99" t="s">
        <v>1481</v>
      </c>
      <c r="G45" s="99" t="s">
        <v>1368</v>
      </c>
    </row>
    <row r="46" customFormat="false" ht="24" hidden="false" customHeight="true" outlineLevel="0" collapsed="false">
      <c r="B46" s="98"/>
      <c r="C46" s="99" t="s">
        <v>1482</v>
      </c>
      <c r="D46" s="99" t="s">
        <v>1483</v>
      </c>
      <c r="E46" s="99" t="s">
        <v>1484</v>
      </c>
      <c r="F46" s="99" t="s">
        <v>1414</v>
      </c>
      <c r="G46" s="99" t="s">
        <v>1368</v>
      </c>
    </row>
    <row r="47" customFormat="false" ht="24" hidden="false" customHeight="true" outlineLevel="0" collapsed="false">
      <c r="B47" s="98" t="s">
        <v>1485</v>
      </c>
      <c r="C47" s="99" t="s">
        <v>1235</v>
      </c>
      <c r="D47" s="99" t="s">
        <v>1486</v>
      </c>
      <c r="E47" s="99" t="s">
        <v>1375</v>
      </c>
      <c r="F47" s="99" t="s">
        <v>1487</v>
      </c>
      <c r="G47" s="99" t="s">
        <v>1368</v>
      </c>
    </row>
    <row r="48" customFormat="false" ht="24" hidden="false" customHeight="true" outlineLevel="0" collapsed="false">
      <c r="B48" s="98"/>
      <c r="C48" s="99" t="s">
        <v>1488</v>
      </c>
      <c r="D48" s="99" t="s">
        <v>1489</v>
      </c>
      <c r="E48" s="99" t="s">
        <v>1490</v>
      </c>
      <c r="F48" s="99" t="s">
        <v>1491</v>
      </c>
      <c r="G48" s="99" t="s">
        <v>1368</v>
      </c>
    </row>
    <row r="49" customFormat="false" ht="24" hidden="false" customHeight="true" outlineLevel="0" collapsed="false">
      <c r="B49" s="98"/>
      <c r="C49" s="99" t="s">
        <v>1492</v>
      </c>
      <c r="D49" s="99" t="s">
        <v>1493</v>
      </c>
      <c r="E49" s="99" t="s">
        <v>1375</v>
      </c>
      <c r="F49" s="99" t="s">
        <v>1494</v>
      </c>
      <c r="G49" s="99" t="s">
        <v>1368</v>
      </c>
    </row>
    <row r="50" customFormat="false" ht="24" hidden="false" customHeight="true" outlineLevel="0" collapsed="false">
      <c r="B50" s="98" t="s">
        <v>1495</v>
      </c>
      <c r="C50" s="99" t="s">
        <v>1235</v>
      </c>
      <c r="D50" s="99" t="s">
        <v>1496</v>
      </c>
      <c r="E50" s="99" t="s">
        <v>1375</v>
      </c>
      <c r="F50" s="99" t="s">
        <v>1497</v>
      </c>
      <c r="G50" s="99" t="s">
        <v>1368</v>
      </c>
    </row>
    <row r="51" customFormat="false" ht="24" hidden="false" customHeight="true" outlineLevel="0" collapsed="false">
      <c r="B51" s="98"/>
      <c r="C51" s="99" t="s">
        <v>1498</v>
      </c>
      <c r="D51" s="99" t="s">
        <v>1499</v>
      </c>
      <c r="E51" s="99" t="s">
        <v>1500</v>
      </c>
      <c r="F51" s="99" t="s">
        <v>1501</v>
      </c>
      <c r="G51" s="99" t="s">
        <v>1368</v>
      </c>
    </row>
    <row r="52" customFormat="false" ht="24" hidden="false" customHeight="true" outlineLevel="0" collapsed="false">
      <c r="B52" s="98"/>
      <c r="C52" s="99" t="s">
        <v>1502</v>
      </c>
      <c r="D52" s="99" t="s">
        <v>1503</v>
      </c>
      <c r="E52" s="99" t="s">
        <v>1504</v>
      </c>
      <c r="F52" s="99" t="s">
        <v>1505</v>
      </c>
      <c r="G52" s="99" t="s">
        <v>1368</v>
      </c>
    </row>
    <row r="54" customFormat="false" ht="15" hidden="false" customHeight="true" outlineLevel="0" collapsed="false">
      <c r="B54" s="100" t="s">
        <v>1506</v>
      </c>
    </row>
    <row r="55" customFormat="false" ht="15" hidden="false" customHeight="true" outlineLevel="0" collapsed="false">
      <c r="B55" s="12" t="s">
        <v>1507</v>
      </c>
      <c r="D55" s="101" t="s">
        <v>1508</v>
      </c>
    </row>
    <row r="56" customFormat="false" ht="15" hidden="false" customHeight="true" outlineLevel="0" collapsed="false">
      <c r="B56" s="12" t="s">
        <v>1509</v>
      </c>
      <c r="D56" s="101" t="s">
        <v>1510</v>
      </c>
    </row>
    <row r="57" customFormat="false" ht="15" hidden="false" customHeight="true" outlineLevel="0" collapsed="false">
      <c r="B57" s="12" t="s">
        <v>1511</v>
      </c>
      <c r="D57" s="101" t="s">
        <v>1512</v>
      </c>
    </row>
    <row r="58" customFormat="false" ht="15" hidden="false" customHeight="true" outlineLevel="0" collapsed="false">
      <c r="B58" s="12" t="s">
        <v>1513</v>
      </c>
      <c r="D58" s="101" t="s">
        <v>1514</v>
      </c>
    </row>
    <row r="59" customFormat="false" ht="15" hidden="false" customHeight="true" outlineLevel="0" collapsed="false">
      <c r="B59" s="12" t="s">
        <v>1515</v>
      </c>
      <c r="D59" s="101" t="s">
        <v>1516</v>
      </c>
    </row>
    <row r="60" customFormat="false" ht="15" hidden="false" customHeight="true" outlineLevel="0" collapsed="false">
      <c r="B60" s="12" t="s">
        <v>1517</v>
      </c>
      <c r="D60" s="102" t="s">
        <v>1518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G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35" hidden="false" customHeight="false" outlineLevel="0" collapsed="false">
      <c r="B1" s="103" t="s">
        <v>1519</v>
      </c>
    </row>
    <row r="2" customFormat="false" ht="48" hidden="false" customHeight="true" outlineLevel="0" collapsed="false">
      <c r="B2" s="104" t="s">
        <v>1520</v>
      </c>
      <c r="C2" s="104"/>
      <c r="D2" s="104"/>
      <c r="E2" s="104"/>
      <c r="F2" s="104"/>
      <c r="G2" s="104"/>
    </row>
    <row r="4" customFormat="false" ht="15" hidden="false" customHeight="false" outlineLevel="0" collapsed="false">
      <c r="B4" s="105" t="s">
        <v>1521</v>
      </c>
    </row>
    <row r="5" customFormat="false" ht="15" hidden="false" customHeight="false" outlineLevel="0" collapsed="false">
      <c r="B5" s="106" t="s">
        <v>1522</v>
      </c>
      <c r="C5" s="106" t="s">
        <v>1523</v>
      </c>
      <c r="D5" s="106" t="s">
        <v>1524</v>
      </c>
      <c r="E5" s="106" t="s">
        <v>1525</v>
      </c>
      <c r="F5" s="106" t="s">
        <v>1526</v>
      </c>
    </row>
    <row r="6" customFormat="false" ht="15" hidden="false" customHeight="false" outlineLevel="0" collapsed="false">
      <c r="B6" s="1" t="s">
        <v>1527</v>
      </c>
      <c r="C6" s="107"/>
      <c r="D6" s="108"/>
      <c r="E6" s="108"/>
      <c r="F6" s="109"/>
    </row>
    <row r="7" customFormat="false" ht="15" hidden="false" customHeight="false" outlineLevel="0" collapsed="false">
      <c r="B7" s="1" t="s">
        <v>1528</v>
      </c>
      <c r="C7" s="107"/>
      <c r="D7" s="108"/>
      <c r="E7" s="108"/>
      <c r="F7" s="109"/>
    </row>
    <row r="8" customFormat="false" ht="15" hidden="false" customHeight="false" outlineLevel="0" collapsed="false">
      <c r="B8" s="1" t="s">
        <v>1529</v>
      </c>
      <c r="C8" s="107"/>
      <c r="D8" s="108"/>
      <c r="E8" s="108"/>
      <c r="F8" s="109"/>
    </row>
    <row r="9" customFormat="false" ht="15" hidden="false" customHeight="false" outlineLevel="0" collapsed="false">
      <c r="B9" s="1" t="s">
        <v>1530</v>
      </c>
      <c r="C9" s="107"/>
      <c r="D9" s="108"/>
      <c r="E9" s="108"/>
      <c r="F9" s="109"/>
    </row>
    <row r="10" customFormat="false" ht="15" hidden="false" customHeight="false" outlineLevel="0" collapsed="false">
      <c r="B10" s="1" t="s">
        <v>1531</v>
      </c>
      <c r="C10" s="107"/>
      <c r="D10" s="108"/>
      <c r="E10" s="108"/>
      <c r="F10" s="109"/>
    </row>
    <row r="11" customFormat="false" ht="15" hidden="false" customHeight="false" outlineLevel="0" collapsed="false">
      <c r="B11" s="1" t="s">
        <v>1532</v>
      </c>
      <c r="C11" s="107"/>
      <c r="D11" s="108"/>
      <c r="E11" s="108"/>
      <c r="F11" s="109"/>
    </row>
    <row r="12" customFormat="false" ht="15" hidden="false" customHeight="false" outlineLevel="0" collapsed="false">
      <c r="B12" s="1" t="s">
        <v>1533</v>
      </c>
      <c r="C12" s="107"/>
      <c r="D12" s="108"/>
      <c r="E12" s="108"/>
      <c r="F12" s="109"/>
    </row>
    <row r="13" customFormat="false" ht="15" hidden="false" customHeight="false" outlineLevel="0" collapsed="false">
      <c r="B13" s="1" t="s">
        <v>1534</v>
      </c>
      <c r="C13" s="107"/>
      <c r="D13" s="108"/>
      <c r="E13" s="108"/>
      <c r="F13" s="109"/>
    </row>
    <row r="15" customFormat="false" ht="15" hidden="false" customHeight="false" outlineLevel="0" collapsed="false">
      <c r="B15" s="105" t="s">
        <v>1535</v>
      </c>
      <c r="D15" s="110" t="n">
        <f aca="false">SUM(D6:D13)</f>
        <v>0</v>
      </c>
    </row>
    <row r="16" customFormat="false" ht="15" hidden="false" customHeight="false" outlineLevel="0" collapsed="false">
      <c r="B16" s="1" t="s">
        <v>1536</v>
      </c>
      <c r="D16" s="110" t="n">
        <f aca="false">SUM(E6:E13)</f>
        <v>0</v>
      </c>
    </row>
    <row r="17" customFormat="false" ht="15" hidden="false" customHeight="false" outlineLevel="0" collapsed="false">
      <c r="B17" s="1" t="s">
        <v>1537</v>
      </c>
      <c r="D17" s="111" t="str">
        <f aca="false">IF(COUNT(F6:F13)=0,"",SUMPRODUCT(F6:F13,(D6:D13&gt;0)*D6:D13+(1-(D6:D13&gt;0)))/SUMPRODUCT((F6:F13&lt;&gt;"")*((D6:D13&gt;0)*D6:D13+(1-(D6:D13&gt;0)))))</f>
        <v/>
      </c>
    </row>
    <row r="19" customFormat="false" ht="15" hidden="false" customHeight="false" outlineLevel="0" collapsed="false">
      <c r="B19" s="105" t="s">
        <v>1538</v>
      </c>
    </row>
    <row r="20" customFormat="false" ht="15" hidden="false" customHeight="false" outlineLevel="0" collapsed="false">
      <c r="B20" s="106" t="s">
        <v>1539</v>
      </c>
      <c r="C20" s="106" t="s">
        <v>1523</v>
      </c>
      <c r="D20" s="106" t="s">
        <v>1524</v>
      </c>
      <c r="E20" s="106" t="s">
        <v>1525</v>
      </c>
      <c r="F20" s="106" t="s">
        <v>1526</v>
      </c>
    </row>
    <row r="21" customFormat="false" ht="15" hidden="false" customHeight="false" outlineLevel="0" collapsed="false">
      <c r="B21" s="1" t="s">
        <v>1540</v>
      </c>
      <c r="C21" s="107"/>
      <c r="D21" s="108"/>
      <c r="E21" s="108"/>
      <c r="F21" s="109"/>
    </row>
    <row r="22" customFormat="false" ht="15" hidden="false" customHeight="false" outlineLevel="0" collapsed="false">
      <c r="B22" s="1" t="s">
        <v>1541</v>
      </c>
      <c r="C22" s="107"/>
      <c r="D22" s="108"/>
      <c r="E22" s="108"/>
      <c r="F22" s="109"/>
    </row>
    <row r="23" customFormat="false" ht="15" hidden="false" customHeight="false" outlineLevel="0" collapsed="false">
      <c r="B23" s="1" t="s">
        <v>1542</v>
      </c>
      <c r="C23" s="107"/>
      <c r="D23" s="108"/>
      <c r="E23" s="108"/>
      <c r="F23" s="109"/>
    </row>
    <row r="24" customFormat="false" ht="15" hidden="false" customHeight="false" outlineLevel="0" collapsed="false">
      <c r="B24" s="1" t="s">
        <v>1543</v>
      </c>
      <c r="C24" s="107"/>
      <c r="D24" s="108"/>
      <c r="E24" s="108"/>
      <c r="F24" s="109"/>
    </row>
    <row r="25" customFormat="false" ht="15" hidden="false" customHeight="false" outlineLevel="0" collapsed="false">
      <c r="B25" s="1" t="s">
        <v>1544</v>
      </c>
      <c r="C25" s="107"/>
      <c r="D25" s="108"/>
      <c r="E25" s="108"/>
      <c r="F25" s="109"/>
    </row>
    <row r="26" customFormat="false" ht="15" hidden="false" customHeight="false" outlineLevel="0" collapsed="false">
      <c r="B26" s="1" t="s">
        <v>1545</v>
      </c>
      <c r="C26" s="107"/>
      <c r="D26" s="108"/>
      <c r="E26" s="108"/>
      <c r="F26" s="109"/>
    </row>
    <row r="27" customFormat="false" ht="15" hidden="false" customHeight="false" outlineLevel="0" collapsed="false">
      <c r="B27" s="1" t="s">
        <v>1546</v>
      </c>
      <c r="C27" s="107"/>
      <c r="D27" s="108"/>
      <c r="E27" s="108"/>
      <c r="F27" s="109"/>
    </row>
    <row r="28" customFormat="false" ht="15" hidden="false" customHeight="false" outlineLevel="0" collapsed="false">
      <c r="B28" s="1" t="s">
        <v>1547</v>
      </c>
      <c r="C28" s="107"/>
      <c r="D28" s="108"/>
      <c r="E28" s="108"/>
      <c r="F28" s="109"/>
    </row>
    <row r="30" customFormat="false" ht="15" hidden="false" customHeight="false" outlineLevel="0" collapsed="false">
      <c r="B30" s="1" t="s">
        <v>1548</v>
      </c>
      <c r="D30" s="110" t="n">
        <f aca="false">SUM(D21:D28)</f>
        <v>0</v>
      </c>
    </row>
    <row r="31" customFormat="false" ht="15" hidden="false" customHeight="false" outlineLevel="0" collapsed="false">
      <c r="B31" s="1" t="s">
        <v>1549</v>
      </c>
      <c r="D31" s="110" t="n">
        <f aca="false">SUM(E21:E28)</f>
        <v>0</v>
      </c>
    </row>
    <row r="32" customFormat="false" ht="15" hidden="false" customHeight="false" outlineLevel="0" collapsed="false">
      <c r="B32" s="1" t="s">
        <v>1550</v>
      </c>
      <c r="D32" s="110" t="n">
        <f aca="false">Cards_Owed_Total+Loans_Owed_Total</f>
        <v>0</v>
      </c>
    </row>
    <row r="33" customFormat="false" ht="15" hidden="false" customHeight="false" outlineLevel="0" collapsed="false">
      <c r="B33" s="1" t="s">
        <v>1551</v>
      </c>
      <c r="D33" s="110" t="n">
        <f aca="false">Cards_Pay_Total+Loans_Pay_Total</f>
        <v>0</v>
      </c>
    </row>
    <row r="35" customFormat="false" ht="15" hidden="false" customHeight="false" outlineLevel="0" collapsed="false">
      <c r="B35" s="105" t="s">
        <v>1161</v>
      </c>
    </row>
    <row r="36" customFormat="false" ht="28.35" hidden="false" customHeight="false" outlineLevel="0" collapsed="false">
      <c r="B36" s="106" t="s">
        <v>1552</v>
      </c>
      <c r="C36" s="106" t="s">
        <v>1553</v>
      </c>
      <c r="D36" s="106" t="s">
        <v>1554</v>
      </c>
      <c r="E36" s="106" t="s">
        <v>1555</v>
      </c>
      <c r="F36" s="106" t="s">
        <v>1556</v>
      </c>
      <c r="G36" s="106" t="s">
        <v>1557</v>
      </c>
    </row>
    <row r="37" customFormat="false" ht="15" hidden="false" customHeight="false" outlineLevel="0" collapsed="false">
      <c r="B37" s="1" t="s">
        <v>1558</v>
      </c>
      <c r="C37" s="107"/>
      <c r="D37" s="108"/>
      <c r="E37" s="108"/>
      <c r="F37" s="108"/>
      <c r="G37" s="112" t="str">
        <f aca="false">IF(E37="","",IF(F37&lt;&gt;"",MIN(F37,E37),E37*Set_ownShare))</f>
        <v/>
      </c>
    </row>
    <row r="38" customFormat="false" ht="15" hidden="false" customHeight="false" outlineLevel="0" collapsed="false">
      <c r="B38" s="1" t="s">
        <v>1559</v>
      </c>
      <c r="C38" s="107"/>
      <c r="D38" s="108"/>
      <c r="E38" s="108"/>
      <c r="F38" s="108"/>
      <c r="G38" s="112" t="str">
        <f aca="false">IF(E38="","",IF(F38&lt;&gt;"",MIN(F38,E38),E38*Set_ownShare))</f>
        <v/>
      </c>
    </row>
    <row r="39" customFormat="false" ht="15" hidden="false" customHeight="false" outlineLevel="0" collapsed="false">
      <c r="B39" s="1" t="s">
        <v>1560</v>
      </c>
      <c r="C39" s="107"/>
      <c r="D39" s="108"/>
      <c r="E39" s="108"/>
      <c r="F39" s="108"/>
      <c r="G39" s="112" t="str">
        <f aca="false">IF(E39="","",IF(F39&lt;&gt;"",MIN(F39,E39),E39*Set_ownShare))</f>
        <v/>
      </c>
    </row>
    <row r="40" customFormat="false" ht="15" hidden="false" customHeight="false" outlineLevel="0" collapsed="false">
      <c r="B40" s="1" t="s">
        <v>1561</v>
      </c>
      <c r="C40" s="107"/>
      <c r="D40" s="108"/>
      <c r="E40" s="108"/>
      <c r="F40" s="108"/>
      <c r="G40" s="112" t="str">
        <f aca="false">IF(E40="","",IF(F40&lt;&gt;"",MIN(F40,E40),E40*Set_ownShare))</f>
        <v/>
      </c>
    </row>
    <row r="41" customFormat="false" ht="15" hidden="false" customHeight="false" outlineLevel="0" collapsed="false">
      <c r="B41" s="1" t="s">
        <v>1562</v>
      </c>
      <c r="C41" s="107"/>
      <c r="D41" s="108"/>
      <c r="E41" s="108"/>
      <c r="F41" s="108"/>
      <c r="G41" s="112" t="str">
        <f aca="false">IF(E41="","",IF(F41&lt;&gt;"",MIN(F41,E41),E41*Set_ownShare))</f>
        <v/>
      </c>
    </row>
    <row r="42" customFormat="false" ht="15" hidden="false" customHeight="false" outlineLevel="0" collapsed="false">
      <c r="B42" s="1" t="s">
        <v>1563</v>
      </c>
      <c r="C42" s="107"/>
      <c r="D42" s="108"/>
      <c r="E42" s="108"/>
      <c r="F42" s="108"/>
      <c r="G42" s="112" t="str">
        <f aca="false">IF(E42="","",IF(F42&lt;&gt;"",MIN(F42,E42),E42*Set_ownShare))</f>
        <v/>
      </c>
    </row>
    <row r="43" customFormat="false" ht="15" hidden="false" customHeight="false" outlineLevel="0" collapsed="false">
      <c r="B43" s="1" t="s">
        <v>1564</v>
      </c>
      <c r="C43" s="107"/>
      <c r="D43" s="108"/>
      <c r="E43" s="108"/>
      <c r="F43" s="108"/>
      <c r="G43" s="112" t="str">
        <f aca="false">IF(E43="","",IF(F43&lt;&gt;"",MIN(F43,E43),E43*Set_ownShare))</f>
        <v/>
      </c>
    </row>
    <row r="44" customFormat="false" ht="15" hidden="false" customHeight="false" outlineLevel="0" collapsed="false">
      <c r="B44" s="1" t="s">
        <v>1565</v>
      </c>
      <c r="C44" s="107"/>
      <c r="D44" s="108"/>
      <c r="E44" s="108"/>
      <c r="F44" s="108"/>
      <c r="G44" s="112" t="str">
        <f aca="false">IF(E44="","",IF(F44&lt;&gt;"",MIN(F44,E44),E44*Set_ownShare))</f>
        <v/>
      </c>
    </row>
    <row r="46" customFormat="false" ht="15" hidden="false" customHeight="false" outlineLevel="0" collapsed="false">
      <c r="B46" s="1" t="s">
        <v>1566</v>
      </c>
      <c r="D46" s="110" t="n">
        <f aca="false">SUM(D37:D44)</f>
        <v>0</v>
      </c>
    </row>
    <row r="47" customFormat="false" ht="15" hidden="false" customHeight="false" outlineLevel="0" collapsed="false">
      <c r="B47" s="1" t="s">
        <v>1567</v>
      </c>
      <c r="D47" s="110" t="n">
        <f aca="false">SUM(E37:E44)</f>
        <v>0</v>
      </c>
    </row>
    <row r="48" customFormat="false" ht="15" hidden="false" customHeight="false" outlineLevel="0" collapsed="false">
      <c r="B48" s="1" t="s">
        <v>1568</v>
      </c>
      <c r="D48" s="110" t="n">
        <f aca="false">SUM(G37:G44)</f>
        <v>0</v>
      </c>
    </row>
    <row r="50" customFormat="false" ht="15" hidden="false" customHeight="false" outlineLevel="0" collapsed="false">
      <c r="B50" s="105" t="s">
        <v>1569</v>
      </c>
    </row>
    <row r="51" customFormat="false" ht="15" hidden="false" customHeight="false" outlineLevel="0" collapsed="false">
      <c r="B51" s="113" t="s">
        <v>1570</v>
      </c>
      <c r="C51" s="113" t="s">
        <v>1571</v>
      </c>
      <c r="D51" s="113" t="s">
        <v>1572</v>
      </c>
    </row>
    <row r="52" customFormat="false" ht="15" hidden="false" customHeight="false" outlineLevel="0" collapsed="false">
      <c r="B52" s="1" t="s">
        <v>1573</v>
      </c>
      <c r="C52" s="108"/>
      <c r="D52" s="107"/>
    </row>
    <row r="53" customFormat="false" ht="15" hidden="false" customHeight="false" outlineLevel="0" collapsed="false">
      <c r="B53" s="1" t="s">
        <v>1574</v>
      </c>
      <c r="C53" s="108"/>
      <c r="D53" s="107"/>
    </row>
    <row r="54" customFormat="false" ht="15" hidden="false" customHeight="false" outlineLevel="0" collapsed="false">
      <c r="B54" s="1" t="s">
        <v>1575</v>
      </c>
      <c r="C54" s="108"/>
      <c r="D54" s="107"/>
    </row>
    <row r="55" customFormat="false" ht="15" hidden="false" customHeight="false" outlineLevel="0" collapsed="false">
      <c r="B55" s="1" t="s">
        <v>1576</v>
      </c>
      <c r="C55" s="108"/>
      <c r="D55" s="107"/>
    </row>
    <row r="56" customFormat="false" ht="15" hidden="false" customHeight="false" outlineLevel="0" collapsed="false">
      <c r="B56" s="1" t="s">
        <v>1577</v>
      </c>
      <c r="D56" s="110" t="n">
        <f aca="false">SUM(C52:C55)</f>
        <v>0</v>
      </c>
    </row>
    <row r="57" customFormat="false" ht="15" hidden="false" customHeight="false" outlineLevel="0" collapsed="false">
      <c r="B57" s="113" t="s">
        <v>1570</v>
      </c>
      <c r="C57" s="113" t="s">
        <v>1578</v>
      </c>
      <c r="D57" s="113" t="s">
        <v>1579</v>
      </c>
    </row>
    <row r="58" customFormat="false" ht="15" hidden="false" customHeight="false" outlineLevel="0" collapsed="false">
      <c r="B58" s="1" t="s">
        <v>1580</v>
      </c>
      <c r="C58" s="108"/>
      <c r="D58" s="107"/>
    </row>
    <row r="59" customFormat="false" ht="15" hidden="false" customHeight="false" outlineLevel="0" collapsed="false">
      <c r="B59" s="1" t="s">
        <v>1581</v>
      </c>
      <c r="C59" s="108"/>
      <c r="D59" s="107"/>
    </row>
    <row r="60" customFormat="false" ht="15" hidden="false" customHeight="false" outlineLevel="0" collapsed="false">
      <c r="B60" s="1" t="s">
        <v>1582</v>
      </c>
      <c r="C60" s="108"/>
      <c r="D60" s="107"/>
    </row>
    <row r="61" customFormat="false" ht="15" hidden="false" customHeight="false" outlineLevel="0" collapsed="false">
      <c r="B61" s="1" t="s">
        <v>1583</v>
      </c>
      <c r="C61" s="108"/>
      <c r="D61" s="107"/>
    </row>
    <row r="62" customFormat="false" ht="15" hidden="false" customHeight="false" outlineLevel="0" collapsed="false">
      <c r="B62" s="1" t="s">
        <v>1584</v>
      </c>
      <c r="D62" s="110" t="n">
        <f aca="false">SUMPRODUCT((C58:C61&lt;&gt;"")*C58:C61)+IF(N('C21 Life cover'!$G$11)&gt;0,SUMPRODUCT((C58:C61="")*D58:D61)*N('C21 Life cover'!$G$11),0)</f>
        <v>0</v>
      </c>
    </row>
    <row r="63" customFormat="false" ht="15" hidden="false" customHeight="false" outlineLevel="0" collapsed="false">
      <c r="B63" s="1" t="s">
        <v>1585</v>
      </c>
      <c r="D63" s="110" t="n">
        <f aca="false">Cover_Life_Total+Cover_Work_Total</f>
        <v>0</v>
      </c>
    </row>
    <row r="64" customFormat="false" ht="15" hidden="false" customHeight="false" outlineLevel="0" collapsed="false">
      <c r="B64" s="113" t="s">
        <v>1570</v>
      </c>
      <c r="C64" s="113" t="s">
        <v>1586</v>
      </c>
      <c r="D64" s="113" t="s">
        <v>1572</v>
      </c>
    </row>
    <row r="65" customFormat="false" ht="15" hidden="false" customHeight="false" outlineLevel="0" collapsed="false">
      <c r="B65" s="1" t="s">
        <v>1587</v>
      </c>
      <c r="C65" s="108"/>
      <c r="D65" s="107"/>
    </row>
    <row r="66" customFormat="false" ht="15" hidden="false" customHeight="false" outlineLevel="0" collapsed="false">
      <c r="B66" s="1" t="s">
        <v>1588</v>
      </c>
      <c r="C66" s="108"/>
      <c r="D66" s="107"/>
    </row>
    <row r="67" customFormat="false" ht="15" hidden="false" customHeight="false" outlineLevel="0" collapsed="false">
      <c r="B67" s="1" t="s">
        <v>1589</v>
      </c>
      <c r="C67" s="108"/>
      <c r="D67" s="107"/>
    </row>
    <row r="68" customFormat="false" ht="15" hidden="false" customHeight="false" outlineLevel="0" collapsed="false">
      <c r="B68" s="1" t="s">
        <v>1590</v>
      </c>
      <c r="C68" s="108"/>
      <c r="D68" s="107"/>
    </row>
    <row r="69" customFormat="false" ht="15" hidden="false" customHeight="false" outlineLevel="0" collapsed="false">
      <c r="B69" s="1" t="s">
        <v>1591</v>
      </c>
      <c r="D69" s="110" t="n">
        <f aca="false">SUM(C65:C68)</f>
        <v>0</v>
      </c>
    </row>
    <row r="70" customFormat="false" ht="15" hidden="false" customHeight="false" outlineLevel="0" collapsed="false">
      <c r="B70" s="113" t="s">
        <v>1570</v>
      </c>
      <c r="C70" s="113" t="s">
        <v>1571</v>
      </c>
      <c r="D70" s="113" t="s">
        <v>1572</v>
      </c>
    </row>
    <row r="71" customFormat="false" ht="15" hidden="false" customHeight="false" outlineLevel="0" collapsed="false">
      <c r="B71" s="1" t="s">
        <v>1592</v>
      </c>
      <c r="C71" s="108"/>
      <c r="D71" s="107"/>
    </row>
    <row r="72" customFormat="false" ht="15" hidden="false" customHeight="false" outlineLevel="0" collapsed="false">
      <c r="B72" s="1" t="s">
        <v>1593</v>
      </c>
      <c r="C72" s="108"/>
      <c r="D72" s="107"/>
    </row>
    <row r="73" customFormat="false" ht="15" hidden="false" customHeight="false" outlineLevel="0" collapsed="false">
      <c r="B73" s="1" t="s">
        <v>1594</v>
      </c>
      <c r="C73" s="108"/>
      <c r="D73" s="107"/>
    </row>
    <row r="74" customFormat="false" ht="15" hidden="false" customHeight="false" outlineLevel="0" collapsed="false">
      <c r="B74" s="1" t="s">
        <v>1595</v>
      </c>
      <c r="C74" s="108"/>
      <c r="D74" s="107"/>
    </row>
    <row r="75" customFormat="false" ht="15" hidden="false" customHeight="false" outlineLevel="0" collapsed="false">
      <c r="B75" s="1" t="s">
        <v>1596</v>
      </c>
      <c r="D75" s="110" t="n">
        <f aca="false">SUM(C71:C74)</f>
        <v>0</v>
      </c>
    </row>
    <row r="76" customFormat="false" ht="15" hidden="false" customHeight="false" outlineLevel="0" collapsed="false">
      <c r="B76" s="113" t="s">
        <v>1597</v>
      </c>
      <c r="C76" s="113" t="s">
        <v>1598</v>
      </c>
    </row>
    <row r="77" customFormat="false" ht="15" hidden="false" customHeight="false" outlineLevel="0" collapsed="false">
      <c r="B77" s="1" t="s">
        <v>1599</v>
      </c>
      <c r="C77" s="108"/>
    </row>
    <row r="78" customFormat="false" ht="15" hidden="false" customHeight="false" outlineLevel="0" collapsed="false">
      <c r="B78" s="1" t="s">
        <v>1600</v>
      </c>
      <c r="C78" s="108"/>
    </row>
    <row r="79" customFormat="false" ht="15" hidden="false" customHeight="false" outlineLevel="0" collapsed="false">
      <c r="B79" s="1" t="s">
        <v>1601</v>
      </c>
      <c r="C79" s="108"/>
    </row>
    <row r="80" customFormat="false" ht="15" hidden="false" customHeight="false" outlineLevel="0" collapsed="false">
      <c r="B80" s="1" t="s">
        <v>1602</v>
      </c>
      <c r="C80" s="108"/>
    </row>
    <row r="81" customFormat="false" ht="15" hidden="false" customHeight="false" outlineLevel="0" collapsed="false">
      <c r="B81" s="1" t="s">
        <v>1603</v>
      </c>
      <c r="D81" s="110" t="n">
        <f aca="false">SUM(C77:C80)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35" hidden="false" customHeight="false" outlineLevel="0" collapsed="false">
      <c r="B1" s="103" t="s">
        <v>1604</v>
      </c>
    </row>
    <row r="2" customFormat="false" ht="75" hidden="false" customHeight="true" outlineLevel="0" collapsed="false">
      <c r="B2" s="104" t="s">
        <v>1605</v>
      </c>
      <c r="C2" s="104"/>
      <c r="D2" s="104"/>
      <c r="E2" s="104"/>
      <c r="F2" s="104"/>
      <c r="G2" s="104"/>
      <c r="H2" s="104"/>
      <c r="I2" s="104"/>
      <c r="J2" s="104"/>
      <c r="K2" s="104"/>
    </row>
    <row r="4" customFormat="false" ht="15" hidden="false" customHeight="false" outlineLevel="0" collapsed="false">
      <c r="B4" s="105" t="s">
        <v>1606</v>
      </c>
      <c r="C4" s="107"/>
    </row>
    <row r="6" customFormat="false" ht="82.05" hidden="false" customHeight="false" outlineLevel="0" collapsed="false">
      <c r="B6" s="114" t="s">
        <v>1607</v>
      </c>
      <c r="C6" s="114" t="s">
        <v>1608</v>
      </c>
      <c r="D6" s="114" t="s">
        <v>1609</v>
      </c>
      <c r="E6" s="114" t="s">
        <v>1610</v>
      </c>
      <c r="F6" s="114" t="s">
        <v>1611</v>
      </c>
      <c r="G6" s="114" t="s">
        <v>1612</v>
      </c>
      <c r="H6" s="114" t="s">
        <v>1613</v>
      </c>
      <c r="I6" s="114" t="s">
        <v>1614</v>
      </c>
      <c r="J6" s="114" t="s">
        <v>1615</v>
      </c>
      <c r="K6" s="114" t="s">
        <v>1616</v>
      </c>
      <c r="L6" s="113" t="s">
        <v>1617</v>
      </c>
      <c r="M6" s="113" t="s">
        <v>1618</v>
      </c>
    </row>
    <row r="7" customFormat="false" ht="15" hidden="false" customHeight="false" outlineLevel="0" collapsed="false">
      <c r="B7" s="115" t="s">
        <v>1619</v>
      </c>
    </row>
    <row r="8" customFormat="false" ht="15" hidden="false" customHeight="false" outlineLevel="0" collapsed="false">
      <c r="B8" s="1" t="s">
        <v>1620</v>
      </c>
      <c r="C8" s="109" t="n">
        <v>0.02</v>
      </c>
      <c r="G8" s="107" t="s">
        <v>1621</v>
      </c>
      <c r="H8" s="116" t="s">
        <v>1622</v>
      </c>
      <c r="I8" s="116" t="s">
        <v>1623</v>
      </c>
      <c r="J8" s="116"/>
      <c r="K8" s="116" t="s">
        <v>1624</v>
      </c>
    </row>
    <row r="9" customFormat="false" ht="15" hidden="false" customHeight="false" outlineLevel="0" collapsed="false">
      <c r="B9" s="1" t="s">
        <v>1625</v>
      </c>
      <c r="C9" s="109" t="n">
        <v>0.03</v>
      </c>
      <c r="F9" s="109" t="n">
        <v>0.025</v>
      </c>
      <c r="G9" s="107" t="s">
        <v>1626</v>
      </c>
      <c r="H9" s="116" t="s">
        <v>1627</v>
      </c>
      <c r="I9" s="116" t="s">
        <v>1628</v>
      </c>
      <c r="J9" s="116" t="s">
        <v>1629</v>
      </c>
      <c r="K9" s="116" t="s">
        <v>1624</v>
      </c>
    </row>
    <row r="10" customFormat="false" ht="15" hidden="false" customHeight="false" outlineLevel="0" collapsed="false">
      <c r="B10" s="1" t="s">
        <v>1630</v>
      </c>
      <c r="C10" s="109" t="n">
        <v>0.01</v>
      </c>
      <c r="F10" s="109" t="n">
        <v>0.007</v>
      </c>
      <c r="G10" s="107" t="s">
        <v>1631</v>
      </c>
      <c r="H10" s="116" t="s">
        <v>1632</v>
      </c>
      <c r="I10" s="116" t="s">
        <v>1633</v>
      </c>
      <c r="J10" s="116"/>
      <c r="K10" s="116" t="s">
        <v>1624</v>
      </c>
    </row>
    <row r="11" customFormat="false" ht="15" hidden="false" customHeight="false" outlineLevel="0" collapsed="false">
      <c r="B11" s="1" t="s">
        <v>1634</v>
      </c>
      <c r="C11" s="109" t="n">
        <v>0.035</v>
      </c>
      <c r="F11" s="109" t="n">
        <v>0.025</v>
      </c>
      <c r="G11" s="107" t="s">
        <v>1635</v>
      </c>
      <c r="H11" s="116" t="s">
        <v>1636</v>
      </c>
      <c r="I11" s="116" t="s">
        <v>1628</v>
      </c>
      <c r="J11" s="116" t="s">
        <v>1637</v>
      </c>
      <c r="K11" s="116" t="s">
        <v>1624</v>
      </c>
    </row>
    <row r="12" customFormat="false" ht="15" hidden="false" customHeight="false" outlineLevel="0" collapsed="false">
      <c r="B12" s="1" t="s">
        <v>1638</v>
      </c>
      <c r="C12" s="109" t="n">
        <v>0.05</v>
      </c>
      <c r="G12" s="107" t="s">
        <v>1639</v>
      </c>
      <c r="H12" s="116" t="s">
        <v>1636</v>
      </c>
      <c r="I12" s="116" t="s">
        <v>1628</v>
      </c>
      <c r="J12" s="116" t="s">
        <v>1640</v>
      </c>
      <c r="K12" s="116" t="s">
        <v>1624</v>
      </c>
    </row>
    <row r="13" customFormat="false" ht="15" hidden="false" customHeight="false" outlineLevel="0" collapsed="false">
      <c r="B13" s="1" t="s">
        <v>1641</v>
      </c>
      <c r="C13" s="109" t="n">
        <v>0.045</v>
      </c>
      <c r="F13" s="109" t="n">
        <v>0.04</v>
      </c>
      <c r="G13" s="107" t="s">
        <v>1642</v>
      </c>
      <c r="H13" s="116" t="s">
        <v>1643</v>
      </c>
      <c r="I13" s="116" t="s">
        <v>1628</v>
      </c>
      <c r="J13" s="116" t="s">
        <v>1644</v>
      </c>
      <c r="K13" s="116" t="s">
        <v>1624</v>
      </c>
    </row>
    <row r="14" customFormat="false" ht="15" hidden="false" customHeight="false" outlineLevel="0" collapsed="false">
      <c r="B14" s="1" t="s">
        <v>1645</v>
      </c>
      <c r="C14" s="109" t="n">
        <v>0.0315</v>
      </c>
      <c r="F14" s="109" t="n">
        <v>0.028</v>
      </c>
      <c r="G14" s="107" t="s">
        <v>1646</v>
      </c>
      <c r="H14" s="116" t="s">
        <v>1643</v>
      </c>
      <c r="I14" s="116" t="s">
        <v>1628</v>
      </c>
      <c r="J14" s="116" t="s">
        <v>1647</v>
      </c>
      <c r="K14" s="116" t="s">
        <v>1624</v>
      </c>
    </row>
    <row r="15" customFormat="false" ht="15" hidden="false" customHeight="false" outlineLevel="0" collapsed="false">
      <c r="B15" s="115" t="s">
        <v>1648</v>
      </c>
    </row>
    <row r="16" customFormat="false" ht="15" hidden="false" customHeight="false" outlineLevel="0" collapsed="false">
      <c r="B16" s="1" t="s">
        <v>1649</v>
      </c>
      <c r="C16" s="109" t="n">
        <v>0.03</v>
      </c>
      <c r="G16" s="107" t="s">
        <v>1650</v>
      </c>
      <c r="H16" s="116" t="s">
        <v>1651</v>
      </c>
      <c r="I16" s="116" t="s">
        <v>1628</v>
      </c>
      <c r="J16" s="116" t="s">
        <v>1652</v>
      </c>
      <c r="K16" s="116" t="s">
        <v>1653</v>
      </c>
    </row>
    <row r="17" customFormat="false" ht="15" hidden="false" customHeight="false" outlineLevel="0" collapsed="false">
      <c r="B17" s="1" t="s">
        <v>1654</v>
      </c>
      <c r="C17" s="109" t="n">
        <v>0.02</v>
      </c>
      <c r="G17" s="107" t="s">
        <v>1655</v>
      </c>
      <c r="H17" s="116" t="s">
        <v>1651</v>
      </c>
      <c r="I17" s="116" t="s">
        <v>1628</v>
      </c>
      <c r="J17" s="116" t="s">
        <v>1656</v>
      </c>
      <c r="K17" s="116" t="s">
        <v>1653</v>
      </c>
    </row>
    <row r="18" customFormat="false" ht="15" hidden="false" customHeight="false" outlineLevel="0" collapsed="false">
      <c r="B18" s="1" t="s">
        <v>1657</v>
      </c>
      <c r="C18" s="109" t="n">
        <v>0.01</v>
      </c>
      <c r="G18" s="107" t="s">
        <v>1658</v>
      </c>
      <c r="H18" s="116" t="s">
        <v>1651</v>
      </c>
      <c r="I18" s="116" t="s">
        <v>1628</v>
      </c>
      <c r="J18" s="116"/>
      <c r="K18" s="116" t="s">
        <v>1653</v>
      </c>
    </row>
    <row r="19" customFormat="false" ht="15" hidden="false" customHeight="false" outlineLevel="0" collapsed="false">
      <c r="B19" s="115" t="s">
        <v>1659</v>
      </c>
    </row>
    <row r="20" customFormat="false" ht="15" hidden="false" customHeight="false" outlineLevel="0" collapsed="false">
      <c r="B20" s="1" t="s">
        <v>1660</v>
      </c>
      <c r="C20" s="109" t="n">
        <v>0.5</v>
      </c>
      <c r="G20" s="107" t="s">
        <v>1661</v>
      </c>
      <c r="H20" s="116" t="s">
        <v>1662</v>
      </c>
      <c r="I20" s="116" t="s">
        <v>1628</v>
      </c>
      <c r="J20" s="116" t="s">
        <v>1663</v>
      </c>
      <c r="K20" s="116" t="s">
        <v>1664</v>
      </c>
    </row>
    <row r="21" customFormat="false" ht="15" hidden="false" customHeight="false" outlineLevel="0" collapsed="false">
      <c r="B21" s="1" t="s">
        <v>1665</v>
      </c>
      <c r="C21" s="107" t="n">
        <v>25</v>
      </c>
      <c r="G21" s="107" t="s">
        <v>1666</v>
      </c>
      <c r="H21" s="116" t="s">
        <v>1667</v>
      </c>
      <c r="I21" s="116" t="s">
        <v>1628</v>
      </c>
      <c r="J21" s="116" t="s">
        <v>1668</v>
      </c>
      <c r="K21" s="116" t="s">
        <v>1669</v>
      </c>
    </row>
    <row r="22" customFormat="false" ht="15" hidden="false" customHeight="false" outlineLevel="0" collapsed="false">
      <c r="B22" s="1" t="s">
        <v>1670</v>
      </c>
      <c r="C22" s="109" t="n">
        <v>0.8</v>
      </c>
      <c r="G22" s="107" t="s">
        <v>1671</v>
      </c>
      <c r="H22" s="116" t="s">
        <v>1672</v>
      </c>
      <c r="I22" s="116" t="s">
        <v>1628</v>
      </c>
      <c r="J22" s="116"/>
      <c r="K22" s="116" t="s">
        <v>1664</v>
      </c>
    </row>
    <row r="23" customFormat="false" ht="15" hidden="false" customHeight="false" outlineLevel="0" collapsed="false">
      <c r="B23" s="1" t="s">
        <v>1673</v>
      </c>
      <c r="C23" s="109" t="n">
        <v>0.25</v>
      </c>
      <c r="G23" s="107" t="s">
        <v>1674</v>
      </c>
      <c r="H23" s="116" t="s">
        <v>1675</v>
      </c>
      <c r="I23" s="116" t="s">
        <v>1676</v>
      </c>
      <c r="J23" s="116"/>
      <c r="K23" s="116" t="s">
        <v>1664</v>
      </c>
    </row>
    <row r="24" customFormat="false" ht="15" hidden="false" customHeight="false" outlineLevel="0" collapsed="false">
      <c r="B24" s="115" t="s">
        <v>1677</v>
      </c>
    </row>
    <row r="25" customFormat="false" ht="15" hidden="false" customHeight="false" outlineLevel="0" collapsed="false">
      <c r="B25" s="1" t="s">
        <v>1678</v>
      </c>
      <c r="C25" s="107" t="n">
        <v>6</v>
      </c>
      <c r="G25" s="107" t="s">
        <v>1679</v>
      </c>
      <c r="H25" s="116" t="s">
        <v>1680</v>
      </c>
      <c r="I25" s="116" t="s">
        <v>1628</v>
      </c>
      <c r="J25" s="116" t="s">
        <v>1681</v>
      </c>
      <c r="K25" s="116" t="s">
        <v>1682</v>
      </c>
    </row>
    <row r="26" customFormat="false" ht="15" hidden="false" customHeight="false" outlineLevel="0" collapsed="false">
      <c r="B26" s="1" t="s">
        <v>1683</v>
      </c>
      <c r="C26" s="107" t="n">
        <v>3</v>
      </c>
      <c r="G26" s="107" t="s">
        <v>1684</v>
      </c>
      <c r="H26" s="116" t="s">
        <v>1680</v>
      </c>
      <c r="I26" s="116" t="s">
        <v>1628</v>
      </c>
      <c r="J26" s="116"/>
      <c r="K26" s="116" t="s">
        <v>1682</v>
      </c>
    </row>
    <row r="27" customFormat="false" ht="15" hidden="false" customHeight="false" outlineLevel="0" collapsed="false">
      <c r="B27" s="1" t="s">
        <v>1685</v>
      </c>
      <c r="C27" s="107" t="n">
        <v>5</v>
      </c>
      <c r="G27" s="107" t="s">
        <v>1686</v>
      </c>
      <c r="H27" s="116" t="s">
        <v>1687</v>
      </c>
      <c r="I27" s="116" t="s">
        <v>1628</v>
      </c>
      <c r="J27" s="116" t="s">
        <v>1688</v>
      </c>
      <c r="K27" s="116" t="s">
        <v>1689</v>
      </c>
    </row>
    <row r="28" customFormat="false" ht="15" hidden="false" customHeight="false" outlineLevel="0" collapsed="false">
      <c r="B28" s="1" t="s">
        <v>1690</v>
      </c>
      <c r="C28" s="109" t="n">
        <v>0.4</v>
      </c>
      <c r="G28" s="107" t="s">
        <v>1691</v>
      </c>
      <c r="H28" s="116" t="s">
        <v>1687</v>
      </c>
      <c r="I28" s="116" t="s">
        <v>1628</v>
      </c>
      <c r="J28" s="116"/>
      <c r="K28" s="116" t="s">
        <v>1692</v>
      </c>
    </row>
    <row r="29" customFormat="false" ht="15" hidden="false" customHeight="false" outlineLevel="0" collapsed="false">
      <c r="B29" s="1" t="s">
        <v>1693</v>
      </c>
      <c r="C29" s="109" t="n">
        <v>0.5</v>
      </c>
      <c r="G29" s="107" t="s">
        <v>1694</v>
      </c>
      <c r="H29" s="116" t="s">
        <v>1695</v>
      </c>
      <c r="I29" s="116" t="s">
        <v>1628</v>
      </c>
      <c r="J29" s="116" t="s">
        <v>1696</v>
      </c>
      <c r="K29" s="116" t="s">
        <v>1692</v>
      </c>
    </row>
    <row r="30" customFormat="false" ht="15" hidden="false" customHeight="false" outlineLevel="0" collapsed="false">
      <c r="B30" s="1" t="s">
        <v>1697</v>
      </c>
      <c r="C30" s="108" t="n">
        <v>300</v>
      </c>
      <c r="G30" s="107" t="s">
        <v>1698</v>
      </c>
      <c r="H30" s="116" t="s">
        <v>1695</v>
      </c>
      <c r="I30" s="116" t="s">
        <v>1628</v>
      </c>
      <c r="J30" s="116" t="s">
        <v>1699</v>
      </c>
      <c r="K30" s="116" t="s">
        <v>1700</v>
      </c>
    </row>
    <row r="31" customFormat="false" ht="15" hidden="false" customHeight="false" outlineLevel="0" collapsed="false">
      <c r="B31" s="115" t="s">
        <v>79</v>
      </c>
    </row>
    <row r="32" customFormat="false" ht="15" hidden="false" customHeight="false" outlineLevel="0" collapsed="false">
      <c r="B32" s="1" t="s">
        <v>1701</v>
      </c>
      <c r="C32" s="109" t="n">
        <v>0.6</v>
      </c>
      <c r="G32" s="107" t="s">
        <v>1702</v>
      </c>
      <c r="H32" s="116" t="s">
        <v>1703</v>
      </c>
      <c r="I32" s="116" t="s">
        <v>1628</v>
      </c>
      <c r="J32" s="116"/>
      <c r="K32" s="116" t="s">
        <v>1704</v>
      </c>
    </row>
    <row r="33" customFormat="false" ht="15" hidden="false" customHeight="false" outlineLevel="0" collapsed="false">
      <c r="B33" s="1" t="s">
        <v>1705</v>
      </c>
      <c r="C33" s="107" t="n">
        <v>15</v>
      </c>
      <c r="G33" s="107" t="s">
        <v>1706</v>
      </c>
      <c r="H33" s="116" t="s">
        <v>1703</v>
      </c>
      <c r="I33" s="116" t="s">
        <v>1628</v>
      </c>
      <c r="J33" s="116"/>
      <c r="K33" s="116" t="s">
        <v>1707</v>
      </c>
    </row>
    <row r="34" customFormat="false" ht="15" hidden="false" customHeight="false" outlineLevel="0" collapsed="false">
      <c r="B34" s="115" t="s">
        <v>1708</v>
      </c>
    </row>
    <row r="35" customFormat="false" ht="15" hidden="false" customHeight="false" outlineLevel="0" collapsed="false">
      <c r="B35" s="1" t="s">
        <v>1709</v>
      </c>
      <c r="C35" s="117" t="n">
        <v>0.02</v>
      </c>
      <c r="D35" s="117" t="n">
        <v>0.04</v>
      </c>
      <c r="E35" s="117" t="n">
        <v>0.06</v>
      </c>
      <c r="G35" s="107" t="s">
        <v>1710</v>
      </c>
      <c r="H35" s="116" t="s">
        <v>1711</v>
      </c>
      <c r="I35" s="116" t="s">
        <v>1628</v>
      </c>
      <c r="J35" s="116" t="s">
        <v>1712</v>
      </c>
      <c r="K35" s="116" t="s">
        <v>1713</v>
      </c>
    </row>
    <row r="36" customFormat="false" ht="15" hidden="false" customHeight="false" outlineLevel="0" collapsed="false">
      <c r="B36" s="1" t="s">
        <v>1714</v>
      </c>
      <c r="C36" s="117" t="n">
        <v>0.05</v>
      </c>
      <c r="D36" s="117" t="n">
        <v>0.1</v>
      </c>
      <c r="E36" s="117" t="n">
        <v>0.16</v>
      </c>
      <c r="G36" s="107" t="s">
        <v>1710</v>
      </c>
      <c r="H36" s="116" t="s">
        <v>1711</v>
      </c>
      <c r="I36" s="116" t="s">
        <v>1628</v>
      </c>
      <c r="J36" s="116" t="s">
        <v>1715</v>
      </c>
      <c r="K36" s="116" t="s">
        <v>1713</v>
      </c>
    </row>
    <row r="37" customFormat="false" ht="15" hidden="false" customHeight="false" outlineLevel="0" collapsed="false">
      <c r="B37" s="1" t="s">
        <v>1716</v>
      </c>
      <c r="C37" s="117" t="n">
        <v>0.5</v>
      </c>
      <c r="D37" s="117" t="n">
        <v>0.3</v>
      </c>
      <c r="E37" s="117" t="n">
        <v>0.2</v>
      </c>
      <c r="G37" s="107" t="s">
        <v>1717</v>
      </c>
      <c r="H37" s="116" t="s">
        <v>1718</v>
      </c>
      <c r="I37" s="116" t="s">
        <v>1628</v>
      </c>
      <c r="J37" s="116"/>
      <c r="K37" s="116" t="s">
        <v>1713</v>
      </c>
    </row>
    <row r="38" customFormat="false" ht="15" hidden="false" customHeight="false" outlineLevel="0" collapsed="false">
      <c r="B38" s="115" t="s">
        <v>1719</v>
      </c>
    </row>
    <row r="39" customFormat="false" ht="15" hidden="false" customHeight="false" outlineLevel="0" collapsed="false">
      <c r="B39" s="1" t="s">
        <v>1720</v>
      </c>
      <c r="C39" s="107" t="s">
        <v>1721</v>
      </c>
      <c r="G39" s="107" t="s">
        <v>1722</v>
      </c>
      <c r="H39" s="116" t="s">
        <v>1723</v>
      </c>
      <c r="I39" s="116" t="s">
        <v>1628</v>
      </c>
      <c r="J39" s="116" t="s">
        <v>1724</v>
      </c>
      <c r="K39" s="116" t="s">
        <v>1725</v>
      </c>
    </row>
    <row r="40" customFormat="false" ht="15" hidden="false" customHeight="false" outlineLevel="0" collapsed="false">
      <c r="B40" s="1" t="s">
        <v>1726</v>
      </c>
      <c r="C40" s="107" t="s">
        <v>1721</v>
      </c>
      <c r="G40" s="107" t="s">
        <v>1727</v>
      </c>
      <c r="H40" s="116" t="s">
        <v>1728</v>
      </c>
      <c r="I40" s="116" t="s">
        <v>1628</v>
      </c>
      <c r="J40" s="116" t="s">
        <v>1729</v>
      </c>
      <c r="K40" s="116" t="s">
        <v>1725</v>
      </c>
    </row>
    <row r="41" customFormat="false" ht="15" hidden="false" customHeight="false" outlineLevel="0" collapsed="false">
      <c r="B41" s="1" t="s">
        <v>1730</v>
      </c>
      <c r="C41" s="107" t="s">
        <v>1731</v>
      </c>
      <c r="G41" s="107" t="s">
        <v>1732</v>
      </c>
      <c r="H41" s="116" t="s">
        <v>1733</v>
      </c>
      <c r="I41" s="116" t="s">
        <v>1628</v>
      </c>
      <c r="J41" s="116"/>
      <c r="K41" s="116" t="s">
        <v>1725</v>
      </c>
    </row>
    <row r="42" customFormat="false" ht="15" hidden="false" customHeight="false" outlineLevel="0" collapsed="false">
      <c r="B42" s="1" t="s">
        <v>1734</v>
      </c>
      <c r="C42" s="107" t="s">
        <v>1735</v>
      </c>
      <c r="G42" s="107" t="s">
        <v>1736</v>
      </c>
      <c r="H42" s="116" t="s">
        <v>1733</v>
      </c>
      <c r="I42" s="116" t="s">
        <v>1628</v>
      </c>
      <c r="J42" s="116"/>
      <c r="K42" s="116" t="s">
        <v>1725</v>
      </c>
    </row>
    <row r="43" customFormat="false" ht="15" hidden="false" customHeight="false" outlineLevel="0" collapsed="false">
      <c r="B43" s="1" t="s">
        <v>1737</v>
      </c>
      <c r="C43" s="107" t="n">
        <v>5</v>
      </c>
      <c r="G43" s="107" t="s">
        <v>1738</v>
      </c>
      <c r="H43" s="116" t="s">
        <v>1739</v>
      </c>
      <c r="I43" s="116" t="s">
        <v>1628</v>
      </c>
      <c r="J43" s="116"/>
      <c r="K43" s="116" t="s">
        <v>1740</v>
      </c>
    </row>
    <row r="44" customFormat="false" ht="15" hidden="false" customHeight="false" outlineLevel="0" collapsed="false">
      <c r="B44" s="1" t="s">
        <v>1741</v>
      </c>
      <c r="C44" s="107" t="n">
        <v>2</v>
      </c>
      <c r="G44" s="107" t="s">
        <v>1742</v>
      </c>
      <c r="H44" s="116" t="s">
        <v>1743</v>
      </c>
      <c r="I44" s="116" t="s">
        <v>1628</v>
      </c>
      <c r="J44" s="116"/>
      <c r="K44" s="116" t="s">
        <v>1744</v>
      </c>
    </row>
    <row r="45" customFormat="false" ht="15" hidden="false" customHeight="false" outlineLevel="0" collapsed="false">
      <c r="B45" s="115" t="s">
        <v>1745</v>
      </c>
    </row>
    <row r="46" customFormat="false" ht="15" hidden="false" customHeight="false" outlineLevel="0" collapsed="false">
      <c r="B46" s="1" t="s">
        <v>1746</v>
      </c>
      <c r="C46" s="109" t="n">
        <v>0.0348</v>
      </c>
      <c r="D46" s="109"/>
      <c r="G46" s="107" t="s">
        <v>1747</v>
      </c>
      <c r="H46" s="116" t="s">
        <v>1748</v>
      </c>
      <c r="I46" s="116" t="s">
        <v>1749</v>
      </c>
      <c r="J46" s="116" t="s">
        <v>1750</v>
      </c>
      <c r="K46" s="116" t="s">
        <v>1751</v>
      </c>
      <c r="L46" s="116" t="str">
        <f aca="false">IF(D46&lt;&gt;"","Suggested by "&amp;IF(Partner_Name="","your provider",Partner_Name),G46)</f>
        <v>Central Bank of Ireland: average rate on new mortgages, Jul 2026</v>
      </c>
      <c r="M46" s="118" t="n">
        <f aca="false">IF(D46&lt;&gt;"",D46,IF(C46&lt;&gt;"",C46,""))</f>
        <v>0.0348</v>
      </c>
    </row>
    <row r="47" customFormat="false" ht="15" hidden="false" customHeight="false" outlineLevel="0" collapsed="false">
      <c r="B47" s="1" t="s">
        <v>1752</v>
      </c>
      <c r="C47" s="109" t="n">
        <v>0.0672</v>
      </c>
      <c r="D47" s="109"/>
      <c r="G47" s="107" t="s">
        <v>1753</v>
      </c>
      <c r="H47" s="116" t="s">
        <v>1748</v>
      </c>
      <c r="I47" s="116" t="s">
        <v>1749</v>
      </c>
      <c r="J47" s="116" t="s">
        <v>1754</v>
      </c>
      <c r="K47" s="116" t="s">
        <v>1751</v>
      </c>
      <c r="L47" s="116" t="str">
        <f aca="false">IF(D47&lt;&gt;"","Suggested by "&amp;IF(Partner_Name="","your provider",Partner_Name),G47)</f>
        <v>Central Bank of Ireland: average rate on new consumer loans, Jul 2026</v>
      </c>
      <c r="M47" s="118" t="n">
        <f aca="false">IF(D47&lt;&gt;"",D47,IF(C47&lt;&gt;"",C47,""))</f>
        <v>0.0672</v>
      </c>
    </row>
    <row r="48" customFormat="false" ht="15" hidden="false" customHeight="false" outlineLevel="0" collapsed="false">
      <c r="B48" s="1" t="s">
        <v>1755</v>
      </c>
      <c r="C48" s="109"/>
      <c r="D48" s="109"/>
      <c r="G48" s="107" t="s">
        <v>1756</v>
      </c>
      <c r="H48" s="116" t="s">
        <v>1748</v>
      </c>
      <c r="I48" s="116" t="s">
        <v>1757</v>
      </c>
      <c r="J48" s="116" t="s">
        <v>1758</v>
      </c>
      <c r="K48" s="116" t="s">
        <v>1751</v>
      </c>
      <c r="L48" s="116" t="str">
        <f aca="false">IF(D48&lt;&gt;"","Suggested by "&amp;IF(Partner_Name="","your provider",Partner_Name),G48)</f>
        <v>No published average</v>
      </c>
      <c r="M48" s="118" t="str">
        <f aca="false">IF(D48&lt;&gt;"",D48,IF(C48&lt;&gt;"",C48,""))</f>
        <v/>
      </c>
    </row>
    <row r="49" customFormat="false" ht="15" hidden="false" customHeight="false" outlineLevel="0" collapsed="false">
      <c r="B49" s="1" t="s">
        <v>1759</v>
      </c>
      <c r="C49" s="109" t="n">
        <v>0.0192</v>
      </c>
      <c r="D49" s="109"/>
      <c r="G49" s="107" t="s">
        <v>1760</v>
      </c>
      <c r="H49" s="116" t="s">
        <v>1748</v>
      </c>
      <c r="I49" s="116" t="s">
        <v>1749</v>
      </c>
      <c r="J49" s="116" t="s">
        <v>1761</v>
      </c>
      <c r="K49" s="116" t="s">
        <v>1751</v>
      </c>
      <c r="L49" s="116" t="str">
        <f aca="false">IF(D49&lt;&gt;"","Suggested by "&amp;IF(Partner_Name="","your provider",Partner_Name),G49)</f>
        <v>Central Bank of Ireland: average rate on new fixed-term household deposits, Jul 2026</v>
      </c>
      <c r="M49" s="118" t="n">
        <f aca="false">IF(D49&lt;&gt;"",D49,IF(C49&lt;&gt;"",C49,""))</f>
        <v>0.0192</v>
      </c>
    </row>
    <row r="50" customFormat="false" ht="15" hidden="false" customHeight="false" outlineLevel="0" collapsed="false">
      <c r="B50" s="1" t="s">
        <v>1762</v>
      </c>
      <c r="C50" s="108"/>
      <c r="D50" s="108"/>
      <c r="G50" s="107" t="s">
        <v>1763</v>
      </c>
      <c r="H50" s="116"/>
      <c r="I50" s="116" t="s">
        <v>1757</v>
      </c>
      <c r="J50" s="116"/>
      <c r="K50" s="116" t="s">
        <v>1764</v>
      </c>
      <c r="L50" s="116" t="str">
        <f aca="false">IF(D50&lt;&gt;"","Suggested by "&amp;IF(Partner_Name="","your provider",Partner_Name),G50)</f>
        <v>No published figure</v>
      </c>
      <c r="M50" s="119" t="str">
        <f aca="false">IF(D50&lt;&gt;"",D50,IF(C50&lt;&gt;"",C50,""))</f>
        <v/>
      </c>
    </row>
    <row r="51" customFormat="false" ht="15" hidden="false" customHeight="false" outlineLevel="0" collapsed="false">
      <c r="B51" s="1" t="s">
        <v>1765</v>
      </c>
      <c r="C51" s="109" t="n">
        <v>0.01</v>
      </c>
      <c r="D51" s="109"/>
      <c r="G51" s="107" t="s">
        <v>1766</v>
      </c>
      <c r="H51" s="116" t="s">
        <v>1767</v>
      </c>
      <c r="I51" s="116" t="s">
        <v>1628</v>
      </c>
      <c r="J51" s="116" t="s">
        <v>1768</v>
      </c>
      <c r="K51" s="116" t="s">
        <v>1751</v>
      </c>
      <c r="L51" s="116" t="str">
        <f aca="false">IF(D51&lt;&gt;"","Suggested by "&amp;IF(Partner_Name="","your provider",Partner_Name),G51)</f>
        <v>Pensions Authority pension calculator assumption</v>
      </c>
      <c r="M51" s="118" t="n">
        <f aca="false">IF(D51&lt;&gt;"",D51,IF(C51&lt;&gt;"",C51,""))</f>
        <v>0.01</v>
      </c>
    </row>
    <row r="52" customFormat="false" ht="15" hidden="false" customHeight="false" outlineLevel="0" collapsed="false">
      <c r="B52" s="115" t="s">
        <v>1769</v>
      </c>
    </row>
    <row r="53" customFormat="false" ht="15" hidden="false" customHeight="false" outlineLevel="0" collapsed="false">
      <c r="B53" s="1" t="s">
        <v>1770</v>
      </c>
      <c r="C53" s="107" t="n">
        <v>83</v>
      </c>
      <c r="G53" s="107" t="s">
        <v>1771</v>
      </c>
      <c r="H53" s="116" t="s">
        <v>1772</v>
      </c>
      <c r="I53" s="116" t="s">
        <v>1773</v>
      </c>
      <c r="J53" s="116"/>
      <c r="K53" s="116" t="s">
        <v>1774</v>
      </c>
    </row>
    <row r="54" customFormat="false" ht="15" hidden="false" customHeight="false" outlineLevel="0" collapsed="false">
      <c r="B54" s="1" t="s">
        <v>1775</v>
      </c>
      <c r="C54" s="107" t="n">
        <v>86</v>
      </c>
      <c r="G54" s="107" t="s">
        <v>1771</v>
      </c>
      <c r="H54" s="116" t="s">
        <v>1772</v>
      </c>
      <c r="I54" s="116" t="s">
        <v>1776</v>
      </c>
      <c r="J54" s="116"/>
      <c r="K54" s="116" t="s">
        <v>1774</v>
      </c>
    </row>
    <row r="55" customFormat="false" ht="15" hidden="false" customHeight="false" outlineLevel="0" collapsed="false">
      <c r="B55" s="115" t="s">
        <v>1777</v>
      </c>
    </row>
    <row r="56" customFormat="false" ht="15" hidden="false" customHeight="false" outlineLevel="0" collapsed="false">
      <c r="B56" s="1" t="s">
        <v>1778</v>
      </c>
      <c r="C56" s="120" t="n">
        <v>0.039</v>
      </c>
      <c r="G56" s="1" t="s">
        <v>1779</v>
      </c>
    </row>
    <row r="57" customFormat="false" ht="15" hidden="false" customHeight="false" outlineLevel="0" collapsed="false">
      <c r="B57" s="1" t="s">
        <v>1780</v>
      </c>
      <c r="C57" s="121" t="n">
        <v>0.23</v>
      </c>
      <c r="G57" s="1" t="s">
        <v>1781</v>
      </c>
      <c r="H57" s="1" t="s">
        <v>1782</v>
      </c>
      <c r="I57" s="1" t="s">
        <v>1783</v>
      </c>
    </row>
  </sheetData>
  <mergeCells count="1">
    <mergeCell ref="B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1784</v>
      </c>
    </row>
    <row r="2" customFormat="false" ht="15" hidden="false" customHeight="true" outlineLevel="0" collapsed="false">
      <c r="B2" s="122" t="s">
        <v>1785</v>
      </c>
    </row>
    <row r="3" customFormat="false" ht="39.75" hidden="false" customHeight="true" outlineLevel="0" collapsed="false">
      <c r="B3" s="123" t="s">
        <v>1786</v>
      </c>
      <c r="C3" s="123"/>
      <c r="D3" s="123"/>
      <c r="E3" s="123"/>
      <c r="F3" s="123"/>
      <c r="G3" s="123"/>
    </row>
    <row r="5" customFormat="false" ht="15" hidden="false" customHeight="true" outlineLevel="0" collapsed="false">
      <c r="B5" s="13" t="s">
        <v>1787</v>
      </c>
      <c r="C5" s="14"/>
      <c r="D5" s="14"/>
      <c r="E5" s="14"/>
      <c r="F5" s="14"/>
      <c r="G5" s="14"/>
      <c r="H5" s="14"/>
    </row>
    <row r="6" customFormat="false" ht="15" hidden="false" customHeight="true" outlineLevel="0" collapsed="false">
      <c r="B6" s="16" t="s">
        <v>1788</v>
      </c>
      <c r="C6" s="16" t="s">
        <v>1789</v>
      </c>
      <c r="D6" s="16" t="s">
        <v>1790</v>
      </c>
      <c r="E6" s="16" t="s">
        <v>1791</v>
      </c>
      <c r="F6" s="16" t="s">
        <v>1792</v>
      </c>
      <c r="G6" s="16" t="s">
        <v>1793</v>
      </c>
      <c r="H6" s="16" t="s">
        <v>1794</v>
      </c>
    </row>
    <row r="7" customFormat="false" ht="39.75" hidden="false" customHeight="true" outlineLevel="0" collapsed="false">
      <c r="B7" s="15" t="s">
        <v>1795</v>
      </c>
      <c r="C7" s="15"/>
      <c r="D7" s="15"/>
      <c r="E7" s="124" t="s">
        <v>1796</v>
      </c>
    </row>
    <row r="8" customFormat="false" ht="15" hidden="false" customHeight="true" outlineLevel="0" collapsed="false">
      <c r="B8" s="13" t="s">
        <v>1797</v>
      </c>
      <c r="C8" s="14"/>
      <c r="D8" s="14"/>
      <c r="E8" s="14"/>
      <c r="F8" s="14"/>
      <c r="G8" s="14"/>
      <c r="H8" s="14"/>
    </row>
    <row r="9" customFormat="false" ht="15" hidden="false" customHeight="true" outlineLevel="0" collapsed="false">
      <c r="B9" s="16" t="s">
        <v>1788</v>
      </c>
      <c r="C9" s="16" t="s">
        <v>1789</v>
      </c>
      <c r="D9" s="16" t="s">
        <v>1790</v>
      </c>
      <c r="E9" s="16" t="s">
        <v>1791</v>
      </c>
      <c r="F9" s="16" t="s">
        <v>1792</v>
      </c>
      <c r="G9" s="16" t="s">
        <v>1793</v>
      </c>
      <c r="H9" s="16" t="s">
        <v>1794</v>
      </c>
    </row>
    <row r="10" customFormat="false" ht="24" hidden="false" customHeight="true" outlineLevel="0" collapsed="false">
      <c r="B10" s="25" t="s">
        <v>1798</v>
      </c>
      <c r="C10" s="125" t="n">
        <v>44000</v>
      </c>
      <c r="D10" s="17" t="s">
        <v>1799</v>
      </c>
      <c r="E10" s="124" t="s">
        <v>1800</v>
      </c>
      <c r="F10" s="17" t="s">
        <v>1801</v>
      </c>
      <c r="G10" s="126" t="s">
        <v>1802</v>
      </c>
      <c r="H10" s="124" t="s">
        <v>1803</v>
      </c>
    </row>
    <row r="11" customFormat="false" ht="24" hidden="false" customHeight="true" outlineLevel="0" collapsed="false">
      <c r="B11" s="25" t="s">
        <v>1804</v>
      </c>
      <c r="C11" s="125" t="n">
        <v>48000</v>
      </c>
      <c r="D11" s="17" t="s">
        <v>1805</v>
      </c>
      <c r="E11" s="124" t="s">
        <v>1806</v>
      </c>
      <c r="F11" s="17" t="s">
        <v>1801</v>
      </c>
      <c r="G11" s="126" t="s">
        <v>1807</v>
      </c>
      <c r="H11" s="124" t="s">
        <v>1808</v>
      </c>
    </row>
    <row r="12" customFormat="false" ht="24" hidden="false" customHeight="true" outlineLevel="0" collapsed="false">
      <c r="B12" s="25" t="s">
        <v>1809</v>
      </c>
      <c r="C12" s="125" t="n">
        <v>53000</v>
      </c>
      <c r="D12" s="17" t="s">
        <v>1805</v>
      </c>
      <c r="E12" s="124" t="s">
        <v>1800</v>
      </c>
      <c r="F12" s="17" t="s">
        <v>1801</v>
      </c>
      <c r="G12" s="126" t="s">
        <v>1802</v>
      </c>
      <c r="H12" s="124" t="s">
        <v>1810</v>
      </c>
    </row>
    <row r="13" customFormat="false" ht="24" hidden="false" customHeight="true" outlineLevel="0" collapsed="false">
      <c r="B13" s="25" t="s">
        <v>1811</v>
      </c>
      <c r="C13" s="125" t="n">
        <v>35000</v>
      </c>
      <c r="D13" s="17" t="s">
        <v>1805</v>
      </c>
      <c r="E13" s="124" t="s">
        <v>1800</v>
      </c>
      <c r="F13" s="17" t="s">
        <v>1801</v>
      </c>
      <c r="G13" s="126" t="s">
        <v>1802</v>
      </c>
      <c r="H13" s="124" t="s">
        <v>1812</v>
      </c>
    </row>
    <row r="14" customFormat="false" ht="24" hidden="false" customHeight="true" outlineLevel="0" collapsed="false">
      <c r="B14" s="25" t="s">
        <v>1813</v>
      </c>
      <c r="C14" s="127" t="n">
        <v>0.2</v>
      </c>
      <c r="D14" s="17" t="s">
        <v>1805</v>
      </c>
      <c r="E14" s="124" t="s">
        <v>1800</v>
      </c>
      <c r="F14" s="17" t="s">
        <v>1628</v>
      </c>
      <c r="G14" s="126" t="s">
        <v>1802</v>
      </c>
      <c r="H14" s="124" t="s">
        <v>1814</v>
      </c>
    </row>
    <row r="15" customFormat="false" ht="24" hidden="false" customHeight="true" outlineLevel="0" collapsed="false">
      <c r="B15" s="25" t="s">
        <v>1815</v>
      </c>
      <c r="C15" s="127" t="n">
        <v>0.4</v>
      </c>
      <c r="D15" s="17" t="s">
        <v>1816</v>
      </c>
      <c r="E15" s="124" t="s">
        <v>1800</v>
      </c>
      <c r="F15" s="17" t="s">
        <v>1628</v>
      </c>
      <c r="G15" s="126" t="s">
        <v>1802</v>
      </c>
      <c r="H15" s="124" t="s">
        <v>1814</v>
      </c>
    </row>
    <row r="16" customFormat="false" ht="24" hidden="false" customHeight="true" outlineLevel="0" collapsed="false">
      <c r="B16" s="25" t="s">
        <v>1817</v>
      </c>
      <c r="C16" s="125" t="n">
        <v>2000</v>
      </c>
      <c r="D16" s="17" t="s">
        <v>1805</v>
      </c>
      <c r="E16" s="124" t="s">
        <v>1800</v>
      </c>
      <c r="F16" s="17" t="s">
        <v>1628</v>
      </c>
      <c r="G16" s="126" t="s">
        <v>1802</v>
      </c>
      <c r="H16" s="124" t="s">
        <v>1818</v>
      </c>
    </row>
    <row r="17" customFormat="false" ht="24" hidden="false" customHeight="true" outlineLevel="0" collapsed="false">
      <c r="B17" s="25" t="s">
        <v>1819</v>
      </c>
      <c r="C17" s="125" t="n">
        <v>4000</v>
      </c>
      <c r="D17" s="17" t="s">
        <v>1805</v>
      </c>
      <c r="E17" s="124" t="s">
        <v>1800</v>
      </c>
      <c r="F17" s="17" t="s">
        <v>1628</v>
      </c>
      <c r="G17" s="126" t="s">
        <v>1802</v>
      </c>
      <c r="H17" s="124" t="s">
        <v>1818</v>
      </c>
    </row>
    <row r="18" customFormat="false" ht="24" hidden="false" customHeight="true" outlineLevel="0" collapsed="false">
      <c r="B18" s="25" t="s">
        <v>1820</v>
      </c>
      <c r="C18" s="125" t="n">
        <v>2000</v>
      </c>
      <c r="D18" s="17" t="s">
        <v>1805</v>
      </c>
      <c r="E18" s="124" t="s">
        <v>1821</v>
      </c>
      <c r="F18" s="17" t="s">
        <v>1628</v>
      </c>
      <c r="G18" s="126" t="s">
        <v>1802</v>
      </c>
      <c r="H18" s="124" t="s">
        <v>1822</v>
      </c>
    </row>
    <row r="19" customFormat="false" ht="24" hidden="false" customHeight="true" outlineLevel="0" collapsed="false">
      <c r="B19" s="25" t="s">
        <v>1823</v>
      </c>
      <c r="C19" s="127" t="n">
        <v>0.2</v>
      </c>
      <c r="D19" s="17" t="s">
        <v>1805</v>
      </c>
      <c r="E19" s="124" t="s">
        <v>1824</v>
      </c>
      <c r="F19" s="17" t="s">
        <v>1628</v>
      </c>
      <c r="G19" s="126" t="s">
        <v>1802</v>
      </c>
      <c r="H19" s="124" t="s">
        <v>1822</v>
      </c>
    </row>
    <row r="20" customFormat="false" ht="24" hidden="false" customHeight="true" outlineLevel="0" collapsed="false">
      <c r="B20" s="25" t="s">
        <v>1825</v>
      </c>
      <c r="C20" s="125" t="n">
        <v>1900</v>
      </c>
      <c r="D20" s="17" t="s">
        <v>1805</v>
      </c>
      <c r="E20" s="124" t="s">
        <v>1806</v>
      </c>
      <c r="F20" s="17" t="s">
        <v>1801</v>
      </c>
      <c r="G20" s="126" t="s">
        <v>1807</v>
      </c>
      <c r="H20" s="124" t="s">
        <v>1808</v>
      </c>
    </row>
    <row r="21" customFormat="false" ht="24" hidden="false" customHeight="true" outlineLevel="0" collapsed="false">
      <c r="B21" s="25" t="s">
        <v>1826</v>
      </c>
      <c r="C21" s="125" t="n">
        <v>1000</v>
      </c>
      <c r="D21" s="17" t="s">
        <v>1805</v>
      </c>
      <c r="E21" s="124" t="s">
        <v>1806</v>
      </c>
      <c r="F21" s="17" t="s">
        <v>1827</v>
      </c>
      <c r="G21" s="126" t="s">
        <v>1807</v>
      </c>
      <c r="H21" s="124" t="s">
        <v>1828</v>
      </c>
    </row>
    <row r="22" customFormat="false" ht="24" hidden="false" customHeight="true" outlineLevel="0" collapsed="false">
      <c r="B22" s="25" t="s">
        <v>1829</v>
      </c>
      <c r="C22" s="125" t="n">
        <v>2000</v>
      </c>
      <c r="D22" s="17" t="s">
        <v>1805</v>
      </c>
      <c r="E22" s="124" t="s">
        <v>1806</v>
      </c>
      <c r="F22" s="17" t="s">
        <v>1827</v>
      </c>
      <c r="G22" s="126" t="s">
        <v>1807</v>
      </c>
      <c r="H22" s="124" t="s">
        <v>1828</v>
      </c>
    </row>
    <row r="23" customFormat="false" ht="24" hidden="false" customHeight="true" outlineLevel="0" collapsed="false">
      <c r="B23" s="25" t="s">
        <v>1830</v>
      </c>
      <c r="C23" s="125" t="n">
        <v>1950</v>
      </c>
      <c r="D23" s="17" t="s">
        <v>1805</v>
      </c>
      <c r="E23" s="124" t="s">
        <v>1806</v>
      </c>
      <c r="F23" s="17" t="s">
        <v>1628</v>
      </c>
      <c r="G23" s="126" t="s">
        <v>1831</v>
      </c>
      <c r="H23" s="124" t="s">
        <v>1832</v>
      </c>
    </row>
    <row r="24" customFormat="false" ht="15" hidden="false" customHeight="true" outlineLevel="0" collapsed="false">
      <c r="B24" s="13" t="s">
        <v>1833</v>
      </c>
      <c r="C24" s="14"/>
      <c r="D24" s="14"/>
      <c r="E24" s="14"/>
      <c r="F24" s="14"/>
      <c r="G24" s="14"/>
      <c r="H24" s="14"/>
    </row>
    <row r="25" customFormat="false" ht="15" hidden="false" customHeight="true" outlineLevel="0" collapsed="false">
      <c r="B25" s="16" t="s">
        <v>1788</v>
      </c>
      <c r="C25" s="16" t="s">
        <v>1789</v>
      </c>
      <c r="D25" s="16" t="s">
        <v>1790</v>
      </c>
      <c r="E25" s="16" t="s">
        <v>1791</v>
      </c>
      <c r="F25" s="16" t="s">
        <v>1792</v>
      </c>
      <c r="G25" s="16" t="s">
        <v>1793</v>
      </c>
      <c r="H25" s="16" t="s">
        <v>1794</v>
      </c>
    </row>
    <row r="26" customFormat="false" ht="24" hidden="false" customHeight="true" outlineLevel="0" collapsed="false">
      <c r="B26" s="25" t="s">
        <v>1834</v>
      </c>
      <c r="C26" s="125" t="n">
        <v>13000</v>
      </c>
      <c r="D26" s="17" t="s">
        <v>1805</v>
      </c>
      <c r="E26" s="124" t="s">
        <v>1800</v>
      </c>
      <c r="F26" s="17" t="s">
        <v>1628</v>
      </c>
      <c r="G26" s="126" t="s">
        <v>1802</v>
      </c>
      <c r="H26" s="124" t="s">
        <v>1835</v>
      </c>
    </row>
    <row r="27" customFormat="false" ht="24" hidden="false" customHeight="true" outlineLevel="0" collapsed="false">
      <c r="B27" s="25" t="s">
        <v>1836</v>
      </c>
      <c r="C27" s="125" t="n">
        <v>12012</v>
      </c>
      <c r="D27" s="17" t="s">
        <v>1805</v>
      </c>
      <c r="E27" s="124" t="s">
        <v>1800</v>
      </c>
      <c r="F27" s="17" t="s">
        <v>1801</v>
      </c>
      <c r="G27" s="126" t="s">
        <v>1802</v>
      </c>
      <c r="H27" s="124" t="s">
        <v>1837</v>
      </c>
    </row>
    <row r="28" customFormat="false" ht="24" hidden="false" customHeight="true" outlineLevel="0" collapsed="false">
      <c r="B28" s="25" t="s">
        <v>1838</v>
      </c>
      <c r="C28" s="125" t="n">
        <v>28700</v>
      </c>
      <c r="D28" s="17" t="s">
        <v>1805</v>
      </c>
      <c r="E28" s="124" t="s">
        <v>1800</v>
      </c>
      <c r="F28" s="17" t="s">
        <v>1801</v>
      </c>
      <c r="G28" s="126" t="s">
        <v>1802</v>
      </c>
      <c r="H28" s="124" t="s">
        <v>1837</v>
      </c>
    </row>
    <row r="29" customFormat="false" ht="24" hidden="false" customHeight="true" outlineLevel="0" collapsed="false">
      <c r="B29" s="25" t="s">
        <v>1839</v>
      </c>
      <c r="C29" s="125" t="n">
        <v>70044</v>
      </c>
      <c r="D29" s="17" t="s">
        <v>1805</v>
      </c>
      <c r="E29" s="124" t="s">
        <v>1800</v>
      </c>
      <c r="F29" s="17" t="s">
        <v>1801</v>
      </c>
      <c r="G29" s="126" t="s">
        <v>1802</v>
      </c>
      <c r="H29" s="124" t="s">
        <v>1837</v>
      </c>
    </row>
    <row r="30" customFormat="false" ht="24" hidden="false" customHeight="true" outlineLevel="0" collapsed="false">
      <c r="B30" s="25" t="s">
        <v>1840</v>
      </c>
      <c r="C30" s="128" t="n">
        <v>0.005</v>
      </c>
      <c r="D30" s="17" t="s">
        <v>1805</v>
      </c>
      <c r="E30" s="124" t="s">
        <v>1800</v>
      </c>
      <c r="F30" s="17" t="s">
        <v>1628</v>
      </c>
      <c r="G30" s="126" t="s">
        <v>1802</v>
      </c>
      <c r="H30" s="124" t="s">
        <v>1837</v>
      </c>
    </row>
    <row r="31" customFormat="false" ht="24" hidden="false" customHeight="true" outlineLevel="0" collapsed="false">
      <c r="B31" s="25" t="s">
        <v>1841</v>
      </c>
      <c r="C31" s="128" t="n">
        <v>0.02</v>
      </c>
      <c r="D31" s="17" t="s">
        <v>1805</v>
      </c>
      <c r="E31" s="124" t="s">
        <v>1800</v>
      </c>
      <c r="F31" s="17" t="s">
        <v>1628</v>
      </c>
      <c r="G31" s="126" t="s">
        <v>1802</v>
      </c>
      <c r="H31" s="124" t="s">
        <v>1837</v>
      </c>
    </row>
    <row r="32" customFormat="false" ht="24" hidden="false" customHeight="true" outlineLevel="0" collapsed="false">
      <c r="B32" s="25" t="s">
        <v>1842</v>
      </c>
      <c r="C32" s="128" t="n">
        <v>0.03</v>
      </c>
      <c r="D32" s="17" t="s">
        <v>1805</v>
      </c>
      <c r="E32" s="124" t="s">
        <v>1800</v>
      </c>
      <c r="F32" s="17" t="s">
        <v>1628</v>
      </c>
      <c r="G32" s="126" t="s">
        <v>1802</v>
      </c>
      <c r="H32" s="124" t="s">
        <v>1837</v>
      </c>
    </row>
    <row r="33" customFormat="false" ht="24" hidden="false" customHeight="true" outlineLevel="0" collapsed="false">
      <c r="B33" s="25" t="s">
        <v>1843</v>
      </c>
      <c r="C33" s="128" t="n">
        <v>0.08</v>
      </c>
      <c r="D33" s="17" t="s">
        <v>1805</v>
      </c>
      <c r="E33" s="124" t="s">
        <v>1800</v>
      </c>
      <c r="F33" s="17" t="s">
        <v>1628</v>
      </c>
      <c r="G33" s="126" t="s">
        <v>1802</v>
      </c>
      <c r="H33" s="124" t="s">
        <v>1837</v>
      </c>
    </row>
    <row r="34" customFormat="false" ht="39.75" hidden="false" customHeight="true" outlineLevel="0" collapsed="false">
      <c r="B34" s="15" t="s">
        <v>1844</v>
      </c>
      <c r="C34" s="15"/>
      <c r="D34" s="15"/>
      <c r="E34" s="124" t="s">
        <v>1800</v>
      </c>
    </row>
    <row r="35" customFormat="false" ht="15" hidden="false" customHeight="true" outlineLevel="0" collapsed="false">
      <c r="B35" s="13" t="s">
        <v>1845</v>
      </c>
      <c r="C35" s="14"/>
      <c r="D35" s="14"/>
      <c r="E35" s="14"/>
      <c r="F35" s="14"/>
      <c r="G35" s="14"/>
      <c r="H35" s="14"/>
    </row>
    <row r="36" customFormat="false" ht="15" hidden="false" customHeight="true" outlineLevel="0" collapsed="false">
      <c r="B36" s="16" t="s">
        <v>1788</v>
      </c>
      <c r="C36" s="16" t="s">
        <v>1789</v>
      </c>
      <c r="D36" s="16" t="s">
        <v>1790</v>
      </c>
      <c r="E36" s="16" t="s">
        <v>1791</v>
      </c>
      <c r="F36" s="16" t="s">
        <v>1792</v>
      </c>
      <c r="G36" s="16" t="s">
        <v>1793</v>
      </c>
      <c r="H36" s="16" t="s">
        <v>1794</v>
      </c>
    </row>
    <row r="37" customFormat="false" ht="24" hidden="false" customHeight="true" outlineLevel="0" collapsed="false">
      <c r="B37" s="25" t="s">
        <v>1846</v>
      </c>
      <c r="C37" s="129" t="n">
        <v>0.0435</v>
      </c>
      <c r="D37" s="17" t="s">
        <v>1805</v>
      </c>
      <c r="E37" s="124" t="s">
        <v>1847</v>
      </c>
      <c r="F37" s="17" t="s">
        <v>1848</v>
      </c>
      <c r="G37" s="126" t="s">
        <v>1802</v>
      </c>
      <c r="H37" s="124" t="s">
        <v>1849</v>
      </c>
    </row>
    <row r="38" customFormat="false" ht="24" hidden="false" customHeight="true" outlineLevel="0" collapsed="false">
      <c r="B38" s="25" t="s">
        <v>1850</v>
      </c>
      <c r="C38" s="130" t="n">
        <v>0.042375</v>
      </c>
      <c r="D38" s="17" t="s">
        <v>1851</v>
      </c>
      <c r="E38" s="124" t="s">
        <v>1847</v>
      </c>
      <c r="F38" s="17" t="s">
        <v>1628</v>
      </c>
      <c r="G38" s="126" t="s">
        <v>1802</v>
      </c>
      <c r="H38" s="124" t="s">
        <v>1852</v>
      </c>
    </row>
    <row r="39" customFormat="false" ht="24" hidden="false" customHeight="true" outlineLevel="0" collapsed="false">
      <c r="B39" s="25" t="s">
        <v>1853</v>
      </c>
      <c r="C39" s="125" t="n">
        <v>352</v>
      </c>
      <c r="D39" s="17" t="s">
        <v>1805</v>
      </c>
      <c r="E39" s="124" t="s">
        <v>1854</v>
      </c>
      <c r="F39" s="17" t="s">
        <v>1628</v>
      </c>
      <c r="G39" s="126" t="s">
        <v>1802</v>
      </c>
      <c r="H39" s="124" t="s">
        <v>1855</v>
      </c>
    </row>
    <row r="40" customFormat="false" ht="24" hidden="false" customHeight="true" outlineLevel="0" collapsed="false">
      <c r="B40" s="25" t="s">
        <v>1856</v>
      </c>
      <c r="C40" s="125" t="n">
        <v>12</v>
      </c>
      <c r="D40" s="17" t="s">
        <v>1805</v>
      </c>
      <c r="E40" s="124" t="s">
        <v>1824</v>
      </c>
      <c r="F40" s="17" t="s">
        <v>1628</v>
      </c>
      <c r="G40" s="126" t="s">
        <v>1802</v>
      </c>
      <c r="H40" s="124" t="s">
        <v>1855</v>
      </c>
    </row>
    <row r="41" customFormat="false" ht="24" hidden="false" customHeight="true" outlineLevel="0" collapsed="false">
      <c r="B41" s="25" t="s">
        <v>1857</v>
      </c>
      <c r="C41" s="125" t="n">
        <v>424</v>
      </c>
      <c r="D41" s="17" t="s">
        <v>1805</v>
      </c>
      <c r="E41" s="124" t="s">
        <v>1824</v>
      </c>
      <c r="F41" s="17" t="s">
        <v>1628</v>
      </c>
      <c r="G41" s="126" t="s">
        <v>1802</v>
      </c>
      <c r="H41" s="124" t="s">
        <v>1855</v>
      </c>
    </row>
    <row r="42" customFormat="false" ht="24" hidden="false" customHeight="true" outlineLevel="0" collapsed="false">
      <c r="B42" s="25" t="s">
        <v>1858</v>
      </c>
      <c r="C42" s="131" t="n">
        <v>6</v>
      </c>
      <c r="D42" s="17" t="s">
        <v>1805</v>
      </c>
      <c r="E42" s="124" t="s">
        <v>1824</v>
      </c>
      <c r="F42" s="17" t="s">
        <v>1628</v>
      </c>
      <c r="G42" s="126" t="s">
        <v>1802</v>
      </c>
      <c r="H42" s="124" t="s">
        <v>1855</v>
      </c>
    </row>
    <row r="43" customFormat="false" ht="39.75" hidden="false" customHeight="true" outlineLevel="0" collapsed="false">
      <c r="B43" s="15" t="s">
        <v>1859</v>
      </c>
      <c r="C43" s="15"/>
      <c r="D43" s="15"/>
      <c r="E43" s="124" t="s">
        <v>1860</v>
      </c>
    </row>
    <row r="44" customFormat="false" ht="15" hidden="false" customHeight="true" outlineLevel="0" collapsed="false">
      <c r="B44" s="13" t="s">
        <v>1861</v>
      </c>
      <c r="C44" s="14"/>
      <c r="D44" s="14"/>
      <c r="E44" s="14"/>
      <c r="F44" s="14"/>
      <c r="G44" s="14"/>
      <c r="H44" s="14"/>
    </row>
    <row r="45" customFormat="false" ht="15" hidden="false" customHeight="true" outlineLevel="0" collapsed="false">
      <c r="B45" s="16" t="s">
        <v>1788</v>
      </c>
      <c r="C45" s="16" t="s">
        <v>1789</v>
      </c>
      <c r="D45" s="16" t="s">
        <v>1790</v>
      </c>
      <c r="E45" s="16" t="s">
        <v>1791</v>
      </c>
      <c r="F45" s="16" t="s">
        <v>1792</v>
      </c>
      <c r="G45" s="16" t="s">
        <v>1793</v>
      </c>
      <c r="H45" s="16" t="s">
        <v>1794</v>
      </c>
    </row>
    <row r="46" customFormat="false" ht="15" hidden="false" customHeight="true" outlineLevel="0" collapsed="false">
      <c r="B46" s="25" t="s">
        <v>1862</v>
      </c>
      <c r="C46" s="132" t="n">
        <v>0</v>
      </c>
      <c r="D46" s="127" t="n">
        <v>0.15</v>
      </c>
      <c r="E46" s="133" t="s">
        <v>1863</v>
      </c>
      <c r="F46" s="12" t="s">
        <v>1864</v>
      </c>
      <c r="G46" s="134" t="s">
        <v>1807</v>
      </c>
      <c r="H46" s="133" t="s">
        <v>1865</v>
      </c>
    </row>
    <row r="47" customFormat="false" ht="15" hidden="false" customHeight="true" outlineLevel="0" collapsed="false">
      <c r="B47" s="25" t="s">
        <v>1866</v>
      </c>
      <c r="C47" s="132" t="n">
        <v>30</v>
      </c>
      <c r="D47" s="127" t="n">
        <v>0.2</v>
      </c>
      <c r="E47" s="133" t="s">
        <v>1863</v>
      </c>
      <c r="F47" s="12" t="s">
        <v>1864</v>
      </c>
      <c r="G47" s="134" t="s">
        <v>1807</v>
      </c>
      <c r="H47" s="133" t="s">
        <v>1865</v>
      </c>
    </row>
    <row r="48" customFormat="false" ht="15" hidden="false" customHeight="true" outlineLevel="0" collapsed="false">
      <c r="B48" s="25" t="s">
        <v>1867</v>
      </c>
      <c r="C48" s="132" t="n">
        <v>40</v>
      </c>
      <c r="D48" s="127" t="n">
        <v>0.25</v>
      </c>
      <c r="E48" s="133" t="s">
        <v>1863</v>
      </c>
      <c r="F48" s="12" t="s">
        <v>1864</v>
      </c>
      <c r="G48" s="134" t="s">
        <v>1807</v>
      </c>
      <c r="H48" s="133" t="s">
        <v>1865</v>
      </c>
    </row>
    <row r="49" customFormat="false" ht="15" hidden="false" customHeight="true" outlineLevel="0" collapsed="false">
      <c r="B49" s="25" t="s">
        <v>1868</v>
      </c>
      <c r="C49" s="132" t="n">
        <v>50</v>
      </c>
      <c r="D49" s="127" t="n">
        <v>0.3</v>
      </c>
      <c r="E49" s="133" t="s">
        <v>1863</v>
      </c>
      <c r="F49" s="12" t="s">
        <v>1864</v>
      </c>
      <c r="G49" s="134" t="s">
        <v>1807</v>
      </c>
      <c r="H49" s="133" t="s">
        <v>1865</v>
      </c>
    </row>
    <row r="50" customFormat="false" ht="15" hidden="false" customHeight="true" outlineLevel="0" collapsed="false">
      <c r="B50" s="25" t="s">
        <v>1869</v>
      </c>
      <c r="C50" s="132" t="n">
        <v>55</v>
      </c>
      <c r="D50" s="127" t="n">
        <v>0.35</v>
      </c>
      <c r="E50" s="133" t="s">
        <v>1863</v>
      </c>
      <c r="F50" s="12" t="s">
        <v>1864</v>
      </c>
      <c r="G50" s="134" t="s">
        <v>1807</v>
      </c>
      <c r="H50" s="133" t="s">
        <v>1865</v>
      </c>
    </row>
    <row r="51" customFormat="false" ht="15" hidden="false" customHeight="true" outlineLevel="0" collapsed="false">
      <c r="B51" s="25" t="s">
        <v>1870</v>
      </c>
      <c r="C51" s="132" t="n">
        <v>60</v>
      </c>
      <c r="D51" s="127" t="n">
        <v>0.4</v>
      </c>
      <c r="E51" s="133" t="s">
        <v>1863</v>
      </c>
      <c r="F51" s="12" t="s">
        <v>1864</v>
      </c>
      <c r="G51" s="134" t="s">
        <v>1807</v>
      </c>
      <c r="H51" s="133" t="s">
        <v>1865</v>
      </c>
    </row>
    <row r="52" customFormat="false" ht="24" hidden="false" customHeight="true" outlineLevel="0" collapsed="false">
      <c r="B52" s="25" t="s">
        <v>1871</v>
      </c>
      <c r="C52" s="125" t="n">
        <v>115000</v>
      </c>
      <c r="D52" s="17" t="s">
        <v>144</v>
      </c>
      <c r="E52" s="124" t="s">
        <v>1863</v>
      </c>
      <c r="F52" s="17" t="s">
        <v>1864</v>
      </c>
      <c r="G52" s="126" t="s">
        <v>1807</v>
      </c>
      <c r="H52" s="124" t="s">
        <v>1872</v>
      </c>
    </row>
    <row r="53" customFormat="false" ht="24" hidden="false" customHeight="true" outlineLevel="0" collapsed="false">
      <c r="B53" s="25" t="s">
        <v>1873</v>
      </c>
      <c r="C53" s="127" t="n">
        <v>0.25</v>
      </c>
      <c r="D53" s="17" t="s">
        <v>58</v>
      </c>
      <c r="E53" s="124" t="s">
        <v>1874</v>
      </c>
      <c r="F53" s="17" t="s">
        <v>1875</v>
      </c>
      <c r="G53" s="126" t="s">
        <v>1807</v>
      </c>
      <c r="H53" s="124" t="s">
        <v>1876</v>
      </c>
    </row>
    <row r="54" customFormat="false" ht="24" hidden="false" customHeight="true" outlineLevel="0" collapsed="false">
      <c r="B54" s="25" t="s">
        <v>1877</v>
      </c>
      <c r="C54" s="125" t="n">
        <v>200000</v>
      </c>
      <c r="D54" s="17" t="s">
        <v>58</v>
      </c>
      <c r="E54" s="124" t="s">
        <v>1874</v>
      </c>
      <c r="F54" s="17" t="s">
        <v>1875</v>
      </c>
      <c r="G54" s="126" t="s">
        <v>1807</v>
      </c>
      <c r="H54" s="124" t="s">
        <v>1876</v>
      </c>
    </row>
    <row r="55" customFormat="false" ht="24" hidden="false" customHeight="true" outlineLevel="0" collapsed="false">
      <c r="B55" s="25" t="s">
        <v>1878</v>
      </c>
      <c r="C55" s="125" t="n">
        <v>500000</v>
      </c>
      <c r="D55" s="17" t="s">
        <v>58</v>
      </c>
      <c r="E55" s="124" t="s">
        <v>1874</v>
      </c>
      <c r="F55" s="17" t="s">
        <v>1875</v>
      </c>
      <c r="G55" s="126" t="s">
        <v>1807</v>
      </c>
      <c r="H55" s="124" t="s">
        <v>1876</v>
      </c>
    </row>
    <row r="56" customFormat="false" ht="24" hidden="false" customHeight="true" outlineLevel="0" collapsed="false">
      <c r="B56" s="25" t="s">
        <v>1879</v>
      </c>
      <c r="C56" s="127" t="n">
        <v>0.2</v>
      </c>
      <c r="D56" s="17" t="s">
        <v>58</v>
      </c>
      <c r="E56" s="124" t="s">
        <v>1874</v>
      </c>
      <c r="F56" s="17" t="s">
        <v>1875</v>
      </c>
      <c r="G56" s="126" t="s">
        <v>1807</v>
      </c>
      <c r="H56" s="124" t="s">
        <v>1876</v>
      </c>
    </row>
    <row r="57" customFormat="false" ht="24" hidden="false" customHeight="true" outlineLevel="0" collapsed="false">
      <c r="B57" s="25" t="s">
        <v>1880</v>
      </c>
      <c r="C57" s="125" t="n">
        <v>2200000</v>
      </c>
      <c r="D57" s="17" t="s">
        <v>1881</v>
      </c>
      <c r="E57" s="124" t="s">
        <v>1874</v>
      </c>
      <c r="F57" s="17" t="s">
        <v>1801</v>
      </c>
      <c r="G57" s="126" t="s">
        <v>1807</v>
      </c>
      <c r="H57" s="124" t="s">
        <v>1882</v>
      </c>
    </row>
    <row r="58" customFormat="false" ht="24" hidden="false" customHeight="true" outlineLevel="0" collapsed="false">
      <c r="B58" s="25" t="s">
        <v>1883</v>
      </c>
      <c r="C58" s="127" t="n">
        <v>0.4</v>
      </c>
      <c r="D58" s="17" t="s">
        <v>1881</v>
      </c>
      <c r="E58" s="124" t="s">
        <v>1874</v>
      </c>
      <c r="F58" s="17" t="s">
        <v>1884</v>
      </c>
      <c r="G58" s="126" t="s">
        <v>1807</v>
      </c>
      <c r="H58" s="124" t="s">
        <v>1882</v>
      </c>
    </row>
    <row r="59" customFormat="false" ht="24" hidden="false" customHeight="true" outlineLevel="0" collapsed="false">
      <c r="B59" s="25" t="s">
        <v>1885</v>
      </c>
      <c r="C59" s="131" t="n">
        <v>60</v>
      </c>
      <c r="D59" s="17" t="s">
        <v>1881</v>
      </c>
      <c r="E59" s="124" t="s">
        <v>1886</v>
      </c>
      <c r="F59" s="17" t="s">
        <v>1884</v>
      </c>
      <c r="G59" s="126" t="s">
        <v>1887</v>
      </c>
      <c r="H59" s="124" t="s">
        <v>1888</v>
      </c>
    </row>
    <row r="60" customFormat="false" ht="39.75" hidden="false" customHeight="true" outlineLevel="0" collapsed="false">
      <c r="B60" s="15" t="s">
        <v>1889</v>
      </c>
      <c r="C60" s="15"/>
      <c r="D60" s="15"/>
      <c r="E60" s="124" t="s">
        <v>1890</v>
      </c>
    </row>
    <row r="61" customFormat="false" ht="15" hidden="false" customHeight="true" outlineLevel="0" collapsed="false">
      <c r="B61" s="13" t="s">
        <v>1891</v>
      </c>
      <c r="C61" s="14"/>
      <c r="D61" s="14"/>
      <c r="E61" s="14"/>
      <c r="F61" s="14"/>
      <c r="G61" s="14"/>
      <c r="H61" s="14"/>
    </row>
    <row r="62" customFormat="false" ht="15" hidden="false" customHeight="true" outlineLevel="0" collapsed="false">
      <c r="B62" s="16" t="s">
        <v>1788</v>
      </c>
      <c r="C62" s="16" t="s">
        <v>1789</v>
      </c>
      <c r="D62" s="16" t="s">
        <v>1790</v>
      </c>
      <c r="E62" s="16" t="s">
        <v>1791</v>
      </c>
      <c r="F62" s="16" t="s">
        <v>1792</v>
      </c>
      <c r="G62" s="16" t="s">
        <v>1793</v>
      </c>
      <c r="H62" s="16" t="s">
        <v>1794</v>
      </c>
    </row>
    <row r="63" customFormat="false" ht="24" hidden="false" customHeight="true" outlineLevel="0" collapsed="false">
      <c r="B63" s="25" t="s">
        <v>1892</v>
      </c>
      <c r="C63" s="135" t="n">
        <v>299.3</v>
      </c>
      <c r="D63" s="17" t="s">
        <v>1893</v>
      </c>
      <c r="E63" s="124" t="s">
        <v>1894</v>
      </c>
      <c r="F63" s="17" t="s">
        <v>1801</v>
      </c>
      <c r="G63" s="126" t="s">
        <v>1802</v>
      </c>
      <c r="H63" s="124" t="s">
        <v>1895</v>
      </c>
    </row>
    <row r="64" customFormat="false" ht="24" hidden="false" customHeight="true" outlineLevel="0" collapsed="false">
      <c r="B64" s="25" t="s">
        <v>1896</v>
      </c>
      <c r="C64" s="135" t="n">
        <f aca="false">State_Pension_Week*Weeks_Per_Year</f>
        <v>15563.6</v>
      </c>
      <c r="D64" s="17" t="s">
        <v>1897</v>
      </c>
      <c r="E64" s="124" t="s">
        <v>1894</v>
      </c>
      <c r="F64" s="17" t="s">
        <v>1801</v>
      </c>
      <c r="G64" s="126" t="s">
        <v>1802</v>
      </c>
      <c r="H64" s="124" t="s">
        <v>1895</v>
      </c>
    </row>
    <row r="65" customFormat="false" ht="24" hidden="false" customHeight="true" outlineLevel="0" collapsed="false">
      <c r="B65" s="25" t="s">
        <v>1898</v>
      </c>
      <c r="C65" s="131" t="n">
        <v>66</v>
      </c>
      <c r="D65" s="17" t="s">
        <v>1899</v>
      </c>
      <c r="E65" s="124" t="s">
        <v>1900</v>
      </c>
      <c r="F65" s="17" t="s">
        <v>1884</v>
      </c>
      <c r="G65" s="126" t="s">
        <v>1802</v>
      </c>
      <c r="H65" s="124" t="s">
        <v>1901</v>
      </c>
    </row>
    <row r="66" customFormat="false" ht="24" hidden="false" customHeight="true" outlineLevel="0" collapsed="false">
      <c r="B66" s="25" t="s">
        <v>1902</v>
      </c>
      <c r="C66" s="135" t="n">
        <v>259.5</v>
      </c>
      <c r="D66" s="17" t="s">
        <v>77</v>
      </c>
      <c r="E66" s="124" t="s">
        <v>1903</v>
      </c>
      <c r="F66" s="17" t="s">
        <v>1801</v>
      </c>
      <c r="G66" s="126" t="s">
        <v>1807</v>
      </c>
      <c r="H66" s="124" t="s">
        <v>1904</v>
      </c>
    </row>
    <row r="67" customFormat="false" ht="24" hidden="false" customHeight="true" outlineLevel="0" collapsed="false">
      <c r="B67" s="25" t="s">
        <v>1905</v>
      </c>
      <c r="C67" s="135" t="n">
        <v>299.3</v>
      </c>
      <c r="D67" s="17" t="s">
        <v>1906</v>
      </c>
      <c r="E67" s="124" t="s">
        <v>1824</v>
      </c>
      <c r="F67" s="17" t="s">
        <v>1801</v>
      </c>
      <c r="G67" s="126" t="s">
        <v>1807</v>
      </c>
      <c r="H67" s="124" t="s">
        <v>1904</v>
      </c>
    </row>
    <row r="68" customFormat="false" ht="24" hidden="false" customHeight="true" outlineLevel="0" collapsed="false">
      <c r="B68" s="25" t="s">
        <v>1907</v>
      </c>
      <c r="C68" s="135" t="n">
        <v>254</v>
      </c>
      <c r="D68" s="17" t="s">
        <v>80</v>
      </c>
      <c r="E68" s="124" t="s">
        <v>1908</v>
      </c>
      <c r="F68" s="17" t="s">
        <v>1801</v>
      </c>
      <c r="G68" s="126" t="s">
        <v>1807</v>
      </c>
      <c r="H68" s="124" t="s">
        <v>1909</v>
      </c>
    </row>
    <row r="69" customFormat="false" ht="24" hidden="false" customHeight="true" outlineLevel="0" collapsed="false">
      <c r="B69" s="25" t="s">
        <v>1910</v>
      </c>
      <c r="C69" s="127" t="n">
        <v>0.75</v>
      </c>
      <c r="D69" s="17" t="s">
        <v>80</v>
      </c>
      <c r="E69" s="124" t="s">
        <v>1911</v>
      </c>
      <c r="F69" s="17" t="s">
        <v>1912</v>
      </c>
      <c r="G69" s="126" t="s">
        <v>1913</v>
      </c>
      <c r="H69" s="124" t="s">
        <v>1914</v>
      </c>
    </row>
    <row r="70" customFormat="false" ht="24" hidden="false" customHeight="true" outlineLevel="0" collapsed="false">
      <c r="B70" s="25" t="s">
        <v>1915</v>
      </c>
      <c r="C70" s="131" t="n">
        <v>52</v>
      </c>
      <c r="D70" s="17" t="s">
        <v>1916</v>
      </c>
      <c r="E70" s="124" t="s">
        <v>1917</v>
      </c>
      <c r="F70" s="17" t="s">
        <v>1757</v>
      </c>
      <c r="G70" s="124" t="s">
        <v>3</v>
      </c>
      <c r="H70" s="124" t="s">
        <v>1757</v>
      </c>
    </row>
    <row r="71" customFormat="false" ht="15" hidden="false" customHeight="true" outlineLevel="0" collapsed="false">
      <c r="B71" s="13" t="s">
        <v>1918</v>
      </c>
      <c r="C71" s="14"/>
      <c r="D71" s="14"/>
      <c r="E71" s="14"/>
      <c r="F71" s="14"/>
      <c r="G71" s="14"/>
      <c r="H71" s="14"/>
    </row>
    <row r="72" customFormat="false" ht="15" hidden="false" customHeight="true" outlineLevel="0" collapsed="false">
      <c r="B72" s="16" t="s">
        <v>1788</v>
      </c>
      <c r="C72" s="16" t="s">
        <v>1789</v>
      </c>
      <c r="D72" s="16" t="s">
        <v>1790</v>
      </c>
      <c r="E72" s="16" t="s">
        <v>1791</v>
      </c>
      <c r="F72" s="16" t="s">
        <v>1792</v>
      </c>
      <c r="G72" s="16" t="s">
        <v>1793</v>
      </c>
      <c r="H72" s="16" t="s">
        <v>1794</v>
      </c>
    </row>
    <row r="73" customFormat="false" ht="24" hidden="false" customHeight="true" outlineLevel="0" collapsed="false">
      <c r="B73" s="25" t="s">
        <v>1919</v>
      </c>
      <c r="C73" s="127" t="n">
        <v>0.33</v>
      </c>
      <c r="D73" s="17" t="s">
        <v>1920</v>
      </c>
      <c r="E73" s="124" t="s">
        <v>1921</v>
      </c>
      <c r="F73" s="17" t="s">
        <v>1628</v>
      </c>
      <c r="G73" s="126" t="s">
        <v>1807</v>
      </c>
      <c r="H73" s="124" t="s">
        <v>1922</v>
      </c>
    </row>
    <row r="74" customFormat="false" ht="24" hidden="false" customHeight="true" outlineLevel="0" collapsed="false">
      <c r="B74" s="25" t="s">
        <v>1923</v>
      </c>
      <c r="C74" s="127" t="n">
        <v>0.38</v>
      </c>
      <c r="D74" s="17" t="s">
        <v>1920</v>
      </c>
      <c r="E74" s="124" t="s">
        <v>1924</v>
      </c>
      <c r="F74" s="17" t="s">
        <v>1801</v>
      </c>
      <c r="G74" s="126" t="s">
        <v>1802</v>
      </c>
      <c r="H74" s="124" t="s">
        <v>1925</v>
      </c>
    </row>
    <row r="75" customFormat="false" ht="24" hidden="false" customHeight="true" outlineLevel="0" collapsed="false">
      <c r="B75" s="25" t="s">
        <v>1926</v>
      </c>
      <c r="C75" s="131" t="n">
        <v>8</v>
      </c>
      <c r="D75" s="17" t="s">
        <v>1927</v>
      </c>
      <c r="E75" s="124" t="s">
        <v>1928</v>
      </c>
      <c r="F75" s="17" t="s">
        <v>1628</v>
      </c>
      <c r="G75" s="126" t="s">
        <v>1807</v>
      </c>
      <c r="H75" s="124" t="s">
        <v>1929</v>
      </c>
    </row>
    <row r="76" customFormat="false" ht="24" hidden="false" customHeight="true" outlineLevel="0" collapsed="false">
      <c r="B76" s="25" t="s">
        <v>1930</v>
      </c>
      <c r="C76" s="127" t="n">
        <v>0.01</v>
      </c>
      <c r="D76" s="17" t="s">
        <v>1931</v>
      </c>
      <c r="E76" s="124" t="s">
        <v>1932</v>
      </c>
      <c r="F76" s="17" t="s">
        <v>1628</v>
      </c>
      <c r="G76" s="126" t="s">
        <v>1802</v>
      </c>
      <c r="H76" s="124" t="s">
        <v>1933</v>
      </c>
    </row>
    <row r="77" customFormat="false" ht="15" hidden="false" customHeight="true" outlineLevel="0" collapsed="false">
      <c r="B77" s="13" t="s">
        <v>1934</v>
      </c>
      <c r="C77" s="14"/>
      <c r="D77" s="14"/>
      <c r="E77" s="14"/>
      <c r="F77" s="14"/>
      <c r="G77" s="14"/>
      <c r="H77" s="14"/>
    </row>
    <row r="78" customFormat="false" ht="15" hidden="false" customHeight="true" outlineLevel="0" collapsed="false">
      <c r="B78" s="16" t="s">
        <v>1788</v>
      </c>
      <c r="C78" s="16" t="s">
        <v>1789</v>
      </c>
      <c r="D78" s="16" t="s">
        <v>1790</v>
      </c>
      <c r="E78" s="16" t="s">
        <v>1791</v>
      </c>
      <c r="F78" s="16" t="s">
        <v>1792</v>
      </c>
      <c r="G78" s="16" t="s">
        <v>1793</v>
      </c>
      <c r="H78" s="16" t="s">
        <v>1794</v>
      </c>
    </row>
    <row r="79" customFormat="false" ht="24" hidden="false" customHeight="true" outlineLevel="0" collapsed="false">
      <c r="B79" s="25" t="s">
        <v>1935</v>
      </c>
      <c r="C79" s="136" t="n">
        <v>4</v>
      </c>
      <c r="D79" s="17" t="s">
        <v>33</v>
      </c>
      <c r="E79" s="124" t="s">
        <v>1936</v>
      </c>
      <c r="F79" s="17" t="s">
        <v>1937</v>
      </c>
      <c r="G79" s="126" t="s">
        <v>1802</v>
      </c>
      <c r="H79" s="124" t="s">
        <v>1938</v>
      </c>
    </row>
    <row r="80" customFormat="false" ht="24" hidden="false" customHeight="true" outlineLevel="0" collapsed="false">
      <c r="B80" s="25" t="s">
        <v>1939</v>
      </c>
      <c r="C80" s="136" t="n">
        <v>3.5</v>
      </c>
      <c r="D80" s="17" t="s">
        <v>33</v>
      </c>
      <c r="E80" s="124" t="s">
        <v>1936</v>
      </c>
      <c r="F80" s="17" t="s">
        <v>1937</v>
      </c>
      <c r="G80" s="126" t="s">
        <v>1802</v>
      </c>
      <c r="H80" s="124" t="s">
        <v>1938</v>
      </c>
    </row>
    <row r="81" customFormat="false" ht="24" hidden="false" customHeight="true" outlineLevel="0" collapsed="false">
      <c r="B81" s="25" t="s">
        <v>1940</v>
      </c>
      <c r="C81" s="127" t="n">
        <v>0.9</v>
      </c>
      <c r="D81" s="17" t="s">
        <v>1941</v>
      </c>
      <c r="E81" s="124" t="s">
        <v>1936</v>
      </c>
      <c r="F81" s="17" t="s">
        <v>1937</v>
      </c>
      <c r="G81" s="126" t="s">
        <v>1802</v>
      </c>
      <c r="H81" s="124" t="s">
        <v>1942</v>
      </c>
    </row>
    <row r="82" customFormat="false" ht="24" hidden="false" customHeight="true" outlineLevel="0" collapsed="false">
      <c r="B82" s="25" t="s">
        <v>1943</v>
      </c>
      <c r="C82" s="127" t="n">
        <f aca="false">1-LTV_Max</f>
        <v>0.1</v>
      </c>
      <c r="D82" s="17" t="s">
        <v>1944</v>
      </c>
      <c r="E82" s="124" t="s">
        <v>1945</v>
      </c>
      <c r="F82" s="17" t="s">
        <v>1937</v>
      </c>
      <c r="G82" s="126" t="s">
        <v>1802</v>
      </c>
      <c r="H82" s="124" t="s">
        <v>1946</v>
      </c>
    </row>
    <row r="83" customFormat="false" ht="39.75" hidden="false" customHeight="true" outlineLevel="0" collapsed="false">
      <c r="B83" s="15" t="s">
        <v>1947</v>
      </c>
      <c r="C83" s="15"/>
      <c r="D83" s="15"/>
      <c r="E83" s="124" t="s">
        <v>1948</v>
      </c>
    </row>
    <row r="84" customFormat="false" ht="24" hidden="false" customHeight="true" outlineLevel="0" collapsed="false">
      <c r="B84" s="25" t="s">
        <v>1949</v>
      </c>
      <c r="C84" s="127" t="n">
        <v>0.01</v>
      </c>
      <c r="D84" s="17" t="s">
        <v>1950</v>
      </c>
      <c r="E84" s="124" t="s">
        <v>1951</v>
      </c>
      <c r="F84" s="17" t="s">
        <v>1952</v>
      </c>
      <c r="G84" s="126" t="s">
        <v>1807</v>
      </c>
      <c r="H84" s="124" t="s">
        <v>1953</v>
      </c>
    </row>
    <row r="85" customFormat="false" ht="24" hidden="false" customHeight="true" outlineLevel="0" collapsed="false">
      <c r="B85" s="25" t="s">
        <v>1954</v>
      </c>
      <c r="C85" s="125" t="n">
        <v>1000000</v>
      </c>
      <c r="D85" s="17" t="s">
        <v>1950</v>
      </c>
      <c r="E85" s="124" t="s">
        <v>1951</v>
      </c>
      <c r="F85" s="17" t="s">
        <v>1952</v>
      </c>
      <c r="G85" s="126" t="s">
        <v>1807</v>
      </c>
      <c r="H85" s="124" t="s">
        <v>1953</v>
      </c>
    </row>
    <row r="86" customFormat="false" ht="24" hidden="false" customHeight="true" outlineLevel="0" collapsed="false">
      <c r="B86" s="25" t="s">
        <v>1955</v>
      </c>
      <c r="C86" s="127" t="n">
        <v>0.02</v>
      </c>
      <c r="D86" s="17" t="s">
        <v>1950</v>
      </c>
      <c r="E86" s="124" t="s">
        <v>1951</v>
      </c>
      <c r="F86" s="17" t="s">
        <v>1952</v>
      </c>
      <c r="G86" s="126" t="s">
        <v>1807</v>
      </c>
      <c r="H86" s="124" t="s">
        <v>1953</v>
      </c>
    </row>
    <row r="87" customFormat="false" ht="24" hidden="false" customHeight="true" outlineLevel="0" collapsed="false">
      <c r="B87" s="25" t="s">
        <v>1956</v>
      </c>
      <c r="C87" s="125" t="n">
        <v>1500000</v>
      </c>
      <c r="D87" s="17" t="s">
        <v>1950</v>
      </c>
      <c r="E87" s="124" t="s">
        <v>1951</v>
      </c>
      <c r="F87" s="17" t="s">
        <v>1952</v>
      </c>
      <c r="G87" s="126" t="s">
        <v>1807</v>
      </c>
      <c r="H87" s="124" t="s">
        <v>1953</v>
      </c>
    </row>
    <row r="88" customFormat="false" ht="24" hidden="false" customHeight="true" outlineLevel="0" collapsed="false">
      <c r="B88" s="25" t="s">
        <v>1957</v>
      </c>
      <c r="C88" s="127" t="n">
        <v>0.06</v>
      </c>
      <c r="D88" s="17" t="s">
        <v>1950</v>
      </c>
      <c r="E88" s="124" t="s">
        <v>1951</v>
      </c>
      <c r="F88" s="17" t="s">
        <v>1952</v>
      </c>
      <c r="G88" s="126" t="s">
        <v>1807</v>
      </c>
      <c r="H88" s="124" t="s">
        <v>1953</v>
      </c>
    </row>
    <row r="89" customFormat="false" ht="39.75" hidden="false" customHeight="true" outlineLevel="0" collapsed="false">
      <c r="B89" s="15" t="s">
        <v>1958</v>
      </c>
      <c r="C89" s="15"/>
      <c r="D89" s="15"/>
      <c r="E89" s="124" t="s">
        <v>1959</v>
      </c>
    </row>
    <row r="90" customFormat="false" ht="15" hidden="false" customHeight="true" outlineLevel="0" collapsed="false">
      <c r="B90" s="13" t="s">
        <v>1960</v>
      </c>
      <c r="C90" s="14"/>
      <c r="D90" s="14"/>
      <c r="E90" s="14"/>
      <c r="F90" s="14"/>
      <c r="G90" s="14"/>
      <c r="H90" s="14"/>
    </row>
    <row r="91" customFormat="false" ht="15" hidden="false" customHeight="true" outlineLevel="0" collapsed="false">
      <c r="B91" s="16" t="s">
        <v>1788</v>
      </c>
      <c r="C91" s="16" t="s">
        <v>1789</v>
      </c>
      <c r="D91" s="16" t="s">
        <v>1790</v>
      </c>
      <c r="E91" s="16" t="s">
        <v>1791</v>
      </c>
      <c r="F91" s="16" t="s">
        <v>1792</v>
      </c>
      <c r="G91" s="16" t="s">
        <v>1793</v>
      </c>
      <c r="H91" s="16" t="s">
        <v>1794</v>
      </c>
    </row>
    <row r="92" customFormat="false" ht="24" hidden="false" customHeight="true" outlineLevel="0" collapsed="false">
      <c r="B92" s="25" t="s">
        <v>1961</v>
      </c>
      <c r="C92" s="127" t="n">
        <v>0.7</v>
      </c>
      <c r="D92" s="17" t="s">
        <v>75</v>
      </c>
      <c r="E92" s="124" t="s">
        <v>1962</v>
      </c>
      <c r="F92" s="17" t="s">
        <v>1757</v>
      </c>
      <c r="G92" s="124" t="s">
        <v>3</v>
      </c>
      <c r="H92" s="124" t="s">
        <v>1757</v>
      </c>
    </row>
    <row r="93" customFormat="false" ht="24" hidden="false" customHeight="true" outlineLevel="0" collapsed="false">
      <c r="B93" s="25" t="s">
        <v>1963</v>
      </c>
      <c r="C93" s="127" t="n">
        <v>0.4</v>
      </c>
      <c r="D93" s="17" t="s">
        <v>75</v>
      </c>
      <c r="E93" s="124" t="s">
        <v>1964</v>
      </c>
      <c r="F93" s="17" t="s">
        <v>1757</v>
      </c>
      <c r="G93" s="124" t="s">
        <v>3</v>
      </c>
      <c r="H93" s="124" t="s">
        <v>1757</v>
      </c>
    </row>
    <row r="94" customFormat="false" ht="24" hidden="false" customHeight="true" outlineLevel="0" collapsed="false">
      <c r="B94" s="25" t="s">
        <v>1965</v>
      </c>
      <c r="C94" s="131" t="n">
        <v>365</v>
      </c>
      <c r="D94" s="17" t="s">
        <v>1966</v>
      </c>
      <c r="E94" s="124" t="s">
        <v>1967</v>
      </c>
      <c r="F94" s="17" t="s">
        <v>1757</v>
      </c>
      <c r="G94" s="124" t="s">
        <v>3</v>
      </c>
      <c r="H94" s="124" t="s">
        <v>1757</v>
      </c>
    </row>
    <row r="95" customFormat="false" ht="24" hidden="false" customHeight="true" outlineLevel="0" collapsed="false">
      <c r="B95" s="25" t="s">
        <v>1968</v>
      </c>
      <c r="C95" s="127" t="n">
        <v>0.8</v>
      </c>
      <c r="D95" s="17" t="s">
        <v>1969</v>
      </c>
      <c r="E95" s="124" t="s">
        <v>1967</v>
      </c>
      <c r="F95" s="17" t="s">
        <v>1757</v>
      </c>
      <c r="G95" s="124" t="s">
        <v>3</v>
      </c>
      <c r="H95" s="124" t="s">
        <v>1757</v>
      </c>
    </row>
    <row r="96" customFormat="false" ht="15" hidden="false" customHeight="true" outlineLevel="0" collapsed="false">
      <c r="B96" s="13" t="s">
        <v>1970</v>
      </c>
      <c r="C96" s="14"/>
      <c r="D96" s="14"/>
      <c r="E96" s="14"/>
      <c r="F96" s="14"/>
      <c r="G96" s="14"/>
      <c r="H96" s="14"/>
    </row>
    <row r="97" customFormat="false" ht="15" hidden="false" customHeight="true" outlineLevel="0" collapsed="false">
      <c r="B97" s="16" t="s">
        <v>1788</v>
      </c>
      <c r="C97" s="16" t="s">
        <v>1789</v>
      </c>
      <c r="D97" s="16" t="s">
        <v>1790</v>
      </c>
      <c r="E97" s="16" t="s">
        <v>1791</v>
      </c>
      <c r="F97" s="16" t="s">
        <v>1792</v>
      </c>
      <c r="G97" s="16" t="s">
        <v>1793</v>
      </c>
      <c r="H97" s="16" t="s">
        <v>1794</v>
      </c>
    </row>
    <row r="98" customFormat="false" ht="24" hidden="false" customHeight="true" outlineLevel="0" collapsed="false">
      <c r="B98" s="25" t="s">
        <v>1971</v>
      </c>
      <c r="C98" s="131" t="n">
        <v>1200</v>
      </c>
      <c r="D98" s="17" t="s">
        <v>1972</v>
      </c>
      <c r="E98" s="124" t="s">
        <v>1973</v>
      </c>
      <c r="F98" s="17" t="s">
        <v>1757</v>
      </c>
      <c r="G98" s="124" t="s">
        <v>3</v>
      </c>
      <c r="H98" s="124" t="s">
        <v>1757</v>
      </c>
    </row>
    <row r="99" customFormat="false" ht="24" hidden="false" customHeight="true" outlineLevel="0" collapsed="false">
      <c r="B99" s="25" t="s">
        <v>1974</v>
      </c>
      <c r="C99" s="131" t="n">
        <v>60</v>
      </c>
      <c r="D99" s="17" t="s">
        <v>156</v>
      </c>
      <c r="E99" s="124" t="s">
        <v>1973</v>
      </c>
      <c r="F99" s="17" t="s">
        <v>1757</v>
      </c>
      <c r="G99" s="124" t="s">
        <v>3</v>
      </c>
      <c r="H99" s="124" t="s">
        <v>1757</v>
      </c>
    </row>
    <row r="100" customFormat="false" ht="24" hidden="false" customHeight="true" outlineLevel="0" collapsed="false">
      <c r="B100" s="25" t="s">
        <v>1975</v>
      </c>
      <c r="C100" s="131" t="n">
        <v>5</v>
      </c>
      <c r="D100" s="17" t="s">
        <v>82</v>
      </c>
      <c r="E100" s="124" t="s">
        <v>1973</v>
      </c>
      <c r="F100" s="17" t="s">
        <v>1757</v>
      </c>
      <c r="G100" s="124" t="s">
        <v>3</v>
      </c>
      <c r="H100" s="124" t="s">
        <v>1757</v>
      </c>
    </row>
    <row r="101" customFormat="false" ht="24" hidden="false" customHeight="true" outlineLevel="0" collapsed="false">
      <c r="B101" s="25" t="s">
        <v>1976</v>
      </c>
      <c r="C101" s="131" t="n">
        <v>10</v>
      </c>
      <c r="D101" s="17" t="s">
        <v>82</v>
      </c>
      <c r="E101" s="124" t="s">
        <v>1973</v>
      </c>
      <c r="F101" s="17" t="s">
        <v>1757</v>
      </c>
      <c r="G101" s="124" t="s">
        <v>3</v>
      </c>
      <c r="H101" s="124" t="s">
        <v>1757</v>
      </c>
    </row>
    <row r="102" customFormat="false" ht="24" hidden="false" customHeight="true" outlineLevel="0" collapsed="false">
      <c r="B102" s="25" t="s">
        <v>1977</v>
      </c>
      <c r="C102" s="131" t="n">
        <v>15</v>
      </c>
      <c r="D102" s="17" t="s">
        <v>82</v>
      </c>
      <c r="E102" s="124" t="s">
        <v>1973</v>
      </c>
      <c r="F102" s="17" t="s">
        <v>1757</v>
      </c>
      <c r="G102" s="124" t="s">
        <v>3</v>
      </c>
      <c r="H102" s="124" t="s">
        <v>1757</v>
      </c>
    </row>
    <row r="103" customFormat="false" ht="24" hidden="false" customHeight="true" outlineLevel="0" collapsed="false">
      <c r="B103" s="25" t="s">
        <v>1978</v>
      </c>
      <c r="C103" s="137" t="n">
        <v>1.645</v>
      </c>
      <c r="D103" s="17" t="s">
        <v>75</v>
      </c>
      <c r="E103" s="124" t="s">
        <v>1979</v>
      </c>
      <c r="F103" s="17" t="s">
        <v>1757</v>
      </c>
      <c r="G103" s="124" t="s">
        <v>3</v>
      </c>
      <c r="H103" s="124" t="s">
        <v>1980</v>
      </c>
    </row>
    <row r="104" customFormat="false" ht="15" hidden="false" customHeight="true" outlineLevel="0" collapsed="false">
      <c r="B104" s="25" t="s">
        <v>1981</v>
      </c>
      <c r="C104" s="132" t="s">
        <v>1982</v>
      </c>
      <c r="D104" s="12" t="s">
        <v>75</v>
      </c>
      <c r="E104" s="133" t="s">
        <v>1983</v>
      </c>
      <c r="G104" s="52" t="s">
        <v>3</v>
      </c>
    </row>
    <row r="105" customFormat="false" ht="15" hidden="false" customHeight="true" outlineLevel="0" collapsed="false">
      <c r="B105" s="25" t="s">
        <v>1984</v>
      </c>
      <c r="C105" s="132" t="s">
        <v>1985</v>
      </c>
      <c r="D105" s="12" t="s">
        <v>75</v>
      </c>
      <c r="E105" s="133" t="s">
        <v>1983</v>
      </c>
      <c r="G105" s="52" t="s">
        <v>3</v>
      </c>
    </row>
    <row r="106" customFormat="false" ht="15" hidden="false" customHeight="true" outlineLevel="0" collapsed="false">
      <c r="B106" s="25" t="s">
        <v>1986</v>
      </c>
      <c r="C106" s="132" t="s">
        <v>1987</v>
      </c>
      <c r="D106" s="12" t="s">
        <v>75</v>
      </c>
      <c r="E106" s="133" t="s">
        <v>1983</v>
      </c>
      <c r="G106" s="52" t="s">
        <v>3</v>
      </c>
    </row>
    <row r="108" customFormat="false" ht="15" hidden="false" customHeight="true" outlineLevel="0" collapsed="false">
      <c r="B108" s="13" t="s">
        <v>95</v>
      </c>
      <c r="C108" s="14"/>
      <c r="D108" s="14"/>
      <c r="E108" s="14"/>
      <c r="F108" s="14"/>
      <c r="G108" s="14"/>
      <c r="H108" s="14"/>
    </row>
    <row r="109" customFormat="false" ht="42" hidden="false" customHeight="true" outlineLevel="0" collapsed="false">
      <c r="B109" s="15" t="s">
        <v>96</v>
      </c>
      <c r="C109" s="15"/>
      <c r="D109" s="15"/>
      <c r="E109" s="15"/>
      <c r="F109" s="15"/>
      <c r="G109" s="15"/>
    </row>
    <row r="110" customFormat="false" ht="15" hidden="false" customHeight="true" outlineLevel="0" collapsed="false">
      <c r="B110" s="16" t="s">
        <v>97</v>
      </c>
      <c r="D110" s="16" t="s">
        <v>98</v>
      </c>
      <c r="E110" s="16" t="s">
        <v>99</v>
      </c>
    </row>
    <row r="111" customFormat="false" ht="25.5" hidden="false" customHeight="true" outlineLevel="0" collapsed="false">
      <c r="B111" s="17" t="s">
        <v>100</v>
      </c>
      <c r="D111" s="17" t="s">
        <v>101</v>
      </c>
      <c r="E111" s="17" t="s">
        <v>102</v>
      </c>
    </row>
    <row r="112" customFormat="false" ht="25.5" hidden="false" customHeight="true" outlineLevel="0" collapsed="false">
      <c r="B112" s="17" t="s">
        <v>103</v>
      </c>
      <c r="D112" s="17" t="s">
        <v>104</v>
      </c>
      <c r="E112" s="17" t="s">
        <v>105</v>
      </c>
    </row>
    <row r="113" customFormat="false" ht="25.5" hidden="false" customHeight="true" outlineLevel="0" collapsed="false">
      <c r="B113" s="17" t="s">
        <v>106</v>
      </c>
      <c r="D113" s="17" t="s">
        <v>107</v>
      </c>
      <c r="E113" s="17" t="s">
        <v>105</v>
      </c>
    </row>
    <row r="114" customFormat="false" ht="25.5" hidden="false" customHeight="true" outlineLevel="0" collapsed="false">
      <c r="B114" s="17" t="s">
        <v>108</v>
      </c>
      <c r="D114" s="17" t="s">
        <v>109</v>
      </c>
      <c r="E114" s="17" t="s">
        <v>110</v>
      </c>
    </row>
    <row r="115" customFormat="false" ht="25.5" hidden="false" customHeight="true" outlineLevel="0" collapsed="false">
      <c r="B115" s="17" t="s">
        <v>111</v>
      </c>
      <c r="D115" s="17" t="s">
        <v>112</v>
      </c>
      <c r="E115" s="17" t="s">
        <v>113</v>
      </c>
    </row>
    <row r="116" customFormat="false" ht="25.5" hidden="false" customHeight="true" outlineLevel="0" collapsed="false">
      <c r="B116" s="17" t="s">
        <v>114</v>
      </c>
      <c r="D116" s="17" t="s">
        <v>115</v>
      </c>
      <c r="E116" s="17" t="s">
        <v>116</v>
      </c>
    </row>
    <row r="117" customFormat="false" ht="25.5" hidden="false" customHeight="true" outlineLevel="0" collapsed="false">
      <c r="B117" s="17" t="s">
        <v>117</v>
      </c>
      <c r="D117" s="17" t="s">
        <v>118</v>
      </c>
      <c r="E117" s="17" t="s">
        <v>119</v>
      </c>
    </row>
    <row r="118" customFormat="false" ht="25.5" hidden="false" customHeight="true" outlineLevel="0" collapsed="false">
      <c r="B118" s="17" t="s">
        <v>120</v>
      </c>
      <c r="D118" s="17" t="s">
        <v>121</v>
      </c>
      <c r="E118" s="17" t="s">
        <v>122</v>
      </c>
    </row>
    <row r="119" customFormat="false" ht="25.5" hidden="false" customHeight="true" outlineLevel="0" collapsed="false">
      <c r="B119" s="17" t="s">
        <v>123</v>
      </c>
      <c r="D119" s="17" t="s">
        <v>124</v>
      </c>
      <c r="E119" s="17" t="s">
        <v>105</v>
      </c>
    </row>
    <row r="120" customFormat="false" ht="25.5" hidden="false" customHeight="true" outlineLevel="0" collapsed="false">
      <c r="B120" s="17" t="s">
        <v>125</v>
      </c>
      <c r="D120" s="17" t="s">
        <v>126</v>
      </c>
      <c r="E120" s="17" t="s">
        <v>105</v>
      </c>
    </row>
    <row r="121" customFormat="false" ht="25.5" hidden="false" customHeight="true" outlineLevel="0" collapsed="false">
      <c r="B121" s="17" t="s">
        <v>127</v>
      </c>
      <c r="D121" s="17" t="s">
        <v>128</v>
      </c>
      <c r="E121" s="17" t="s">
        <v>129</v>
      </c>
    </row>
    <row r="123" customFormat="false" ht="15" hidden="false" customHeight="true" outlineLevel="0" collapsed="false">
      <c r="B123" s="13" t="s">
        <v>1988</v>
      </c>
    </row>
    <row r="124" customFormat="false" ht="81.75" hidden="false" customHeight="true" outlineLevel="0" collapsed="false">
      <c r="B124" s="138"/>
    </row>
    <row r="125" customFormat="false" ht="15" hidden="false" customHeight="true" outlineLevel="0" collapsed="false">
      <c r="C125" s="139"/>
    </row>
    <row r="126" customFormat="false" ht="15" hidden="false" customHeight="true" outlineLevel="0" collapsed="false">
      <c r="B126" s="16"/>
      <c r="C126" s="16"/>
      <c r="D126" s="16"/>
      <c r="E126" s="16"/>
      <c r="F126" s="16"/>
      <c r="G126" s="16"/>
      <c r="H126" s="16"/>
    </row>
    <row r="127" customFormat="false" ht="15" hidden="false" customHeight="true" outlineLevel="0" collapsed="false">
      <c r="C127" s="140"/>
    </row>
    <row r="128" customFormat="false" ht="15" hidden="false" customHeight="true" outlineLevel="0" collapsed="false">
      <c r="C128" s="140"/>
    </row>
    <row r="129" customFormat="false" ht="15" hidden="false" customHeight="true" outlineLevel="0" collapsed="false">
      <c r="C129" s="140"/>
    </row>
    <row r="130" customFormat="false" ht="15" hidden="false" customHeight="true" outlineLevel="0" collapsed="false">
      <c r="C130" s="140"/>
    </row>
    <row r="131" customFormat="false" ht="15" hidden="false" customHeight="true" outlineLevel="0" collapsed="false">
      <c r="C131" s="141"/>
    </row>
    <row r="132" customFormat="false" ht="15" hidden="false" customHeight="true" outlineLevel="0" collapsed="false">
      <c r="C132" s="140"/>
    </row>
    <row r="133" customFormat="false" ht="15" hidden="false" customHeight="true" outlineLevel="0" collapsed="false">
      <c r="C133" s="121"/>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2026-10-06T17:18:56Z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