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29.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3.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29.vml" ContentType="application/vnd.openxmlformats-officedocument.vmlDrawing"/>
  <Override PartName="/xl/drawings/vmlDrawing17.vml" ContentType="application/vnd.openxmlformats-officedocument.vmlDrawing"/>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25.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28.xml.rels" ContentType="application/vnd.openxmlformats-package.relationships+xml"/>
  <Override PartName="/xl/worksheets/_rels/sheet3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Tax engine" sheetId="30" state="visible" r:id="rId32"/>
    <sheet name="Document reader spec" sheetId="31" state="visible" r:id="rId33"/>
    <sheet name="Assumptions" sheetId="32" state="visible" r:id="rId34"/>
  </sheets>
  <definedNames>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emed_Disposal_Years" vbProcedure="false">Assumptions!$C$75</definedName>
    <definedName function="false" hidden="false" name="DIRT" vbProcedure="false">Assumptions!$C$73</definedName>
    <definedName function="false" hidden="false" name="Exit_Tax" vbProcedure="false">Assumptions!$C$74</definedName>
    <definedName function="false" hidden="false" name="Fill_Example" vbProcedure="false">README!$C$3</definedName>
    <definedName function="false" hidden="false" name="Illness_Benefit_Week" vbProcedure="false">Assumptions!$C$68</definedName>
    <definedName function="false" hidden="false" name="IP_Max_Pct" vbProcedure="false">Assumptions!$C$69</definedName>
    <definedName function="false" hidden="false" name="Life_Levy" vbProcedure="false">Assumptions!$C$76</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in_Deposit_Pct" vbProcedure="false">Assumptions!$C$82</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One_In_20_Z" vbProcedure="false">Assumptions!$C$103</definedName>
    <definedName function="false" hidden="false" name="Pension_Earliest_Age" vbProcedure="false">Assumptions!$C$59</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isk_Names" vbProcedure="false">Assumptions!$C$104:$C$106</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Weeks_Per_Year" vbProcedure="false">Assumptions!$C$70</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Usually between 3.5% and 4.5% a year for new Irish mortgages (Central Bank retail interest rates: new mortgages averaged 3.49% in June 2026). Enter your own figure. Example only: 3.75%.</t>
        </r>
      </text>
    </comment>
    <comment ref="C11" authorId="0">
      <text>
        <r>
          <rPr>
            <sz val="10"/>
            <rFont val="Arial"/>
            <family val="2"/>
          </rPr>
          <t xml:space="preserve">Your own figure. Example only: 30.</t>
        </r>
      </text>
    </comment>
    <comment ref="C12" authorId="0">
      <text>
        <r>
          <rPr>
            <sz val="10"/>
            <rFont val="Arial"/>
            <family val="2"/>
          </rPr>
          <t xml:space="preserve">Usually between €2,500 and €3,500 for legal and survey fees (stamp duty is added for you). Enter your own figure. Example only: €3,000.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Usually between 3.5% and 4.5% a year for new Irish mortgages (Central Bank retail interest rates: new mortgages averaged 3.49% in June 2026). In the app it is pre-filled from Your finances / mortgage statement: rate. Enter your own figure. Example only: 3.75%.</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Usually between €2,500 and €3,500 for legal and survey fees (stamp duty is added for you). Enter your own figure. Example only: €3,000.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Usually between 3.5% and 4.5% a year for new Irish mortgages (Central Bank retail interest rates: new mortgages averaged 3.49% in June 2026). In the app it is pre-filled from Your finances / statement: rate. Enter your own figure. Example only: 3.75%.</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Usually between 3.5% and 4.5% a year for new Irish mortgages (Central Bank retail interest rates: new mortgages averaged 3.49% in June 2026). In the app it is pre-filled from Your finances / statement: rate. Enter your own figure. Example only: 3.75%.</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Usually between 3.5% and 4.5% a year for new Irish mortgages (Central Bank retail interest rates: new mortgages averaged 3.49% in June 2026). In the app it is pre-filled from Your finances / statement: rate. Enter your own figure. Example only: 3.75%.</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Usually between 3.5% and 4.5% a year for new Irish mortgages (Central Bank retail interest rates: new mortgages averaged 3.49% in June 2026). Enter your own figure. Example only: 3.75%.</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Usually between €2,500 and €3,500 for legal and survey fees (stamp duty is added for you). Enter your own figure. Example only: €3,000.</t>
        </r>
      </text>
    </comment>
    <comment ref="C16" authorId="0">
      <text>
        <r>
          <rPr>
            <sz val="10"/>
            <rFont val="Arial"/>
            <family val="2"/>
          </rPr>
          <t xml:space="preserve">Usually between about 1.3% and 1.5% a year after 33% DIRT (fixed-term deposits paid about 2%–2.3% before tax in mid-2026). Enter your own figure. Example only: 1%.</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(long-run 5%–6% a year; Irish rules audit B3).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(long-run 5%–6% a year; Irish rules audit B3).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Usually between 0.5% and 1.5% a year for fund charges (provider charges; your statement shows yours). Enter your own figure. Example only: 0%.</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(LifeGoals Standard set; Cautious 4%). Choose what you want to use. Example only: 4.5%.</t>
        </r>
      </text>
    </comment>
    <comment ref="C28" authorId="0">
      <text>
        <r>
          <rPr>
            <sz val="10"/>
            <rFont val="Arial"/>
            <family val="2"/>
          </rPr>
          <t xml:space="preserve">Generally the standard is 3% a year (Irish pay has grown about 3%–4% a year recently; LifeGoals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Usually between 0.5% and 1.5% a year for pension charges (your statement shows yours). Enter your own figure. Example only: 1%.</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(LifeGoals Standard set; Cautious 4%). Choose what you want to use. Example only: 4.5%.</t>
        </r>
      </text>
    </comment>
    <comment ref="C19" authorId="0">
      <text>
        <r>
          <rPr>
            <sz val="10"/>
            <rFont val="Arial"/>
            <family val="2"/>
          </rPr>
          <t xml:space="preserve">Usually between 0.5% and 1.5% a year for pension charges (your statement shows yours). Enter your own figure. Example only: 1%.</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(LifeGoals Standard set; Cautious 4%). Choose what you want to use. Example only: 4.5%.</t>
        </r>
      </text>
    </comment>
    <comment ref="C19" authorId="0">
      <text>
        <r>
          <rPr>
            <sz val="10"/>
            <rFont val="Arial"/>
            <family val="2"/>
          </rPr>
          <t xml:space="preserve">Usually between 0.5% and 1.5% a year for pension charges (your statement shows yours). Enter your own figure. Example only: 1%.</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(LifeGoals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many people plan to 90–95.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(long-run 5%–6% a year; Irish rules audit B3).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(long-run 5%–6% a year; Irish rules audit B3). Choose what you want to use. Example only: 5%.</t>
        </r>
      </text>
    </comment>
    <comment ref="C19" authorId="0">
      <text>
        <r>
          <rPr>
            <sz val="10"/>
            <rFont val="Arial"/>
            <family val="2"/>
          </rPr>
          <t xml:space="preserve">Usually between 0.5% and 1.5% a year for fund charges (provider charges; your statement shows yours). Enter your own figure. Example only: 1%.</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(long-run 5%–6% a year; Irish rules audit B3). Choose what you want to use. Example only: 5%.</t>
        </r>
      </text>
    </comment>
    <comment ref="C15" authorId="0">
      <text>
        <r>
          <rPr>
            <sz val="10"/>
            <rFont val="Arial"/>
            <family val="2"/>
          </rPr>
          <t xml:space="preserve">Usually between 0.5% and 1.5% a year for fund charges (provider charges; your statement shows yours). Enter your own figure. Example only: 0.5%.</t>
        </r>
      </text>
    </comment>
    <comment ref="C16" authorId="0">
      <text>
        <r>
          <rPr>
            <sz val="10"/>
            <rFont val="Arial"/>
            <family val="2"/>
          </rPr>
          <t xml:space="preserve">Usually between 0.5% and 1.5% a year for fund charges (provider charges; your statement shows yours). Enter your own figure. Example only: 1.5%.</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figure. In the app it is pre-filled from Your finances / statement: rate. Example only: 3.75%.</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Usually between 13% and 23% APR for Irish credit cards (Central Bank review, 2026); your statement shows yours. In the app it is pre-filled from Your finances: that debt's rate (else 20% card / 8% loan). Enter your own figure. Example only: 20%.</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Usually between 6% and 10% APR for personal loans (Central Bank: new lending averaged 7.48%, June 2026); credit unions often charge less. Enter your own figure. Example only: 8%.</t>
        </r>
      </text>
    </comment>
    <comment ref="C8" authorId="0">
      <text>
        <r>
          <rPr>
            <sz val="10"/>
            <rFont val="Arial"/>
            <family val="2"/>
          </rPr>
          <t xml:space="preserve">Your own figure. Example only: 5.</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<sst xmlns="http://schemas.openxmlformats.org/spreadsheetml/2006/main" count="3605" uniqueCount="1735">
  <si>
    <t xml:space="preserve">LifeGoals calculators</t>
  </si>
  <si>
    <t xml:space="preserve">Version 2.3 · 2 Oct 2026 · built from LifeGoals-Customer-Journey-Prototype.html (CALCS), corrected per the independent accuracy audit</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</si>
  <si>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</si>
  <si>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</si>
  <si>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</si>
  <si>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</si>
  <si>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</si>
  <si>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Type 1, set by Government (tax, USC, PRSI, relief %, lump-sum bands, DIRT, exit tax, Central Bank limits, full State Pension and benefit rates): on the Assumptions sheet, not an input. Type 2, varies within a known range (mortgage rate, card APR, fund charges, the State Pension you will get …): a yellow input with "Usually between X and Y (source)". Type 3, personal (inflation, growth, pay rises, emergency months, drawdown timing, retirement multiple, and your own figures): a yellow input left BLANK with "Generally the standard is X (source). Choose what you want to use." Retirement age and plan-until age are blank with guidance only, never a standard.</t>
  </si>
  <si>
    <t xml:space="preserve">• Blank inputs stay blank: results that need them show "Choose your … to see this". Switch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</si>
  <si>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</si>
  <si>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Inputs marked "Suggested · change if you like" are judgement choices (growth, fees, pay rises, emergency months, retirement multiple, rates …). They are pre-filled with the audit's suggestion and the guidance shows when you click the cell.</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</si>
  <si>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</si>
  <si>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</si>
  <si>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</si>
  <si>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applies the rule statement figure if present, else your typed figure, and says which was used. See the "Document reader spec" sheet.</t>
  </si>
  <si>
    <t xml:space="preserve">• The workbook recalculates automatically, including when it is opened.</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</si>
  <si>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</si>
  <si>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</si>
  <si>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</si>
  <si>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</si>
  <si>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</si>
  <si>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</si>
  <si>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</si>
  <si>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Numbering</t>
  </si>
  <si>
    <t xml:space="preserve">• C01–C28 in the order of the prototype's CALCS array; the same numbers are used in the UI/UX spec.</t>
  </si>
  <si>
    <t xml:space="preserve">Out of scope</t>
  </si>
  <si>
    <t xml:space="preserve">• The main plan cashflow / goal-funding engine (project()) is documented separately.</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</si>
  <si>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</si>
  <si>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</si>
  <si>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</si>
  <si>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</si>
  <si>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</si>
  <si>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</si>
  <si>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</si>
  <si>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</si>
  <si>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</si>
  <si>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</si>
  <si>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</si>
  <si>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</si>
  <si>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</si>
  <si>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</si>
  <si>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</si>
  <si>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</si>
  <si>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</si>
  <si>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</si>
  <si>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</si>
  <si>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</si>
  <si>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</si>
  <si>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</si>
  <si>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</si>
  <si>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</si>
  <si>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</si>
  <si>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</si>
  <si>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</si>
  <si>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</si>
  <si>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</si>
  <si>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financial cushion?</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</si>
  <si>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</si>
  <si>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</si>
  <si>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</si>
  <si>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</si>
  <si>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</si>
  <si>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</si>
  <si>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</si>
  <si>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</si>
  <si>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</si>
  <si>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</si>
  <si>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</si>
  <si>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</si>
  <si>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</si>
  <si>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</si>
  <si>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</si>
  <si>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</si>
  <si>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</si>
  <si>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</si>
  <si>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</si>
  <si>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</si>
  <si>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</si>
  <si>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</si>
  <si>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</si>
  <si>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</si>
  <si>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</si>
  <si>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</si>
  <si>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</si>
  <si>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</si>
  <si>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</si>
  <si>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</si>
  <si>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</si>
  <si>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</si>
  <si>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</si>
  <si>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</si>
  <si>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</si>
  <si>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</si>
  <si>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</si>
  <si>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WATCH (update after 6 Oct 2026; nothing changed in advance)</t>
  </si>
  <si>
    <t xml:space="preserve">Budget 2027 is due on Tuesday 6 October 2026 (Summer Economic Statement, 22 July 2026; €8.5bn package). Nothing below has been changed in advance. Update each constant on 6–7 Oct 2026 with its effective date, then re-run the Tax engine checks. Sources: https://kpmg.com/ie/en/insights/tax/budget-2027.html · https://www.irishpolitics.ie/budget/ (verify on gov.ie on the day).</t>
  </si>
  <si>
    <t xml:space="preserve">Constant (2026 value)</t>
  </si>
  <si>
    <t xml:space="preserve">Name(s) to update</t>
  </si>
  <si>
    <t xml:space="preserve">Watch for</t>
  </si>
  <si>
    <t xml:space="preserve">Income-tax bands (€44,000 / €48,000 / €53,000; €35,000 second-earner uplift)</t>
  </si>
  <si>
    <t xml:space="preserve">Band_Single, Band_Single_Parent, Band_Married, Band_Second_Earner_Max</t>
  </si>
  <si>
    <t xml:space="preserve">about +€2,000?</t>
  </si>
  <si>
    <t xml:space="preserve">Personal and PAYE credits (€2,000 + €2,000; €4,000 married)</t>
  </si>
  <si>
    <t xml:space="preserve">Credit_Personal_Single, Credit_Personal_Married, Credit_PAYE</t>
  </si>
  <si>
    <t xml:space="preserve">change?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</si>
  <si>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</si>
  <si>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</si>
  <si>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</si>
  <si>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</si>
  <si>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2% band ceiling rise (minimum wage)</t>
  </si>
  <si>
    <t xml:space="preserve">PRSI path (4.35% now; 4.5% from 1 Oct 2027; 4.7% from 1 Oct 2028)</t>
  </si>
  <si>
    <t xml:space="preserve">PRSI_Rate, PRSI credit</t>
  </si>
  <si>
    <t xml:space="preserve">confirm; any PRSI-credit change</t>
  </si>
  <si>
    <t xml:space="preserve">State Pension €299.30 a week (€15,563.60)</t>
  </si>
  <si>
    <t xml:space="preserve">State_Pension_Week</t>
  </si>
  <si>
    <t xml:space="preserve">+€10 a week? (€309.30)</t>
  </si>
  <si>
    <t xml:space="preserve">Illness Benefit €254; survivor's pension €259.50 (&lt;66) / €299.30 (66+)</t>
  </si>
  <si>
    <t xml:space="preserve">Illness_Benefit_Week, Survivor_Pension_Week, Survivor_Pension_Week_66</t>
  </si>
  <si>
    <t xml:space="preserve">+€10 a week?</t>
  </si>
  <si>
    <t xml:space="preserve">Exit tax 38%, deemed disposal 8 years, DIRT 33%</t>
  </si>
  <si>
    <t xml:space="preserve">Exit_Tax, Deemed_Disposal_Years, DIRT</t>
  </si>
  <si>
    <t xml:space="preserve">funds review: further exit-tax cut / deemed-disposal change?</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</si>
  <si>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</si>
  <si>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</si>
  <si>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</si>
  <si>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</si>
  <si>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</si>
  <si>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</si>
  <si>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next CSO flash: end of Oct 2026</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</si>
  <si>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</si>
  <si>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</si>
  <si>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</si>
  <si>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</si>
  <si>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</si>
  <si>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</si>
  <si>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</si>
  <si>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</si>
  <si>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</si>
  <si>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</si>
  <si>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</si>
  <si>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</si>
  <si>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</si>
  <si>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</si>
  <si>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</si>
  <si>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</si>
  <si>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</si>
  <si>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</si>
  <si>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</si>
  <si>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</si>
  <si>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</si>
  <si>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</si>
  <si>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</si>
  <si>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</si>
  <si>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</si>
  <si>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</si>
  <si>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</si>
  <si>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</si>
  <si>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</si>
  <si>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</si>
  <si>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</si>
  <si>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</si>
  <si>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</si>
  <si>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</si>
  <si>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</si>
  <si>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</si>
  <si>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</si>
  <si>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</si>
  <si>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</si>
  <si>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</si>
  <si>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</si>
  <si>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</si>
  <si>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</si>
  <si>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</si>
  <si>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</si>
  <si>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</si>
  <si>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</si>
  <si>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</si>
  <si>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</si>
  <si>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</si>
  <si>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</si>
  <si>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</si>
  <si>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</si>
  <si>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</si>
  <si>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</si>
  <si>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</si>
  <si>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</si>
  <si>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</si>
  <si>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</si>
  <si>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</si>
  <si>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</si>
  <si>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</si>
  <si>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</si>
  <si>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</si>
  <si>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</si>
  <si>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</si>
  <si>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</si>
  <si>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</si>
  <si>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</si>
  <si>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</si>
  <si>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</si>
  <si>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</si>
  <si>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</si>
  <si>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</si>
  <si>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Plan engine (HTML)</t>
  </si>
  <si>
    <t xml:space="preserve">Rules audit P1–P3</t>
  </si>
  <si>
    <t xml:space="preserve">Married pension relief and joint assessment in retirement (#29, #12, #61), PRSI and State Pension at 66+ (#22, #23), PRSI on ARF draws (#24), Class S (#25), PRSI path by year (#19), auto-enrolment (#38), partner State Pension (#42), untaxed other income (#73), age-80 supplement (#41), ARF 6% (#35): these are in the plan engine, which the Financial Planner is fixing in the prototype; not part of these calculators.</t>
  </si>
  <si>
    <t xml:space="preserve">Copy</t>
  </si>
  <si>
    <t xml:space="preserve">Fix the "29 calculators" note (there are 28).</t>
  </si>
  <si>
    <t xml:space="preserve">C01 · How much could I borrow?</t>
  </si>
  <si>
    <t xml:space="preserve">Category: Home &amp; Mortgage · prototype id: borrow</t>
  </si>
  <si>
    <t xml:space="preserve">Question it answers: What home price could be within reach?</t>
  </si>
  <si>
    <t xml:space="preserve">Applies the Central Bank limits (4× or 3.5× income, 90% loan-to-value) to show the most you could borrow and the home price that gives, after stamp duty and fees.</t>
  </si>
  <si>
    <t xml:space="preserve">INPUTS</t>
  </si>
  <si>
    <t xml:space="preserve">Your figure</t>
  </si>
  <si>
    <t xml:space="preserve">Unit</t>
  </si>
  <si>
    <t xml:space="preserve">Allowed</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</si>
  <si>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</si>
  <si>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</si>
  <si>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</si>
  <si>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</si>
  <si>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</si>
  <si>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</si>
  <si>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</si>
  <si>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</si>
  <si>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</si>
  <si>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</si>
  <si>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</si>
  <si>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</si>
  <si>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</si>
  <si>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Type 2 · range · Usually between 3.5% and 4.5% a year for new Irish mortgages (Central Bank retail interest rates: new mortgages averaged 3.49% in June 2026). Enter your own figure. Allowed: 1% to 8% · steps of 0.05%</t>
  </si>
  <si>
    <t xml:space="preserve">Mortgage term</t>
  </si>
  <si>
    <t xml:space="preserve">years</t>
  </si>
  <si>
    <t xml:space="preserve">Type 3 · your figure · Your own figure. Allowed: 10 to 35 · steps of 1</t>
  </si>
  <si>
    <t xml:space="preserve">Legal and other buying fees</t>
  </si>
  <si>
    <t xml:space="preserve">Type 2 · range · Usually between €2,500 and €3,500 for legal and survey fees (stamp duty is added for you). Enter your own figure. Allowed: €0 to €10,000 · steps of €100</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</si>
  <si>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</si>
  <si>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</si>
  <si>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</si>
  <si>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</si>
  <si>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</si>
  <si>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</si>
  <si>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</si>
  <si>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</si>
  <si>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</si>
  <si>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</si>
  <si>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</si>
  <si>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</si>
  <si>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</si>
  <si>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</si>
  <si>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</si>
  <si>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</si>
  <si>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</si>
  <si>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</si>
  <si>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</si>
  <si>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</si>
  <si>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</si>
  <si>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</si>
  <si>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</si>
  <si>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</si>
  <si>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</si>
  <si>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</si>
  <si>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</si>
  <si>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</si>
  <si>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</si>
  <si>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</si>
  <si>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</si>
  <si>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</si>
  <si>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</si>
  <si>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</si>
  <si>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</si>
  <si>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</si>
  <si>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</si>
  <si>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</si>
  <si>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Income limit = combined gross income × 4 (first-time buyer) or × 3.5 (everyone else). The loan can also be at most 90% of the price.</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</si>
  <si>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</si>
  <si>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</si>
  <si>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</si>
  <si>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</si>
  <si>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</si>
  <si>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</si>
  <si>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</si>
  <si>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</si>
  <si>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</si>
  <si>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</si>
  <si>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</si>
  <si>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</si>
  <si>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</si>
  <si>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</si>
  <si>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</si>
  <si>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</si>
  <si>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</si>
  <si>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</si>
  <si>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</si>
  <si>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</si>
  <si>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</si>
  <si>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</si>
  <si>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</si>
  <si>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</si>
  <si>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</si>
  <si>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</si>
  <si>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</si>
  <si>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</si>
  <si>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</si>
  <si>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</si>
  <si>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</si>
  <si>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</si>
  <si>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</si>
  <si>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</si>
  <si>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</si>
  <si>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</si>
  <si>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</si>
  <si>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</si>
  <si>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</si>
  <si>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</si>
  <si>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</si>
  <si>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</si>
  <si>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</si>
  <si>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</si>
  <si>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</si>
  <si>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Type 2 · range · Usually between 3.5% and 4.5% a year for new Irish mortgages (Central Bank retail interest rates: new mortgages averaged 3.49% in June 2026). In the app it is pre-filled from Your finances / mortgage statement: rate. Enter your own figure. Allowed: 1% to 8% · steps of 0.05%</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</si>
  <si>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</si>
  <si>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</si>
  <si>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</si>
  <si>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</si>
  <si>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</si>
  <si>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</si>
  <si>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</si>
  <si>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</si>
  <si>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</si>
  <si>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</si>
  <si>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</si>
  <si>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</si>
  <si>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</si>
  <si>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</si>
  <si>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</si>
  <si>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</si>
  <si>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</si>
  <si>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</si>
  <si>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</si>
  <si>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</si>
  <si>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</si>
  <si>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</si>
  <si>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</si>
  <si>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</si>
  <si>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</si>
  <si>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</si>
  <si>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</si>
  <si>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</si>
  <si>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</si>
  <si>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</si>
  <si>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</si>
  <si>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</si>
  <si>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</si>
  <si>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</si>
  <si>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</si>
  <si>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</si>
  <si>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</si>
  <si>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</si>
  <si>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</si>
  <si>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</si>
  <si>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</si>
  <si>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Audit fix: the mortgage amount itself is borrowing, not a savings goal, so only the deposit (loan ÷ 9 at 90% LTV) is sent.</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</si>
  <si>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</si>
  <si>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</si>
  <si>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</si>
  <si>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</si>
  <si>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</si>
  <si>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</si>
  <si>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</si>
  <si>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</si>
  <si>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</si>
  <si>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</si>
  <si>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</si>
  <si>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Allowed: 10% to 30% · steps of 1% · the Central Bank minimum is 10% (90% LTV)</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</si>
  <si>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</si>
  <si>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</si>
  <si>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</si>
  <si>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</si>
  <si>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</si>
  <si>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</si>
  <si>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</si>
  <si>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</si>
  <si>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</si>
  <si>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</si>
  <si>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</si>
  <si>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</si>
  <si>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</si>
  <si>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</si>
  <si>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</si>
  <si>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</si>
  <si>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</si>
  <si>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Deposit % starts at 10%, the Central Bank minimum (90% loan-to-value).</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</si>
  <si>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</si>
  <si>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</si>
  <si>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</si>
  <si>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</si>
  <si>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</si>
  <si>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</si>
  <si>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</si>
  <si>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</si>
  <si>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</si>
  <si>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</si>
  <si>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</si>
  <si>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</si>
  <si>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</si>
  <si>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</si>
  <si>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</si>
  <si>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</si>
  <si>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</si>
  <si>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</si>
  <si>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</si>
  <si>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Type 2 · range · Usually between 3.5% and 4.5% a year for new Irish mortgages (Central Bank retail interest rates: new mortgages averaged 3.49% in June 2026). In the app it is pre-filled from Your finances / statement: rate. Enter your own figure. Allowed: 1% to 8% · steps of 0.05%</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</si>
  <si>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</si>
  <si>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</si>
  <si>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</si>
  <si>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</si>
  <si>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</si>
  <si>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</si>
  <si>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</si>
  <si>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</si>
  <si>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</si>
  <si>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</si>
  <si>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</si>
  <si>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</si>
  <si>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</si>
  <si>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</si>
  <si>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</si>
  <si>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</si>
  <si>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</si>
  <si>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</si>
  <si>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</si>
  <si>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</si>
  <si>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</si>
  <si>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</si>
  <si>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</si>
  <si>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</si>
  <si>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</si>
  <si>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</si>
  <si>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</si>
  <si>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</si>
  <si>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</si>
  <si>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</si>
  <si>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</si>
  <si>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</si>
  <si>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</si>
  <si>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</si>
  <si>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</si>
  <si>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</si>
  <si>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</si>
  <si>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</si>
  <si>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</si>
  <si>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</si>
  <si>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</si>
  <si>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</si>
  <si>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</si>
  <si>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</si>
  <si>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</si>
  <si>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</si>
  <si>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</si>
  <si>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</si>
  <si>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</si>
  <si>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</si>
  <si>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</si>
  <si>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</si>
  <si>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</si>
  <si>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</si>
  <si>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</si>
  <si>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</si>
  <si>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</si>
  <si>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</si>
  <si>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</si>
  <si>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</si>
  <si>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</si>
  <si>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</si>
  <si>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</si>
  <si>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</si>
  <si>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</si>
  <si>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</si>
  <si>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</si>
  <si>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</si>
  <si>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</si>
  <si>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</si>
  <si>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</si>
  <si>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</si>
  <si>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</si>
  <si>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</si>
  <si>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</si>
  <si>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</si>
  <si>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</si>
  <si>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</si>
  <si>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</si>
  <si>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</si>
  <si>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</si>
  <si>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</si>
  <si>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</si>
  <si>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</si>
  <si>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</si>
  <si>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</si>
  <si>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</si>
  <si>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</si>
  <si>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</si>
  <si>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</si>
  <si>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</si>
  <si>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</si>
  <si>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</si>
  <si>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</si>
  <si>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</si>
  <si>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</si>
  <si>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</si>
  <si>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</si>
  <si>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your choice · Generally the standard is 2% a year, in line with long-run inflation (house prices can fall as well as rise). Choose what you want to use. Allowed: 0% to 6% · steps of 0.5%</t>
  </si>
  <si>
    <t xml:space="preserve">Rent rises a year</t>
  </si>
  <si>
    <t xml:space="preserve">Type 3 · your choice · Generally the standard is 3% a year (Irish rents have risen faster than prices in recent years). Choose what you want to use. Allowed: 0% to 8% · steps of 0.5%</t>
  </si>
  <si>
    <t xml:space="preserve">Upkeep a year, % of the home's value</t>
  </si>
  <si>
    <t xml:space="preserve">Type 3 · your choice · Generally the standard is 1% of the home's value a year for repairs, insurance and maintenance. Choose what you want to use. Allowed: 0% to 3% · steps of 0.1%</t>
  </si>
  <si>
    <t xml:space="preserve">What the deposit could earn a year (after tax)</t>
  </si>
  <si>
    <t xml:space="preserve">Type 2 · range · Usually between about 1.3% and 1.5% a year after 33% DIRT (fixed-term deposits paid about 2%–2.3% before tax in mid-2026). Enter your own figure. Allowed: 0% to 6% · steps of 0.5%</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</si>
  <si>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</si>
  <si>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</si>
  <si>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</si>
  <si>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</si>
  <si>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</si>
  <si>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</si>
  <si>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</si>
  <si>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</si>
  <si>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</si>
  <si>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</si>
  <si>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</si>
  <si>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</si>
  <si>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</si>
  <si>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</si>
  <si>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</si>
  <si>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</si>
  <si>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</si>
  <si>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</si>
  <si>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</si>
  <si>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</si>
  <si>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</si>
  <si>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</si>
  <si>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</si>
  <si>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</si>
  <si>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</si>
  <si>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</si>
  <si>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</si>
  <si>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</si>
  <si>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</si>
  <si>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</si>
  <si>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</si>
  <si>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</si>
  <si>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</si>
  <si>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</si>
  <si>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</si>
  <si>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</si>
  <si>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</si>
  <si>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</si>
  <si>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</si>
  <si>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</si>
  <si>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</si>
  <si>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Type 3 · your choice · Generally the standard is 2% a year (ECB target); Ireland's prices are rising 3.9% now (CSO HICP flash, Sep 2026). Choose what you want to use. Allowed: 0% to 10% · steps of 0.25%</t>
  </si>
  <si>
    <t xml:space="preserve">Everyone sees this differently. Ireland's prices are rising 3.9% now (CSO HICP flash, Sep 2026), mostly because of energy. Over decades, 2%–2.5% is the usual planning range (ECB target 2%). Enter 0% if you don't want to adjust for prices.</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</si>
  <si>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</si>
  <si>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</si>
  <si>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</si>
  <si>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</si>
  <si>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</si>
  <si>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your choice · Generally the standard is 1% a year after DIRT for cash savings (Irish fixed-term deposits about 2% before tax in mid-2026). Choose what you want to use.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</si>
  <si>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</si>
  <si>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</si>
  <si>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</si>
  <si>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</si>
  <si>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</si>
  <si>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</si>
  <si>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</si>
  <si>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</si>
  <si>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</si>
  <si>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</si>
  <si>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</si>
  <si>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</si>
  <si>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</si>
  <si>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</si>
  <si>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</si>
  <si>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</si>
  <si>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</si>
  <si>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</si>
  <si>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</si>
  <si>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</si>
  <si>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</si>
  <si>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</si>
  <si>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</si>
  <si>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</si>
  <si>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</si>
  <si>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</si>
  <si>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</si>
  <si>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</si>
  <si>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</si>
  <si>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</si>
  <si>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</si>
  <si>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</si>
  <si>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</si>
  <si>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</si>
  <si>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</si>
  <si>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</si>
  <si>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your choice · Generally the standard is 5% a year before charges and tax for a mixed fund (long-run 5%–6% a year; Irish rules audit B3). Choose what you want to use.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</si>
  <si>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</si>
  <si>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</si>
  <si>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</si>
  <si>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</si>
  <si>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</si>
  <si>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</si>
  <si>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</si>
  <si>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</si>
  <si>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</si>
  <si>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</si>
  <si>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</si>
  <si>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</si>
  <si>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</si>
  <si>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</si>
  <si>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</si>
  <si>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</si>
  <si>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</si>
  <si>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</si>
  <si>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</si>
  <si>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</si>
  <si>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</si>
  <si>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</si>
  <si>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</si>
  <si>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</si>
  <si>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</si>
  <si>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</si>
  <si>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</si>
  <si>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</si>
  <si>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</si>
  <si>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</si>
  <si>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</si>
  <si>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</si>
  <si>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</si>
  <si>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</si>
  <si>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</si>
  <si>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Type 2 · range · Usually between 0.5% and 1.5% a year for fund charges (provider charges; your statement shows yours). Enter your own figure. Allowed: 0% to 3% · steps of 0.05%</t>
  </si>
  <si>
    <t xml:space="preserve">Years you might wait before investing</t>
  </si>
  <si>
    <t xml:space="preserve">Type 3 · your choice · Generally the standard is 5 years (an illustration of the cost of waiting). Choose what you want to use. Allowed: 1 to 10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</si>
  <si>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</si>
  <si>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</si>
  <si>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</si>
  <si>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</si>
  <si>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</si>
  <si>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</si>
  <si>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</si>
  <si>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</si>
  <si>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</si>
  <si>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</si>
  <si>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</si>
  <si>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</si>
  <si>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</si>
  <si>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</si>
  <si>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</si>
  <si>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</si>
  <si>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</si>
  <si>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</si>
  <si>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</si>
  <si>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</si>
  <si>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</si>
  <si>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</si>
  <si>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</si>
  <si>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</si>
  <si>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</si>
  <si>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</si>
  <si>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</si>
  <si>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</si>
  <si>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</si>
  <si>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</si>
  <si>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</si>
  <si>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C11 · Emergency fund</t>
  </si>
  <si>
    <t xml:space="preserve">Category: Savings &amp; Goals · prototype id: emergency</t>
  </si>
  <si>
    <t xml:space="preserve">Question it answers: How strong is my financial cushion?</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</si>
  <si>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</si>
  <si>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</si>
  <si>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</si>
  <si>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Safety net: months of essential spending</t>
  </si>
  <si>
    <t xml:space="preserve">months</t>
  </si>
  <si>
    <t xml:space="preserve">Type 3 · your choice · Generally the standard is 6 months of essential spending (3 if you have two secure incomes). Choose what you want to use. Allowed: 3 to 12 · steps of 1</t>
  </si>
  <si>
    <t xml:space="preserve">Build the safety net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</si>
  <si>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</si>
  <si>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</si>
  <si>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</si>
  <si>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</si>
  <si>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</si>
  <si>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cushion</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</si>
  <si>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</si>
  <si>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</si>
  <si>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</si>
  <si>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</si>
  <si>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</si>
  <si>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=IF(Still_To_Build&gt;0,"Safety net (plan kind safety: a reserve, not a spend)","No goal (cushion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</si>
  <si>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</si>
  <si>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</si>
  <si>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</si>
  <si>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</si>
  <si>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</si>
  <si>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</si>
  <si>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</si>
  <si>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safety net</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</si>
  <si>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</si>
  <si>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</si>
  <si>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</si>
  <si>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</si>
  <si>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</si>
  <si>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</si>
  <si>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</si>
  <si>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</si>
  <si>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</si>
  <si>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</si>
  <si>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</si>
  <si>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</si>
  <si>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</si>
  <si>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</si>
  <si>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</si>
  <si>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</si>
  <si>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</si>
  <si>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</si>
  <si>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schemes from 50); State Pension is paid from 66. Choose your own: there is no default. Allowed: 50 to 75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</si>
  <si>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</si>
  <si>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</si>
  <si>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</si>
  <si>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</si>
  <si>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</si>
  <si>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</si>
  <si>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</si>
  <si>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t>
  </si>
  <si>
    <t xml:space="preserve">Pension growth after charges a year</t>
  </si>
  <si>
    <t xml:space="preserve">Type 3 · your choice · Generally the standard is 4.5% a year after charges while you work (LifeGoals Standard set; Cautious 4%). Choose what you want to use. Allowed: 1% to 7% · steps of 0.25%</t>
  </si>
  <si>
    <t xml:space="preserve">Pay rises a year (contributions rise with pay)</t>
  </si>
  <si>
    <t xml:space="preserve">Type 3 · your choice · Generally the standard is 3% a year (Irish pay has grown about 3%–4% a year recently; LifeGoals Standard set). Choose what you want to use. Allowed: 0% to 6% · steps of 0.25%</t>
  </si>
  <si>
    <t xml:space="preserve">Retirement savings target: × the yearly income you need</t>
  </si>
  <si>
    <t xml:space="preserve">Type 3 · your choice · Generally the standard is 25 times the yearly income you need (about 4% a year). Choose what you want to use. Allowed: 20 to 33 · steps of 1</t>
  </si>
  <si>
    <t xml:space="preserve">Typical pension charges (if your statement doesn't say)</t>
  </si>
  <si>
    <t xml:space="preserve">Type 2 · range · Usually between 0.5% and 1.5% a year for pension charges (your statement shows yours). Enter your own figure. Allowed: 0% to 2.5% · steps of 0.05%</t>
  </si>
  <si>
    <t xml:space="preserve">Tax-free lump sum you plan to take (% of the fund)</t>
  </si>
  <si>
    <t xml:space="preserve">Type 3 · your choice · Generally the standard is 25% of the fund, the most allowed (first €200,000 tax-free, next €300,000 at 20%). Choose what you want to use. Allowed: 0% to 25% · steps of 1%</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</si>
  <si>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</si>
  <si>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</si>
  <si>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</si>
  <si>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</si>
  <si>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Type 3 · optional · Optional: leave blank for none. Allowed: €0 to €200,000 · steps of €500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</si>
  <si>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</si>
  <si>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</si>
  <si>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</si>
  <si>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</si>
  <si>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</si>
  <si>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</si>
  <si>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</si>
  <si>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</si>
  <si>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</si>
  <si>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</si>
  <si>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</si>
  <si>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</si>
  <si>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</si>
  <si>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</si>
  <si>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</si>
  <si>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=MAX(0,Desired_Income-Spend_Less-Other_Income)*Retire_Multiple+Bridge_Years*Other_Income</t>
  </si>
  <si>
    <t xml:space="preserve">Years before the State Pension starts at 66 (to fund yourself)</t>
  </si>
  <si>
    <t xml:space="preserve">ƒx  =MAX(0,State_Pension_Age-(Retirement_Age+Retire_Later))</t>
  </si>
  <si>
    <t xml:space="preserve">Lump sum you could take at retirement (gross)</t>
  </si>
  <si>
    <t xml:space="preserve">ƒx  =MIN(Projected_Fund*Lump_Sum_Pct,Lump_Sum_Cap)      (first €200,000 tax-free, next €300,000 at 20%)</t>
  </si>
  <si>
    <t xml:space="preserve">Tax on the lump sum</t>
  </si>
  <si>
    <t xml:space="preserve">ƒx  =Lump_Sum_Rate*MAX(0,Lump_Sum-Lump_Sum_Tax_Free)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</si>
  <si>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</si>
  <si>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</si>
  <si>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</si>
  <si>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</si>
  <si>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</si>
  <si>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</si>
  <si>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</si>
  <si>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</si>
  <si>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</si>
  <si>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</si>
  <si>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</si>
  <si>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Gap = target − fund in today's money.</t>
  </si>
  <si>
    <t xml:space="preserve">• Desired income and the State Pension are before tax: the State Pension is taxable (USC-exempt) and drawdown pays income tax and USC. About 25% of the fund can be taken as a lump sum: the first €200,000 tax-free, the next €300,000 at 20%.</t>
  </si>
  <si>
    <t xml:space="preserve">• Years to retirement is at least 1.</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</si>
  <si>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</si>
  <si>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</si>
  <si>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</si>
  <si>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</si>
  <si>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</si>
  <si>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</si>
  <si>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</si>
  <si>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</si>
  <si>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</si>
  <si>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</si>
  <si>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</si>
  <si>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</si>
  <si>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</si>
  <si>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</si>
  <si>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</si>
  <si>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</si>
  <si>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</si>
  <si>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</si>
  <si>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</si>
  <si>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</si>
  <si>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</si>
  <si>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</si>
  <si>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</si>
  <si>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</si>
  <si>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</si>
  <si>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</si>
  <si>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</si>
  <si>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Type 3 · your choice · Generally the standard is 4.5% a year after charges while you work (LifeGoals Standard set; Cautious 4%). Choose what you want to use. Allowed: 1% to 7% · steps of 0.5%</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</si>
  <si>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</si>
  <si>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</si>
  <si>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</si>
  <si>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</si>
  <si>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</si>
  <si>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</si>
  <si>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</si>
  <si>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</si>
  <si>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</si>
  <si>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</si>
  <si>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</si>
  <si>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</si>
  <si>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</si>
  <si>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</si>
  <si>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Most you can get relief on in a year (age-band % × earnings up to €115,000)</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</si>
  <si>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</si>
  <si>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</si>
  <si>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</si>
  <si>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</si>
  <si>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</si>
  <si>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</si>
  <si>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</si>
  <si>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</si>
  <si>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</si>
  <si>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</si>
  <si>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 Relief only within the age-related limit (15% under 30 … 40% from 60) of earnings up to €115,000, less what you already pay in (audit #79).</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</si>
  <si>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</si>
  <si>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</si>
  <si>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</si>
  <si>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</si>
  <si>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</si>
  <si>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</si>
  <si>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</si>
  <si>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</si>
  <si>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</si>
  <si>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</si>
  <si>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</si>
  <si>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</si>
  <si>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</si>
  <si>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</si>
  <si>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</si>
  <si>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</si>
  <si>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</si>
  <si>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</si>
  <si>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</si>
  <si>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</si>
  <si>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</si>
  <si>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</si>
  <si>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</si>
  <si>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</si>
  <si>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</si>
  <si>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</si>
  <si>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</si>
  <si>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</si>
  <si>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Value = FV(monthly growth, months, −AVC). Tax relief = the part of the AVC within your relief limit (age band × earnings up to €115,000, less what you already pay) × your tax rate. Net cost = AVC − relief.</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</si>
  <si>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</si>
  <si>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</si>
  <si>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</si>
  <si>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</si>
  <si>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</si>
  <si>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</si>
  <si>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</si>
  <si>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</si>
  <si>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</si>
  <si>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</si>
  <si>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</si>
  <si>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</si>
  <si>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</si>
  <si>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</si>
  <si>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</si>
  <si>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</si>
  <si>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</si>
  <si>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</si>
  <si>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</si>
  <si>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your choice · Generally the standard is 3.15% a year after charges once retired (LifeGoals Standard set; Cautious 2.8%). Choose what you want to use. Allowed: 0% to 7% · steps of 0.05%</t>
  </si>
  <si>
    <t xml:space="preserve">Withdrawal taken at the</t>
  </si>
  <si>
    <t xml:space="preserve">Type 3 · your choice · Generally the standard is the start of the year (the prudent choice). Choose what you want to use. Allowed: Start of year or End of year</t>
  </si>
  <si>
    <t xml:space="preserve">Start of year</t>
  </si>
  <si>
    <t xml:space="preserve">Your age when withdrawals start</t>
  </si>
  <si>
    <t xml:space="preserve">Type 3 · your choice (no standard) · You can usually draw a pension from 60 (some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</si>
  <si>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</si>
  <si>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many people plan to 90–95.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</si>
  <si>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</si>
  <si>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</si>
  <si>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</si>
  <si>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</si>
  <si>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</si>
  <si>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</si>
  <si>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</si>
  <si>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</si>
  <si>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</si>
  <si>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</si>
  <si>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</si>
  <si>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</si>
  <si>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</si>
  <si>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</si>
  <si>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</si>
  <si>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</si>
  <si>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</si>
  <si>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</si>
  <si>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</si>
  <si>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</si>
  <si>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</si>
  <si>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</si>
  <si>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</si>
  <si>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</si>
  <si>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</si>
  <si>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</si>
  <si>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your choice · Generally the standard is 2% a year for a cautious mix (illustration). Choose what you want to use. Allowed: 0% to 8% · steps of 0.5%</t>
  </si>
  <si>
    <t xml:space="preserve">Balanced: growth a year</t>
  </si>
  <si>
    <t xml:space="preserve">Type 3 · your choice · Generally the standard is 4% a year for a balanced mix (illustration). Choose what you want to use. Allowed: 0% to 8% · steps of 0.5%</t>
  </si>
  <si>
    <t xml:space="preserve">Growth: growth a year</t>
  </si>
  <si>
    <t xml:space="preserve">Type 3 · your choice · Generally the standard is 6% a year for a growth mix (illustration). Choose what you want to use.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</si>
  <si>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</si>
  <si>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</si>
  <si>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</si>
  <si>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</si>
  <si>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</si>
  <si>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</si>
  <si>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</si>
  <si>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</si>
  <si>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</si>
  <si>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</si>
  <si>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</si>
  <si>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</si>
  <si>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</si>
  <si>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</si>
  <si>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</si>
  <si>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</si>
  <si>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</si>
  <si>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</si>
  <si>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</si>
  <si>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</si>
  <si>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</si>
  <si>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</si>
  <si>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</si>
  <si>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</si>
  <si>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your choice · Generally the standard is 5% a year before charges and tax for a mixed fund (long-run 5%–6% a year; Irish rules audit B3). Choose what you want to use.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</si>
  <si>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</si>
  <si>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</si>
  <si>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</si>
  <si>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</si>
  <si>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</si>
  <si>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</si>
  <si>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</si>
  <si>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</si>
  <si>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</si>
  <si>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</si>
  <si>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</si>
  <si>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</si>
  <si>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</si>
  <si>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</si>
  <si>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</si>
  <si>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</si>
  <si>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</si>
  <si>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</si>
  <si>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</si>
  <si>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</si>
  <si>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</si>
  <si>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</si>
  <si>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</si>
  <si>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</si>
  <si>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</si>
  <si>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</si>
  <si>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</si>
  <si>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</si>
  <si>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</si>
  <si>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</si>
  <si>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</si>
  <si>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</si>
  <si>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</si>
  <si>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</si>
  <si>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</si>
  <si>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</si>
  <si>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</si>
  <si>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</si>
  <si>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</si>
  <si>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</si>
  <si>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</si>
  <si>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</si>
  <si>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</si>
  <si>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</si>
  <si>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</si>
  <si>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</si>
  <si>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</si>
  <si>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Type 2 · range · Usually between 0.5% and 1.5% a year for fund charges (provider charges; your statement shows yours). Enter your own figure. Allowed: 0% to 3% · steps of 0.1%</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</si>
  <si>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</si>
  <si>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</si>
  <si>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</si>
  <si>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</si>
  <si>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</si>
  <si>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</si>
  <si>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</si>
  <si>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</si>
  <si>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</si>
  <si>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</si>
  <si>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</si>
  <si>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</si>
  <si>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</si>
  <si>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</si>
  <si>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</si>
  <si>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</si>
  <si>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</si>
  <si>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</si>
  <si>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</si>
  <si>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</si>
  <si>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</si>
  <si>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</si>
  <si>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</si>
  <si>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</si>
  <si>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</si>
  <si>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</si>
  <si>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your choice · Generally the standard is 2 Balanced (an adviser checks your attitude to risk). Choose what you want to use. Allowed: 1 or 2 or 3</t>
  </si>
  <si>
    <t xml:space="preserve">Cautious: middle growth a year</t>
  </si>
  <si>
    <t xml:space="preserve">Type 3 · your choice · Generally the standard is 2% a year for Cautious (illustration). Choose what you want to use. Allowed: 0% to 8% · steps of 0.5%</t>
  </si>
  <si>
    <t xml:space="preserve">Balanced: middle growth a year</t>
  </si>
  <si>
    <t xml:space="preserve">Type 3 · your choice · Generally the standard is 4% a year for Balanced (illustration). Choose what you want to use. Allowed: 0% to 8% · steps of 0.5%</t>
  </si>
  <si>
    <t xml:space="preserve">Growth: middle growth a year</t>
  </si>
  <si>
    <t xml:space="preserve">Type 3 · your choice · Generally the standard is 6% a year for Growth (illustration). Choose what you want to use. Allowed: 0% to 8% · steps of 0.5%</t>
  </si>
  <si>
    <t xml:space="preserve">Cautious: volatility a year</t>
  </si>
  <si>
    <t xml:space="preserve">Type 3 · your choice · Generally the standard is 5% a year for Cautious (illustration). Choose what you want to use. Allowed: 0% to 25% · steps of 0.5%</t>
  </si>
  <si>
    <t xml:space="preserve">Balanced: volatility a year</t>
  </si>
  <si>
    <t xml:space="preserve">Type 3 · your choice · Generally the standard is 10% a year for Balanced (illustration). Choose what you want to use. Allowed: 0% to 25% · steps of 0.5%</t>
  </si>
  <si>
    <t xml:space="preserve">Growth: volatility a year</t>
  </si>
  <si>
    <t xml:space="preserve">Type 3 · your choice · Generally the standard is 16% a year for Growth (illustration). Choose what you want to use.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</si>
  <si>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</si>
  <si>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</si>
  <si>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</si>
  <si>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</si>
  <si>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</si>
  <si>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</si>
  <si>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</si>
  <si>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</si>
  <si>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</si>
  <si>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</si>
  <si>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</si>
  <si>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</si>
  <si>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</si>
  <si>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</si>
  <si>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</si>
  <si>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</si>
  <si>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</si>
  <si>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</si>
  <si>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</si>
  <si>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</si>
  <si>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</si>
  <si>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</si>
  <si>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</si>
  <si>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</si>
  <si>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</si>
  <si>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</si>
  <si>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</si>
  <si>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</si>
  <si>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</si>
  <si>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</si>
  <si>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</si>
  <si>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</si>
  <si>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</si>
  <si>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</si>
  <si>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your choice · Generally the standard is until your youngest child is 23. Choose what you want to use. Allowed: 1 to 30 · steps of 1</t>
  </si>
  <si>
    <t xml:space="preserve">Share of your income your family would need</t>
  </si>
  <si>
    <t xml:space="preserve">Type 3 · your choice · Generally the standard is 60% of your income (families usually need less than full pay). Choose what you want to use.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</si>
  <si>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</si>
  <si>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</si>
  <si>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</si>
  <si>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</si>
  <si>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</si>
  <si>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</si>
  <si>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</si>
  <si>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</si>
  <si>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</si>
  <si>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</si>
  <si>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</si>
  <si>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Type 2 · range · Usually between €0 and €299.30 a week: €259.50 under 66, €299.30 at 66+ (DSP 2026; depends on PRSI; cohabitants can qualify for the Bereaved Partner's Pension). Enter your own figure. Allowed: €0 to €1,000 · steps of €0.50</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</si>
  <si>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</si>
  <si>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</si>
  <si>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</si>
  <si>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</si>
  <si>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</si>
  <si>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</si>
  <si>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</si>
  <si>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</si>
  <si>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</si>
  <si>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</si>
  <si>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</si>
  <si>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</si>
  <si>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</si>
  <si>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</si>
  <si>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 Survivor's pension defaults to the 2026 rate under 66 (€259.50 a week); enter 0 if it would not be paid.</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</si>
  <si>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</si>
  <si>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</si>
  <si>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</si>
  <si>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</si>
  <si>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</si>
  <si>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</si>
  <si>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</si>
  <si>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</si>
  <si>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</si>
  <si>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</si>
  <si>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</si>
  <si>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</si>
  <si>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</si>
  <si>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</si>
  <si>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</si>
  <si>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</si>
  <si>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</si>
  <si>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Type 2 · range · Usually between €0 and €254 a week (DSP 2026 maximum; lower if you earned under €300 a week; needs enough PRSI). Enter your own figure. Allowed: €0 to €500 · steps of €0.50</t>
  </si>
  <si>
    <t xml:space="preserve">You could cope for about (months)</t>
  </si>
  <si>
    <t xml:space="preserve">ƒx  =IF(Monthly_Gap=0,"Indefinitely",Sick_Pay_Months+Savings/Monthly_Gap)</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</si>
  <si>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</si>
  <si>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</si>
  <si>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</si>
  <si>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</si>
  <si>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</si>
  <si>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</si>
  <si>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</si>
  <si>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</si>
  <si>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</si>
  <si>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</si>
  <si>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</si>
  <si>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t>
  </si>
  <si>
    <t xml:space="preserve">• Income protection to aim for = the gap, but no more than 75% of gross income less Illness Benefit (insurers' usual maximum).</t>
  </si>
  <si>
    <t xml:space="preserve">• If Illness Benefit covers the spending, show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</si>
  <si>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</si>
  <si>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</si>
  <si>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</si>
  <si>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</si>
  <si>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</si>
  <si>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</si>
  <si>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</si>
  <si>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</si>
  <si>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</si>
  <si>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</si>
  <si>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</si>
  <si>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</si>
  <si>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</si>
  <si>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</si>
  <si>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</si>
  <si>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rate. Allowed: 1% to 8% · steps of 0.05%</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</si>
  <si>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</si>
  <si>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</si>
  <si>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</si>
  <si>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</si>
  <si>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</si>
  <si>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</si>
  <si>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</si>
  <si>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</si>
  <si>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</si>
  <si>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</si>
  <si>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</si>
  <si>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</si>
  <si>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</si>
  <si>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</si>
  <si>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</si>
  <si>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</si>
  <si>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</si>
  <si>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</si>
  <si>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</si>
  <si>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</si>
  <si>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</si>
  <si>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</si>
  <si>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</si>
  <si>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</si>
  <si>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</si>
  <si>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</si>
  <si>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</si>
  <si>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</si>
  <si>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</si>
  <si>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</si>
  <si>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</si>
  <si>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</si>
  <si>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</si>
  <si>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</si>
  <si>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</si>
  <si>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</si>
  <si>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</si>
  <si>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</si>
  <si>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</si>
  <si>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</si>
  <si>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</si>
  <si>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</si>
  <si>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</si>
  <si>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</si>
  <si>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</si>
  <si>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</si>
  <si>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</si>
  <si>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</si>
  <si>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</si>
  <si>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Type 3 · optional · Optional: leave blank for none. Allowed: €500 to €200,000 · steps of €50</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</si>
  <si>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</si>
  <si>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</si>
  <si>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</si>
  <si>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</si>
  <si>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</si>
  <si>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</si>
  <si>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</si>
  <si>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</si>
  <si>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</si>
  <si>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</si>
  <si>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</si>
  <si>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</si>
  <si>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</si>
  <si>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</si>
  <si>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</si>
  <si>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</si>
  <si>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</si>
  <si>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</si>
  <si>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</si>
  <si>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</si>
  <si>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</si>
  <si>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</si>
  <si>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</si>
  <si>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</si>
  <si>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</si>
  <si>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your choice · Generally the standard is 50% for needs (the 50/30/20 rule of thumb). Choose what you want to use. Allowed: 0% to 100% · steps of 5%</t>
  </si>
  <si>
    <t xml:space="preserve">Share for wants</t>
  </si>
  <si>
    <t xml:space="preserve">Type 3 · your choice · Generally the standard is 30% for wants (the 50/30/20 rule of thumb). Choose what you want to use. Allowed: 0% to 100% · steps of 5%</t>
  </si>
  <si>
    <t xml:space="preserve">Share for savings and debt</t>
  </si>
  <si>
    <t xml:space="preserve">Type 3 · your choice · Generally the standard is 20% for savings and debt (the 50/30/20 rule of thumb). Choose what you want to use.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</si>
  <si>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</si>
  <si>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</si>
  <si>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</si>
  <si>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</si>
  <si>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</si>
  <si>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</si>
  <si>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</si>
  <si>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</si>
  <si>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</si>
  <si>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</si>
  <si>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</si>
  <si>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</si>
  <si>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</si>
  <si>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</si>
  <si>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</si>
  <si>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</si>
  <si>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</si>
  <si>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</si>
  <si>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</si>
  <si>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Type 2 · range · Usually between 13% and 23% APR for Irish credit cards (Central Bank review, 2026); your statement shows yours. In the app it is pre-filled from Your finances: that debt's rate (else 20% card / 8% loan). Enter your own figure. Allowed: 0% to 35% · steps of 0.5%</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</si>
  <si>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</si>
  <si>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</si>
  <si>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</si>
  <si>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</si>
  <si>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</si>
  <si>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</si>
  <si>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</si>
  <si>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</si>
  <si>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</si>
  <si>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</si>
  <si>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</si>
  <si>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</si>
  <si>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</si>
  <si>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</si>
  <si>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</si>
  <si>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</si>
  <si>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</si>
  <si>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</si>
  <si>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</si>
  <si>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</si>
  <si>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</si>
  <si>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</si>
  <si>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</si>
  <si>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</si>
  <si>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</si>
  <si>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</si>
  <si>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Type 2 · range · Usually between 6% and 10% APR for personal loans (Central Bank: new lending averaged 7.48%, June 2026); credit unions often charge less. Enter your own figure. Allowed: 0% to 25% · steps of 0.5%</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</si>
  <si>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</si>
  <si>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</si>
  <si>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</si>
  <si>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</si>
  <si>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</si>
  <si>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</si>
  <si>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</si>
  <si>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</si>
  <si>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</si>
  <si>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</si>
  <si>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</si>
  <si>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</si>
  <si>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</si>
  <si>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</si>
  <si>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</si>
  <si>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</si>
  <si>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</si>
  <si>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</si>
  <si>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</si>
  <si>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</si>
  <si>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</si>
  <si>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</si>
  <si>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Type 3 · optional: leave blank for none. From 1 Oct 2026 = 4.35%. Calendar 2026 blend = 4.2375% (9 months at 4.2%, 3 at 4.35%).</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</si>
  <si>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</si>
  <si>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</si>
  <si>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</si>
  <si>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</si>
  <si>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</si>
  <si>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</si>
  <si>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</si>
  <si>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</si>
  <si>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</si>
  <si>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</si>
  <si>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</si>
  <si>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</si>
  <si>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</si>
  <si>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</si>
  <si>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</si>
  <si>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</si>
  <si>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</si>
  <si>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</si>
  <si>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</si>
  <si>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</si>
  <si>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</si>
  <si>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</si>
  <si>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</si>
  <si>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</si>
  <si>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</si>
  <si>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</si>
  <si>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</si>
  <si>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</si>
  <si>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</si>
  <si>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</si>
  <si>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</si>
  <si>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</si>
  <si>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</si>
  <si>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</si>
  <si>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Status</t>
  </si>
  <si>
    <t xml:space="preserve">Formula (row uses the same templates as above)</t>
  </si>
  <si>
    <t xml:space="preserve">USC</t>
  </si>
  <si>
    <t xml:space="preserve">PRSI 4.35%</t>
  </si>
  <si>
    <t xml:space="preserve">PRSI 2026 blend</t>
  </si>
  <si>
    <t xml:space="preserve">Take-home 4.35%</t>
  </si>
  <si>
    <t xml:space="preserve">Take-home 2026</t>
  </si>
  <si>
    <t xml:space="preserve">Expected IT</t>
  </si>
  <si>
    <t xml:space="preserve">Expected USC</t>
  </si>
  <si>
    <t xml:space="preserve">Expected take-home 4.35%</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</si>
  <si>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</si>
  <si>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</si>
  <si>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</si>
  <si>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</si>
  <si>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</si>
  <si>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</si>
  <si>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</si>
  <si>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</si>
  <si>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</si>
  <si>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</si>
  <si>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</si>
  <si>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</si>
  <si>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</si>
  <si>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</si>
  <si>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</si>
  <si>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</si>
  <si>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</si>
  <si>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</si>
  <si>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</si>
  <si>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</si>
  <si>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</si>
  <si>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&gt; estimate (as in the prototype: S.src doc &gt; typed &gt; est).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</si>
  <si>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</si>
  <si>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</si>
  <si>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</si>
  <si>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</si>
  <si>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</si>
  <si>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</si>
  <si>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</si>
  <si>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</si>
  <si>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</si>
  <si>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</si>
  <si>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</si>
  <si>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</si>
  <si>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</si>
  <si>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</si>
  <si>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</si>
  <si>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</si>
  <si>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</si>
  <si>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</si>
  <si>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</si>
  <si>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</si>
  <si>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</si>
  <si>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</si>
  <si>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</si>
  <si>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</si>
  <si>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</si>
  <si>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</si>
  <si>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</si>
  <si>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</si>
  <si>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</si>
  <si>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</si>
  <si>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</si>
  <si>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</si>
  <si>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</si>
  <si>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</si>
  <si>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</si>
  <si>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</si>
  <si>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</si>
  <si>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</si>
  <si>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</si>
  <si>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</si>
  <si>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</si>
  <si>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</si>
  <si>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</si>
  <si>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</si>
  <si>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</si>
  <si>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</si>
  <si>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</si>
  <si>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</si>
  <si>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</si>
  <si>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</si>
  <si>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</si>
  <si>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</si>
  <si>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</si>
  <si>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</si>
  <si>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</si>
  <si>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</si>
  <si>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</si>
  <si>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</si>
  <si>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</si>
  <si>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</si>
  <si>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</si>
  <si>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</si>
  <si>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</si>
  <si>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</si>
  <si>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</si>
  <si>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</si>
  <si>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</si>
  <si>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</si>
  <si>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</si>
  <si>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</si>
  <si>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</si>
  <si>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</si>
  <si>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</si>
  <si>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</si>
  <si>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</si>
  <si>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</si>
  <si>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</si>
  <si>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</si>
  <si>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</si>
  <si>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</si>
  <si>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</si>
  <si>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</si>
  <si>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</si>
  <si>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</si>
  <si>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</si>
  <si>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</si>
  <si>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</si>
  <si>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</si>
  <si>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</si>
  <si>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</si>
  <si>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</si>
  <si>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</si>
  <si>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</si>
  <si>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</si>
  <si>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</si>
  <si>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</si>
  <si>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</si>
  <si>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</si>
  <si>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</si>
  <si>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</si>
  <si>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</si>
  <si>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</si>
  <si>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</si>
  <si>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</si>
  <si>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</si>
  <si>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</si>
  <si>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</si>
  <si>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</si>
  <si>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</si>
  <si>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</si>
  <si>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</si>
  <si>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</si>
  <si>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</si>
  <si>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</si>
  <si>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</si>
  <si>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</si>
  <si>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</si>
  <si>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</si>
  <si>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</si>
  <si>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</si>
  <si>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</si>
  <si>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</si>
  <si>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</si>
  <si>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</si>
  <si>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</si>
  <si>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</si>
  <si>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</si>
  <si>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</si>
  <si>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</si>
  <si>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</si>
  <si>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</si>
  <si>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</si>
  <si>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</si>
  <si>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</si>
  <si>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</si>
  <si>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</si>
  <si>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</si>
  <si>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</si>
  <si>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</si>
  <si>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</si>
  <si>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</si>
  <si>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</si>
  <si>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</si>
  <si>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</si>
  <si>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</si>
  <si>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</si>
  <si>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</si>
  <si>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</si>
  <si>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</si>
  <si>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</si>
  <si>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</si>
  <si>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</si>
  <si>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</si>
  <si>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</si>
  <si>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</si>
  <si>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</si>
  <si>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</si>
  <si>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</si>
  <si>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</si>
  <si>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</si>
  <si>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</si>
  <si>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</si>
  <si>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</si>
  <si>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</si>
  <si>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</si>
  <si>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</si>
  <si>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</si>
  <si>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</si>
  <si>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</si>
  <si>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INFLATION GUIDANCE (not a value: inflation is the client's own choice on each calculator)</t>
  </si>
  <si>
    <t xml:space="preserve">Rule (name in formulas)</t>
  </si>
  <si>
    <t xml:space="preserve">Value</t>
  </si>
  <si>
    <t xml:space="preserve">Used by</t>
  </si>
  <si>
    <t xml:space="preserve">Source URL</t>
  </si>
  <si>
    <t xml:space="preserve">Effective</t>
  </si>
  <si>
    <t xml:space="preserve">Verify before release?</t>
  </si>
  <si>
    <t xml:space="preserve">Audit #</t>
  </si>
  <si>
    <t xml:space="preserve">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</si>
  <si>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</si>
  <si>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</si>
  <si>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</si>
  <si>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</si>
  <si>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</si>
  <si>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</si>
  <si>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</si>
  <si>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</si>
  <si>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</si>
  <si>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</si>
  <si>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</si>
  <si>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</si>
  <si>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</si>
  <si>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</si>
  <si>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</si>
  <si>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</si>
  <si>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</si>
  <si>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</si>
  <si>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2026</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</si>
  <si>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</si>
  <si>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</si>
  <si>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</si>
  <si>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</si>
  <si>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</si>
  <si>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</si>
  <si>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</si>
  <si>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</si>
  <si>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</si>
  <si>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</si>
  <si>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</si>
  <si>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</si>
  <si>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</si>
  <si>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</si>
  <si>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</si>
  <si>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</si>
  <si>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</si>
  <si>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</si>
  <si>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</si>
  <si>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</si>
  <si>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</si>
  <si>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</si>
  <si>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</si>
  <si>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</si>
  <si>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</si>
  <si>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</si>
  <si>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</si>
  <si>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</si>
  <si>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</si>
  <si>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</si>
  <si>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</si>
  <si>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</si>
  <si>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</si>
  <si>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</si>
  <si>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</si>
  <si>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</si>
  <si>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</si>
  <si>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</si>
  <si>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</si>
  <si>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</si>
  <si>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</si>
  <si>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</si>
  <si>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</si>
  <si>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</si>
  <si>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</si>
  <si>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</si>
  <si>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</si>
  <si>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</si>
  <si>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</si>
  <si>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</si>
  <si>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</si>
  <si>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</si>
  <si>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</si>
  <si>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</si>
  <si>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</si>
  <si>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</si>
  <si>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</si>
  <si>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</si>
  <si>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</si>
  <si>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</si>
  <si>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</si>
  <si>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</si>
  <si>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</si>
  <si>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</si>
  <si>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</si>
  <si>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</si>
  <si>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</si>
  <si>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</si>
  <si>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</si>
  <si>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</si>
  <si>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</si>
  <si>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</si>
  <si>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</si>
  <si>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</si>
  <si>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</si>
  <si>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</si>
  <si>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</si>
  <si>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</si>
  <si>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</si>
  <si>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</si>
  <si>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</si>
  <si>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</si>
  <si>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</si>
  <si>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</si>
  <si>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</si>
  <si>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</si>
  <si>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</si>
  <si>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</si>
  <si>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</si>
  <si>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</si>
  <si>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</si>
  <si>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</si>
  <si>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</si>
  <si>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</si>
  <si>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</si>
  <si>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</si>
  <si>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</si>
  <si>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</si>
  <si>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</si>
  <si>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</si>
  <si>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</si>
  <si>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</si>
  <si>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</si>
  <si>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</si>
  <si>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</si>
  <si>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</si>
  <si>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</si>
  <si>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</si>
  <si>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</si>
  <si>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</si>
  <si>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</si>
  <si>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</si>
  <si>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</si>
  <si>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</si>
  <si>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</si>
  <si>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</si>
  <si>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</si>
  <si>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</si>
  <si>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</si>
  <si>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</si>
  <si>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</si>
  <si>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</si>
  <si>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</si>
  <si>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</si>
  <si>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</si>
  <si>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</si>
  <si>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</si>
  <si>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</si>
  <si>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</si>
  <si>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</si>
  <si>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</si>
  <si>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</si>
  <si>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</si>
  <si>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</si>
  <si>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</si>
  <si>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</si>
  <si>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</si>
  <si>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</si>
  <si>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</si>
  <si>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</si>
  <si>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</si>
  <si>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</si>
  <si>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</si>
  <si>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</si>
  <si>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</si>
  <si>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</si>
  <si>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</si>
  <si>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LifeGoals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</si>
  <si>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</si>
  <si>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</si>
  <si>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</si>
  <si>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</si>
  <si>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</si>
  <si>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</si>
  <si>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</si>
  <si>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</si>
  <si>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</si>
  <si>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LifeGoals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</si>
  <si>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</si>
  <si>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</si>
  <si>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</si>
  <si>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</si>
  <si>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</si>
  <si>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</si>
  <si>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</si>
  <si>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</si>
  <si>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</si>
  <si>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</si>
  <si>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</si>
  <si>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Cautious</t>
  </si>
  <si>
    <t xml:space="preserve">Label</t>
  </si>
  <si>
    <t xml:space="preserve">Risk style 2 name  [Risk_Names]</t>
  </si>
  <si>
    <t xml:space="preserve">Balanced</t>
  </si>
  <si>
    <t xml:space="preserve">Risk style 3 name  [Risk_Names]</t>
  </si>
  <si>
    <t xml:space="preserve">Growth</t>
  </si>
</sst>
</file>

<file path=xl/styles.xml><?xml version="1.0" encoding="utf-8"?>
<styleSheet xmlns="http://schemas.openxmlformats.org/spreadsheetml/2006/main">
  <numFmts count="12">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0.000"/>
  </numFmts>
  <fonts count="43">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8">
    <fill>
      <patternFill patternType="none"/>
    </fill>
    <fill>
      <patternFill patternType="gray125"/>
    </fill>
    <fill>
      <patternFill patternType="solid">
        <fgColor rgb="FFFFF2CC"/>
        <bgColor rgb="FFFCE4D6"/>
      </patternFill>
    </fill>
    <fill>
      <patternFill patternType="solid">
        <fgColor rgb="FF1F3864"/>
        <bgColor rgb="FF333333"/>
      </patternFill>
    </fill>
    <fill>
      <patternFill patternType="solid">
        <fgColor rgb="FFF2F2F2"/>
        <bgColor rgb="FFE2EFDA"/>
      </patternFill>
    </fill>
    <fill>
      <patternFill patternType="solid">
        <fgColor rgb="FFE2EFDA"/>
        <bgColor rgb="FFDDEBF7"/>
      </patternFill>
    </fill>
    <fill>
      <patternFill patternType="solid">
        <fgColor rgb="FFDDEBF7"/>
        <bgColor rgb="FFE2EFDA"/>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3"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23" fillId="2" borderId="1" xfId="0" applyFont="true" applyBorder="true" applyAlignment="true" applyProtection="false">
      <alignment horizontal="right"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65" fontId="26" fillId="4" borderId="0" xfId="0" applyFont="true" applyBorder="false" applyAlignment="true" applyProtection="false">
      <alignment horizontal="right" vertical="bottom" textRotation="0" wrapText="false" indent="0" shrinkToFit="false"/>
      <protection locked="true" hidden="false"/>
    </xf>
    <xf numFmtId="165" fontId="14" fillId="0" borderId="0" xfId="0" applyFont="true" applyBorder="false" applyAlignment="true" applyProtection="false">
      <alignment horizontal="right" vertical="bottom" textRotation="0" wrapText="false" indent="0" shrinkToFit="false"/>
      <protection locked="true" hidden="false"/>
    </xf>
    <xf numFmtId="164" fontId="23" fillId="2" borderId="1" xfId="0" applyFont="true" applyBorder="true" applyAlignment="true" applyProtection="false">
      <alignment horizontal="right" vertical="bottom" textRotation="0" wrapText="false" indent="0" shrinkToFit="false"/>
      <protection locked="true" hidden="false"/>
    </xf>
    <xf numFmtId="164" fontId="26" fillId="4" borderId="0" xfId="0" applyFont="true" applyBorder="false" applyAlignment="true" applyProtection="false">
      <alignment horizontal="right" vertical="bottom"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6" fontId="23" fillId="2" borderId="1" xfId="0" applyFont="true" applyBorder="true" applyAlignment="true" applyProtection="false">
      <alignment horizontal="right"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6" fontId="26" fillId="4" borderId="0" xfId="0" applyFont="true" applyBorder="false" applyAlignment="true" applyProtection="false">
      <alignment horizontal="right" vertical="bottom" textRotation="0" wrapText="false" indent="0" shrinkToFit="false"/>
      <protection locked="true" hidden="false"/>
    </xf>
    <xf numFmtId="166" fontId="14" fillId="0" borderId="0" xfId="0" applyFont="true" applyBorder="false" applyAlignment="true" applyProtection="false">
      <alignment horizontal="right" vertical="bottom" textRotation="0" wrapText="false" indent="0" shrinkToFit="false"/>
      <protection locked="true" hidden="false"/>
    </xf>
    <xf numFmtId="167" fontId="23" fillId="2" borderId="1" xfId="0" applyFont="true" applyBorder="true" applyAlignment="true" applyProtection="false">
      <alignment horizontal="right" vertical="bottom" textRotation="0" wrapText="false" indent="0" shrinkToFit="false"/>
      <protection locked="true" hidden="false"/>
    </xf>
    <xf numFmtId="167" fontId="26" fillId="4" borderId="0" xfId="0" applyFont="true" applyBorder="false" applyAlignment="true" applyProtection="false">
      <alignment horizontal="right" vertical="bottom" textRotation="0" wrapText="false" indent="0" shrinkToFit="false"/>
      <protection locked="true" hidden="false"/>
    </xf>
    <xf numFmtId="167" fontId="14" fillId="0" borderId="0" xfId="0" applyFont="true" applyBorder="false" applyAlignment="true" applyProtection="false">
      <alignment horizontal="right" vertical="bottom" textRotation="0" wrapText="false" indent="0" shrinkToFit="false"/>
      <protection locked="true" hidden="false"/>
    </xf>
    <xf numFmtId="165" fontId="28" fillId="5" borderId="1" xfId="0" applyFont="true" applyBorder="true" applyAlignment="true" applyProtection="false">
      <alignment horizontal="right" vertical="bottom" textRotation="0" wrapText="false" indent="0" shrinkToFit="tru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5" fontId="10" fillId="4" borderId="1" xfId="0" applyFont="true" applyBorder="true" applyAlignment="true" applyProtection="false">
      <alignment horizontal="right" vertical="bottom" textRotation="0" wrapText="false" indent="0" shrinkToFit="true"/>
      <protection locked="true" hidden="false"/>
    </xf>
    <xf numFmtId="168" fontId="10" fillId="4" borderId="1" xfId="0" applyFont="true" applyBorder="true" applyAlignment="true" applyProtection="false">
      <alignment horizontal="right" vertical="bottom" textRotation="0" wrapText="false" indent="0" shrinkToFit="true"/>
      <protection locked="true" hidden="false"/>
    </xf>
    <xf numFmtId="164" fontId="10" fillId="4" borderId="1" xfId="0" applyFont="true" applyBorder="true" applyAlignment="true" applyProtection="false">
      <alignment horizontal="right" vertical="bottom" textRotation="0" wrapText="false" indent="0" shrinkToFit="tru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right" vertical="bottom" textRotation="0" wrapText="false" indent="0" shrinkToFit="tru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true"/>
      <protection locked="true" hidden="false"/>
    </xf>
    <xf numFmtId="167" fontId="12" fillId="4" borderId="1" xfId="0" applyFont="true" applyBorder="true" applyAlignment="true" applyProtection="false">
      <alignment horizontal="right" vertical="bottom" textRotation="0" wrapText="false" indent="0" shrinkToFit="tru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5" fontId="23" fillId="6" borderId="1" xfId="0" applyFont="true" applyBorder="true" applyAlignment="true" applyProtection="false">
      <alignment horizontal="right" vertical="bottom" textRotation="0" wrapText="false" indent="0" shrinkToFit="false"/>
      <protection locked="true" hidden="false"/>
    </xf>
    <xf numFmtId="166" fontId="23" fillId="6" borderId="1" xfId="0" applyFont="true" applyBorder="true" applyAlignment="true" applyProtection="false">
      <alignment horizontal="right" vertical="bottom" textRotation="0" wrapText="false" indent="0" shrinkToFit="false"/>
      <protection locked="true" hidden="false"/>
    </xf>
    <xf numFmtId="167" fontId="23" fillId="6" borderId="1" xfId="0" applyFont="true" applyBorder="true" applyAlignment="true" applyProtection="false">
      <alignment horizontal="right" vertical="bottom" textRotation="0" wrapText="false" indent="0" shrinkToFit="false"/>
      <protection locked="true" hidden="false"/>
    </xf>
    <xf numFmtId="169" fontId="23" fillId="6" borderId="1" xfId="0" applyFont="true" applyBorder="true" applyAlignment="true" applyProtection="false">
      <alignment horizontal="right"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false"/>
      <protection locked="true" hidden="false"/>
    </xf>
    <xf numFmtId="167" fontId="12" fillId="4" borderId="1" xfId="0" applyFont="true" applyBorder="true" applyAlignment="true" applyProtection="false">
      <alignment horizontal="right" vertical="bottom" textRotation="0" wrapText="false" indent="0" shrinkToFit="false"/>
      <protection locked="true" hidden="false"/>
    </xf>
    <xf numFmtId="167" fontId="28" fillId="5" borderId="1" xfId="0" applyFont="true" applyBorder="true" applyAlignment="true" applyProtection="false">
      <alignment horizontal="right" vertical="bottom" textRotation="0" wrapText="false" indent="0" shrinkToFit="tru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70" fontId="10" fillId="4" borderId="1" xfId="0" applyFont="true" applyBorder="true" applyAlignment="true" applyProtection="false">
      <alignment horizontal="right" vertical="bottom" textRotation="0" wrapText="false" indent="0" shrinkToFit="true"/>
      <protection locked="true" hidden="false"/>
    </xf>
    <xf numFmtId="166" fontId="10" fillId="4" borderId="1" xfId="0" applyFont="true" applyBorder="true" applyAlignment="true" applyProtection="false">
      <alignment horizontal="right" vertical="bottom" textRotation="0" wrapText="false" indent="0" shrinkToFit="true"/>
      <protection locked="true" hidden="false"/>
    </xf>
    <xf numFmtId="167" fontId="10" fillId="4" borderId="1" xfId="0" applyFont="true" applyBorder="true" applyAlignment="true" applyProtection="false">
      <alignment horizontal="right" vertical="bottom" textRotation="0" wrapText="false" indent="0" shrinkToFit="tru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31" fillId="0" borderId="0"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true"/>
      <protection locked="true" hidden="false"/>
    </xf>
    <xf numFmtId="171" fontId="28" fillId="5" borderId="1" xfId="0" applyFont="true" applyBorder="true" applyAlignment="true" applyProtection="false">
      <alignment horizontal="right" vertical="bottom" textRotation="0" wrapText="false" indent="0" shrinkToFit="true"/>
      <protection locked="true" hidden="false"/>
    </xf>
    <xf numFmtId="164" fontId="23" fillId="6" borderId="1" xfId="0" applyFont="true" applyBorder="true" applyAlignment="true" applyProtection="false">
      <alignment horizontal="right"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33" fillId="7" borderId="0" xfId="0" applyFont="true" applyBorder="true" applyAlignment="true" applyProtection="false">
      <alignment horizontal="general" vertical="bottom" textRotation="0" wrapText="false" indent="0" shrinkToFit="false"/>
      <protection locked="true" hidden="false"/>
    </xf>
    <xf numFmtId="172" fontId="23" fillId="2" borderId="1" xfId="0" applyFont="true" applyBorder="true" applyAlignment="true" applyProtection="false">
      <alignment horizontal="right" vertical="bottom" textRotation="0" wrapText="false" indent="0" shrinkToFit="false"/>
      <protection locked="true" hidden="false"/>
    </xf>
    <xf numFmtId="172" fontId="26" fillId="4" borderId="0" xfId="0" applyFont="true" applyBorder="false" applyAlignment="true" applyProtection="false">
      <alignment horizontal="right" vertical="bottom" textRotation="0" wrapText="false" indent="0" shrinkToFit="false"/>
      <protection locked="true" hidden="false"/>
    </xf>
    <xf numFmtId="172" fontId="14" fillId="0" borderId="0" xfId="0" applyFont="true" applyBorder="false" applyAlignment="true" applyProtection="false">
      <alignment horizontal="right" vertical="bottom" textRotation="0" wrapText="false" indent="0" shrinkToFit="false"/>
      <protection locked="true" hidden="false"/>
    </xf>
    <xf numFmtId="173" fontId="10" fillId="4" borderId="1" xfId="0" applyFont="true" applyBorder="true" applyAlignment="true" applyProtection="false">
      <alignment horizontal="right" vertical="bottom" textRotation="0" wrapText="false" indent="0" shrinkToFit="true"/>
      <protection locked="true" hidden="false"/>
    </xf>
    <xf numFmtId="164" fontId="17" fillId="4" borderId="0" xfId="0" applyFont="true" applyBorder="false" applyAlignment="true" applyProtection="false">
      <alignment horizontal="general" vertical="bottom" textRotation="0" wrapText="true" indent="0" shrinkToFit="false"/>
      <protection locked="true" hidden="false"/>
    </xf>
    <xf numFmtId="167" fontId="14" fillId="0" borderId="0" xfId="0" applyFont="true" applyBorder="false" applyAlignment="tru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general" vertical="bottom" textRotation="0" wrapText="false" indent="0" shrinkToFit="false"/>
      <protection locked="true" hidden="false"/>
    </xf>
    <xf numFmtId="170" fontId="28" fillId="5" borderId="1" xfId="0" applyFont="true" applyBorder="true" applyAlignment="true" applyProtection="false">
      <alignment horizontal="right" vertical="bottom" textRotation="0" wrapText="false" indent="0" shrinkToFit="true"/>
      <protection locked="true" hidden="false"/>
    </xf>
    <xf numFmtId="174" fontId="23" fillId="2" borderId="1" xfId="0" applyFont="true" applyBorder="true" applyAlignment="true" applyProtection="false">
      <alignment horizontal="right" vertical="bottom" textRotation="0" wrapText="false" indent="0" shrinkToFit="false"/>
      <protection locked="true" hidden="false"/>
    </xf>
    <xf numFmtId="174" fontId="26" fillId="4" borderId="0" xfId="0" applyFont="true" applyBorder="false" applyAlignment="true" applyProtection="false">
      <alignment horizontal="right" vertical="bottom" textRotation="0" wrapText="false" indent="0" shrinkToFit="false"/>
      <protection locked="true" hidden="false"/>
    </xf>
    <xf numFmtId="174" fontId="14" fillId="0" borderId="0" xfId="0" applyFont="true" applyBorder="false" applyAlignment="true" applyProtection="false">
      <alignment horizontal="right" vertical="bottom" textRotation="0" wrapText="false" indent="0" shrinkToFit="false"/>
      <protection locked="true" hidden="false"/>
    </xf>
    <xf numFmtId="171" fontId="10" fillId="4" borderId="1" xfId="0" applyFont="true" applyBorder="true" applyAlignment="true" applyProtection="false">
      <alignment horizontal="right" vertical="bottom" textRotation="0" wrapText="false" indent="0" shrinkToFit="tru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0" fontId="10" fillId="4" borderId="1" xfId="0" applyFont="true" applyBorder="tru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5" fontId="10" fillId="4" borderId="1" xfId="0" applyFont="true" applyBorder="true" applyAlignment="true" applyProtection="false">
      <alignment horizontal="general" vertical="bottom" textRotation="0" wrapText="false" indent="0" shrinkToFit="false"/>
      <protection locked="true" hidden="false"/>
    </xf>
    <xf numFmtId="174" fontId="10" fillId="4" borderId="1" xfId="0" applyFont="true" applyBorder="true" applyAlignment="true" applyProtection="false">
      <alignment horizontal="general" vertical="bottom" textRotation="0" wrapText="false" indent="0" shrinkToFit="false"/>
      <protection locked="true" hidden="false"/>
    </xf>
    <xf numFmtId="174" fontId="6" fillId="5" borderId="1" xfId="0" applyFont="true" applyBorder="true" applyAlignment="true" applyProtection="false">
      <alignment horizontal="general" vertical="bottom" textRotation="0" wrapText="false" indent="0" shrinkToFit="false"/>
      <protection locked="true" hidden="false"/>
    </xf>
    <xf numFmtId="172" fontId="6" fillId="5" borderId="1"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35" fillId="4" borderId="0" xfId="0" applyFont="true" applyBorder="false" applyAlignment="true" applyProtection="false">
      <alignment horizontal="general" vertical="bottom" textRotation="0" wrapText="true" indent="0" shrinkToFit="false"/>
      <protection locked="true" hidden="false"/>
    </xf>
    <xf numFmtId="174" fontId="1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true" indent="0" shrinkToFit="false"/>
      <protection locked="true" hidden="false"/>
    </xf>
    <xf numFmtId="164" fontId="41" fillId="0" borderId="0" xfId="0" applyFont="true" applyBorder="false" applyAlignment="true" applyProtection="false">
      <alignment horizontal="general" vertical="top" textRotation="0" wrapText="true" indent="0" shrinkToFit="false"/>
      <protection locked="true" hidden="false"/>
    </xf>
    <xf numFmtId="165" fontId="12" fillId="4" borderId="1" xfId="0" applyFont="true" applyBorder="tru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top" textRotation="0" wrapText="true" indent="0" shrinkToFit="false"/>
      <protection locked="true" hidden="false"/>
    </xf>
    <xf numFmtId="172" fontId="12" fillId="4" borderId="1" xfId="0" applyFont="true" applyBorder="true" applyAlignment="true" applyProtection="false">
      <alignment horizontal="general" vertical="bottom" textRotation="0" wrapText="false" indent="0" shrinkToFit="false"/>
      <protection locked="true" hidden="false"/>
    </xf>
    <xf numFmtId="173" fontId="12" fillId="4" borderId="1"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general" vertical="bottom" textRotation="0" wrapText="false" indent="0" shrinkToFit="false"/>
      <protection locked="true" hidden="false"/>
    </xf>
    <xf numFmtId="170" fontId="12" fillId="4" borderId="1" xfId="0" applyFont="true" applyBorder="true" applyAlignment="true" applyProtection="false">
      <alignment horizontal="general" vertical="bottom" textRotation="0" wrapText="false" indent="0" shrinkToFit="false"/>
      <protection locked="true" hidden="false"/>
    </xf>
    <xf numFmtId="167" fontId="12" fillId="4" borderId="1" xfId="0" applyFont="true" applyBorder="true" applyAlignment="tru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74" fontId="12" fillId="4" borderId="1" xfId="0" applyFont="true" applyBorder="true" applyAlignment="true" applyProtection="false">
      <alignment horizontal="general" vertical="bottom" textRotation="0" wrapText="false" indent="0" shrinkToFit="false"/>
      <protection locked="true" hidden="false"/>
    </xf>
    <xf numFmtId="168" fontId="12" fillId="4" borderId="1" xfId="0" applyFont="true" applyBorder="true" applyAlignment="true" applyProtection="false">
      <alignment horizontal="general" vertical="bottom" textRotation="0" wrapText="false" indent="0" shrinkToFit="false"/>
      <protection locked="true" hidden="false"/>
    </xf>
    <xf numFmtId="175" fontId="12" fillId="4"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F6E43"/>
      <rgbColor rgb="FFBFBFBF"/>
      <rgbColor rgb="FF808080"/>
      <rgbColor rgb="FF9999FF"/>
      <rgbColor rgb="FF993366"/>
      <rgbColor rgb="FFFFF2CC"/>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9.vml"/>
</Relationships>
</file>

<file path=xl/worksheets/_rels/sheet31.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6" customFormat="false" ht="15" hidden="false" customHeight="true" outlineLevel="0" collapsed="false">
      <c r="B16" s="7" t="s">
        <v>16</v>
      </c>
    </row>
    <row r="17" customFormat="false" ht="15" hidden="false" customHeight="true" outlineLevel="0" collapsed="false">
      <c r="B17" s="8" t="s">
        <v>17</v>
      </c>
      <c r="C17" s="8"/>
      <c r="D17" s="8"/>
      <c r="E17" s="8"/>
    </row>
    <row r="18" customFormat="false" ht="15" hidden="false" customHeight="true" outlineLevel="0" collapsed="false">
      <c r="B18" s="8" t="s">
        <v>18</v>
      </c>
      <c r="C18" s="8"/>
      <c r="D18" s="8"/>
      <c r="E18" s="8"/>
    </row>
    <row r="19" customFormat="false" ht="15" hidden="false" customHeight="true" outlineLevel="0" collapsed="false">
      <c r="B19" s="8" t="s">
        <v>19</v>
      </c>
      <c r="C19" s="8"/>
      <c r="D19" s="8"/>
      <c r="E19" s="8"/>
    </row>
    <row r="20" customFormat="false" ht="15" hidden="false" customHeight="true" outlineLevel="0" collapsed="false">
      <c r="B20" s="8" t="s">
        <v>20</v>
      </c>
      <c r="C20" s="8"/>
      <c r="D20" s="8"/>
      <c r="E20" s="8"/>
    </row>
    <row r="21" customFormat="false" ht="15" hidden="false" customHeight="true" outlineLevel="0" collapsed="false">
      <c r="B21" s="8" t="s">
        <v>21</v>
      </c>
      <c r="C21" s="8"/>
      <c r="D21" s="8"/>
      <c r="E21" s="8"/>
    </row>
    <row r="22" customFormat="false" ht="15" hidden="false" customHeight="true" outlineLevel="0" collapsed="false">
      <c r="B22" s="8" t="s">
        <v>22</v>
      </c>
      <c r="C22" s="8"/>
      <c r="D22" s="8"/>
      <c r="E22" s="8"/>
    </row>
    <row r="24" customFormat="false" ht="15" hidden="false" customHeight="true" outlineLevel="0" collapsed="false">
      <c r="B24" s="7" t="s">
        <v>23</v>
      </c>
    </row>
    <row r="25" customFormat="false" ht="15" hidden="false" customHeight="true" outlineLevel="0" collapsed="false">
      <c r="B25" s="8" t="s">
        <v>24</v>
      </c>
      <c r="C25" s="8"/>
      <c r="D25" s="8"/>
      <c r="E25" s="8"/>
    </row>
    <row r="27" customFormat="false" ht="15" hidden="false" customHeight="true" outlineLevel="0" collapsed="false">
      <c r="B27" s="7" t="s">
        <v>25</v>
      </c>
    </row>
    <row r="28" customFormat="false" ht="15" hidden="false" customHeight="true" outlineLevel="0" collapsed="false">
      <c r="B28" s="8" t="s">
        <v>26</v>
      </c>
      <c r="C28" s="8"/>
      <c r="D28" s="8"/>
      <c r="E28" s="8"/>
    </row>
    <row r="30" customFormat="false" ht="15" hidden="false" customHeight="true" outlineLevel="0" collapsed="false">
      <c r="B30" s="7" t="s">
        <v>27</v>
      </c>
    </row>
    <row r="31" customFormat="false" ht="15" hidden="false" customHeight="true" outlineLevel="0" collapsed="false">
      <c r="B31" s="9" t="s">
        <v>28</v>
      </c>
      <c r="C31" s="9" t="s">
        <v>29</v>
      </c>
      <c r="D31" s="9" t="s">
        <v>30</v>
      </c>
      <c r="E31" s="9" t="s">
        <v>31</v>
      </c>
    </row>
    <row r="32" customFormat="false" ht="15" hidden="false" customHeight="true" outlineLevel="0" collapsed="false">
      <c r="B32" s="10" t="s">
        <v>32</v>
      </c>
      <c r="C32" s="11" t="str">
        <f aca="false">HYPERLINK("#'C01 Borrowing'!A1","How much could I borrow?")</f>
        <v>How much could I borrow?</v>
      </c>
      <c r="D32" s="12" t="s">
        <v>33</v>
      </c>
      <c r="E32" s="12" t="s">
        <v>34</v>
      </c>
    </row>
    <row r="33" customFormat="false" ht="15" hidden="false" customHeight="true" outlineLevel="0" collapsed="false">
      <c r="B33" s="10" t="s">
        <v>35</v>
      </c>
      <c r="C33" s="11" t="str">
        <f aca="false">HYPERLINK("#'C02 Mortgage repayment'!A1","Monthly mortgage repayment")</f>
        <v>Monthly mortgage repayment</v>
      </c>
      <c r="D33" s="12" t="s">
        <v>36</v>
      </c>
      <c r="E33" s="12" t="s">
        <v>34</v>
      </c>
    </row>
    <row r="34" customFormat="false" ht="15" hidden="false" customHeight="true" outlineLevel="0" collapsed="false">
      <c r="B34" s="10" t="s">
        <v>37</v>
      </c>
      <c r="C34" s="11" t="str">
        <f aca="false">HYPERLINK("#'C03 Deposit'!A1","Deposit calculator")</f>
        <v>Deposit calculator</v>
      </c>
      <c r="D34" s="12" t="s">
        <v>38</v>
      </c>
      <c r="E34" s="12" t="s">
        <v>34</v>
      </c>
    </row>
    <row r="35" customFormat="false" ht="15" hidden="false" customHeight="true" outlineLevel="0" collapsed="false">
      <c r="B35" s="10" t="s">
        <v>39</v>
      </c>
      <c r="C35" s="11" t="str">
        <f aca="false">HYPERLINK("#'C04 Mortgage overpayment'!A1","Mortgage overpayment")</f>
        <v>Mortgage overpayment</v>
      </c>
      <c r="D35" s="12" t="s">
        <v>40</v>
      </c>
      <c r="E35" s="12" t="s">
        <v>34</v>
      </c>
    </row>
    <row r="36" customFormat="false" ht="15" hidden="false" customHeight="true" outlineLevel="0" collapsed="false">
      <c r="B36" s="10" t="s">
        <v>41</v>
      </c>
      <c r="C36" s="11" t="str">
        <f aca="false">HYPERLINK("#'C05 Interest rate impact'!A1","Interest-rate impact")</f>
        <v>Interest-rate impact</v>
      </c>
      <c r="D36" s="12" t="s">
        <v>42</v>
      </c>
      <c r="E36" s="12" t="s">
        <v>34</v>
      </c>
    </row>
    <row r="37" customFormat="false" ht="15" hidden="false" customHeight="true" outlineLevel="0" collapsed="false">
      <c r="B37" s="10" t="s">
        <v>43</v>
      </c>
      <c r="C37" s="11" t="str">
        <f aca="false">HYPERLINK("#'C06 Term comparison'!A1","Mortgage term comparison")</f>
        <v>Mortgage term comparison</v>
      </c>
      <c r="D37" s="12" t="s">
        <v>44</v>
      </c>
      <c r="E37" s="12" t="s">
        <v>34</v>
      </c>
    </row>
    <row r="38" customFormat="false" ht="15" hidden="false" customHeight="true" outlineLevel="0" collapsed="false">
      <c r="B38" s="10" t="s">
        <v>45</v>
      </c>
      <c r="C38" s="11" t="str">
        <f aca="false">HYPERLINK("#'C07 Rent vs buy'!A1","Rent vs buy")</f>
        <v>Rent vs buy</v>
      </c>
      <c r="D38" s="12" t="s">
        <v>46</v>
      </c>
      <c r="E38" s="12" t="s">
        <v>34</v>
      </c>
    </row>
    <row r="39" customFormat="false" ht="15" hidden="false" customHeight="true" outlineLevel="0" collapsed="false">
      <c r="B39" s="10" t="s">
        <v>47</v>
      </c>
      <c r="C39" s="11" t="str">
        <f aca="false">HYPERLINK("#'C08 Goal planner'!A1","Goal planner")</f>
        <v>Goal planner</v>
      </c>
      <c r="D39" s="12" t="s">
        <v>48</v>
      </c>
      <c r="E39" s="12" t="s">
        <v>49</v>
      </c>
    </row>
    <row r="40" customFormat="false" ht="15" hidden="false" customHeight="true" outlineLevel="0" collapsed="false">
      <c r="B40" s="10" t="s">
        <v>50</v>
      </c>
      <c r="C40" s="11" t="str">
        <f aca="false">HYPERLINK("#'C09 Compound growth'!A1","Compound growth")</f>
        <v>Compound growth</v>
      </c>
      <c r="D40" s="12" t="s">
        <v>51</v>
      </c>
      <c r="E40" s="12" t="s">
        <v>49</v>
      </c>
    </row>
    <row r="41" customFormat="false" ht="15" hidden="false" customHeight="true" outlineLevel="0" collapsed="false">
      <c r="B41" s="10" t="s">
        <v>52</v>
      </c>
      <c r="C41" s="11" t="str">
        <f aca="false">HYPERLINK("#'C10 Lump sum growth'!A1","Lump-sum growth")</f>
        <v>Lump-sum growth</v>
      </c>
      <c r="D41" s="12" t="s">
        <v>53</v>
      </c>
      <c r="E41" s="12" t="s">
        <v>54</v>
      </c>
    </row>
    <row r="42" customFormat="false" ht="15" hidden="false" customHeight="true" outlineLevel="0" collapsed="false">
      <c r="B42" s="10" t="s">
        <v>55</v>
      </c>
      <c r="C42" s="11" t="str">
        <f aca="false">HYPERLINK("#'C11 Emergency fund'!A1","Emergency fund")</f>
        <v>Emergency fund</v>
      </c>
      <c r="D42" s="12" t="s">
        <v>56</v>
      </c>
      <c r="E42" s="12" t="s">
        <v>49</v>
      </c>
    </row>
    <row r="43" customFormat="false" ht="15" hidden="false" customHeight="true" outlineLevel="0" collapsed="false">
      <c r="B43" s="10" t="s">
        <v>57</v>
      </c>
      <c r="C43" s="11" t="str">
        <f aca="false">HYPERLINK("#'C12 Retirement projection'!A1","Retirement projection")</f>
        <v>Retirement projection</v>
      </c>
      <c r="D43" s="12" t="s">
        <v>58</v>
      </c>
      <c r="E43" s="12" t="s">
        <v>59</v>
      </c>
    </row>
    <row r="44" customFormat="false" ht="15" hidden="false" customHeight="true" outlineLevel="0" collapsed="false">
      <c r="B44" s="10" t="s">
        <v>60</v>
      </c>
      <c r="C44" s="11" t="str">
        <f aca="false">HYPERLINK("#'C13 Contribution impact'!A1","Contribution impact")</f>
        <v>Contribution impact</v>
      </c>
      <c r="D44" s="12" t="s">
        <v>61</v>
      </c>
      <c r="E44" s="12" t="s">
        <v>59</v>
      </c>
    </row>
    <row r="45" customFormat="false" ht="15" hidden="false" customHeight="true" outlineLevel="0" collapsed="false">
      <c r="B45" s="10" t="s">
        <v>62</v>
      </c>
      <c r="C45" s="11" t="str">
        <f aca="false">HYPERLINK("#'C14 AVC impact'!A1","AVC impact")</f>
        <v>AVC impact</v>
      </c>
      <c r="D45" s="12" t="s">
        <v>63</v>
      </c>
      <c r="E45" s="12" t="s">
        <v>59</v>
      </c>
    </row>
    <row r="46" customFormat="false" ht="15" hidden="false" customHeight="true" outlineLevel="0" collapsed="false">
      <c r="B46" s="10" t="s">
        <v>64</v>
      </c>
      <c r="C46" s="11" t="str">
        <f aca="false">HYPERLINK("#'C15 Will my money last'!A1","Will my money last?")</f>
        <v>Will my money last?</v>
      </c>
      <c r="D46" s="12" t="s">
        <v>65</v>
      </c>
      <c r="E46" s="12" t="s">
        <v>59</v>
      </c>
    </row>
    <row r="47" customFormat="false" ht="15" hidden="false" customHeight="true" outlineLevel="0" collapsed="false">
      <c r="B47" s="10" t="s">
        <v>66</v>
      </c>
      <c r="C47" s="11" t="str">
        <f aca="false">HYPERLINK("#'C16 Drawdown scenarios'!A1","Retirement drawdown scenarios")</f>
        <v>Retirement drawdown scenarios</v>
      </c>
      <c r="D47" s="12" t="s">
        <v>67</v>
      </c>
      <c r="E47" s="12" t="s">
        <v>59</v>
      </c>
    </row>
    <row r="48" customFormat="false" ht="15" hidden="false" customHeight="true" outlineLevel="0" collapsed="false">
      <c r="B48" s="10" t="s">
        <v>68</v>
      </c>
      <c r="C48" s="11" t="str">
        <f aca="false">HYPERLINK("#'C17 Inflation adjusted return'!A1","Inflation-adjusted return")</f>
        <v>Inflation-adjusted return</v>
      </c>
      <c r="D48" s="12" t="s">
        <v>69</v>
      </c>
      <c r="E48" s="12" t="s">
        <v>54</v>
      </c>
    </row>
    <row r="49" customFormat="false" ht="15" hidden="false" customHeight="true" outlineLevel="0" collapsed="false">
      <c r="B49" s="10" t="s">
        <v>70</v>
      </c>
      <c r="C49" s="11" t="str">
        <f aca="false">HYPERLINK("#'C18 Regular investing'!A1","Regular investing")</f>
        <v>Regular investing</v>
      </c>
      <c r="D49" s="12" t="s">
        <v>71</v>
      </c>
      <c r="E49" s="12" t="s">
        <v>54</v>
      </c>
    </row>
    <row r="50" customFormat="false" ht="15" hidden="false" customHeight="true" outlineLevel="0" collapsed="false">
      <c r="B50" s="10" t="s">
        <v>72</v>
      </c>
      <c r="C50" s="11" t="str">
        <f aca="false">HYPERLINK("#'C19 Fees impact'!A1","Fees impact")</f>
        <v>Fees impact</v>
      </c>
      <c r="D50" s="12" t="s">
        <v>73</v>
      </c>
      <c r="E50" s="12" t="s">
        <v>54</v>
      </c>
    </row>
    <row r="51" customFormat="false" ht="15" hidden="false" customHeight="true" outlineLevel="0" collapsed="false">
      <c r="B51" s="10" t="s">
        <v>74</v>
      </c>
      <c r="C51" s="11" t="str">
        <f aca="false">HYPERLINK("#'C20 Risk and return'!A1","Risk &amp; return simulator")</f>
        <v>Risk &amp; return simulator</v>
      </c>
      <c r="D51" s="12" t="s">
        <v>75</v>
      </c>
      <c r="E51" s="12" t="s">
        <v>54</v>
      </c>
    </row>
    <row r="52" customFormat="false" ht="15" hidden="false" customHeight="true" outlineLevel="0" collapsed="false">
      <c r="B52" s="10" t="s">
        <v>76</v>
      </c>
      <c r="C52" s="11" t="str">
        <f aca="false">HYPERLINK("#'C21 Life cover'!A1","Life cover estimator")</f>
        <v>Life cover estimator</v>
      </c>
      <c r="D52" s="12" t="s">
        <v>77</v>
      </c>
      <c r="E52" s="12" t="s">
        <v>78</v>
      </c>
    </row>
    <row r="53" customFormat="false" ht="15" hidden="false" customHeight="true" outlineLevel="0" collapsed="false">
      <c r="B53" s="10" t="s">
        <v>79</v>
      </c>
      <c r="C53" s="11" t="str">
        <f aca="false">HYPERLINK("#'C22 Income protection gap'!A1","Income protection gap")</f>
        <v>Income protection gap</v>
      </c>
      <c r="D53" s="12" t="s">
        <v>80</v>
      </c>
      <c r="E53" s="12" t="s">
        <v>78</v>
      </c>
    </row>
    <row r="54" customFormat="false" ht="15" hidden="false" customHeight="true" outlineLevel="0" collapsed="false">
      <c r="B54" s="10" t="s">
        <v>81</v>
      </c>
      <c r="C54" s="11" t="str">
        <f aca="false">HYPERLINK("#'C23 Mortgage protection'!A1","Mortgage protection")</f>
        <v>Mortgage protection</v>
      </c>
      <c r="D54" s="12" t="s">
        <v>82</v>
      </c>
      <c r="E54" s="12" t="s">
        <v>78</v>
      </c>
    </row>
    <row r="55" customFormat="false" ht="15" hidden="false" customHeight="true" outlineLevel="0" collapsed="false">
      <c r="B55" s="10" t="s">
        <v>83</v>
      </c>
      <c r="C55" s="11" t="str">
        <f aca="false">HYPERLINK("#'C24 Net worth'!A1","Net worth")</f>
        <v>Net worth</v>
      </c>
      <c r="D55" s="12" t="s">
        <v>84</v>
      </c>
      <c r="E55" s="12" t="s">
        <v>85</v>
      </c>
    </row>
    <row r="56" customFormat="false" ht="15" hidden="false" customHeight="true" outlineLevel="0" collapsed="false">
      <c r="B56" s="10" t="s">
        <v>86</v>
      </c>
      <c r="C56" s="11" t="str">
        <f aca="false">HYPERLINK("#'C25 Monthly surplus'!A1","Monthly surplus")</f>
        <v>Monthly surplus</v>
      </c>
      <c r="D56" s="12" t="s">
        <v>87</v>
      </c>
      <c r="E56" s="12" t="s">
        <v>85</v>
      </c>
    </row>
    <row r="57" customFormat="false" ht="15" hidden="false" customHeight="true" outlineLevel="0" collapsed="false">
      <c r="B57" s="10" t="s">
        <v>88</v>
      </c>
      <c r="C57" s="11" t="str">
        <f aca="false">HYPERLINK("#'C26 Budget 50 30 20'!A1","Budget (50/30/20)")</f>
        <v>Budget (50/30/20)</v>
      </c>
      <c r="D57" s="12" t="s">
        <v>89</v>
      </c>
      <c r="E57" s="12" t="s">
        <v>85</v>
      </c>
    </row>
    <row r="58" customFormat="false" ht="15" hidden="false" customHeight="true" outlineLevel="0" collapsed="false">
      <c r="B58" s="10" t="s">
        <v>90</v>
      </c>
      <c r="C58" s="11" t="str">
        <f aca="false">HYPERLINK("#'C27 Debt repayment'!A1","Debt repayment")</f>
        <v>Debt repayment</v>
      </c>
      <c r="D58" s="12" t="s">
        <v>91</v>
      </c>
      <c r="E58" s="12" t="s">
        <v>85</v>
      </c>
    </row>
    <row r="59" customFormat="false" ht="15" hidden="false" customHeight="true" outlineLevel="0" collapsed="false">
      <c r="B59" s="10" t="s">
        <v>92</v>
      </c>
      <c r="C59" s="11" t="str">
        <f aca="false">HYPERLINK("#'C28 Loan repayment'!A1","Loan repayment")</f>
        <v>Loan repayment</v>
      </c>
      <c r="D59" s="12" t="s">
        <v>93</v>
      </c>
      <c r="E59" s="12" t="s">
        <v>85</v>
      </c>
    </row>
    <row r="60" customFormat="false" ht="15" hidden="false" customHeight="true" outlineLevel="0" collapsed="false">
      <c r="C60" s="11" t="str">
        <f aca="false">HYPERLINK("#'Assumptions'!A1","Assumptions")</f>
        <v>Assumptions</v>
      </c>
    </row>
    <row r="61" customFormat="false" ht="15" hidden="false" customHeight="true" outlineLevel="0" collapsed="false">
      <c r="C61" s="11" t="str">
        <f aca="false">HYPERLINK("#'Tax engine'!A1","Tax engine")</f>
        <v>Tax engine</v>
      </c>
    </row>
    <row r="62" customFormat="false" ht="15" hidden="false" customHeight="true" outlineLevel="0" collapsed="false">
      <c r="C62" s="11" t="str">
        <f aca="false">HYPERLINK("#'Document reader spec'!A1","Document reader spec")</f>
        <v>Document reader spec</v>
      </c>
    </row>
    <row r="64" customFormat="false" ht="15" hidden="false" customHeight="true" outlineLevel="0" collapsed="false">
      <c r="B64" s="13" t="s">
        <v>94</v>
      </c>
      <c r="C64" s="14"/>
      <c r="D64" s="14"/>
      <c r="E64" s="14"/>
      <c r="F64" s="14"/>
      <c r="G64" s="14"/>
      <c r="H64" s="14"/>
    </row>
    <row r="65" customFormat="false" ht="42" hidden="false" customHeight="true" outlineLevel="0" collapsed="false">
      <c r="B65" s="15" t="s">
        <v>95</v>
      </c>
      <c r="C65" s="15"/>
      <c r="D65" s="15"/>
      <c r="E65" s="15"/>
      <c r="F65" s="15"/>
      <c r="G65" s="15"/>
    </row>
    <row r="66" customFormat="false" ht="15" hidden="false" customHeight="true" outlineLevel="0" collapsed="false">
      <c r="B66" s="16" t="s">
        <v>96</v>
      </c>
      <c r="C66" s="16" t="s">
        <v>97</v>
      </c>
      <c r="D66" s="16" t="s">
        <v>98</v>
      </c>
    </row>
    <row r="67" customFormat="false" ht="25.5" hidden="false" customHeight="true" outlineLevel="0" collapsed="false">
      <c r="B67" s="17" t="s">
        <v>99</v>
      </c>
      <c r="C67" s="17" t="s">
        <v>100</v>
      </c>
      <c r="D67" s="17" t="s">
        <v>101</v>
      </c>
    </row>
    <row r="68" customFormat="false" ht="25.5" hidden="false" customHeight="true" outlineLevel="0" collapsed="false">
      <c r="B68" s="17" t="s">
        <v>102</v>
      </c>
      <c r="C68" s="17" t="s">
        <v>103</v>
      </c>
      <c r="D68" s="17" t="s">
        <v>104</v>
      </c>
    </row>
    <row r="69" customFormat="false" ht="25.5" hidden="false" customHeight="true" outlineLevel="0" collapsed="false">
      <c r="B69" s="17" t="s">
        <v>105</v>
      </c>
      <c r="C69" s="17" t="s">
        <v>106</v>
      </c>
      <c r="D69" s="17" t="s">
        <v>104</v>
      </c>
    </row>
    <row r="70" customFormat="false" ht="25.5" hidden="false" customHeight="true" outlineLevel="0" collapsed="false">
      <c r="B70" s="17" t="s">
        <v>107</v>
      </c>
      <c r="C70" s="17" t="s">
        <v>108</v>
      </c>
      <c r="D70" s="17" t="s">
        <v>109</v>
      </c>
    </row>
    <row r="71" customFormat="false" ht="25.5" hidden="false" customHeight="true" outlineLevel="0" collapsed="false">
      <c r="B71" s="17" t="s">
        <v>110</v>
      </c>
      <c r="C71" s="17" t="s">
        <v>111</v>
      </c>
      <c r="D71" s="17" t="s">
        <v>112</v>
      </c>
    </row>
    <row r="72" customFormat="false" ht="25.5" hidden="false" customHeight="true" outlineLevel="0" collapsed="false">
      <c r="B72" s="17" t="s">
        <v>113</v>
      </c>
      <c r="C72" s="17" t="s">
        <v>114</v>
      </c>
      <c r="D72" s="17" t="s">
        <v>115</v>
      </c>
    </row>
    <row r="73" customFormat="false" ht="25.5" hidden="false" customHeight="true" outlineLevel="0" collapsed="false">
      <c r="B73" s="17" t="s">
        <v>116</v>
      </c>
      <c r="C73" s="17" t="s">
        <v>117</v>
      </c>
      <c r="D73" s="17" t="s">
        <v>118</v>
      </c>
    </row>
    <row r="74" customFormat="false" ht="25.5" hidden="false" customHeight="true" outlineLevel="0" collapsed="false">
      <c r="B74" s="17" t="s">
        <v>119</v>
      </c>
      <c r="C74" s="17" t="s">
        <v>120</v>
      </c>
      <c r="D74" s="17" t="s">
        <v>121</v>
      </c>
    </row>
    <row r="75" customFormat="false" ht="25.5" hidden="false" customHeight="true" outlineLevel="0" collapsed="false">
      <c r="B75" s="17" t="s">
        <v>122</v>
      </c>
      <c r="C75" s="17" t="s">
        <v>123</v>
      </c>
      <c r="D75" s="17" t="s">
        <v>104</v>
      </c>
    </row>
    <row r="76" customFormat="false" ht="25.5" hidden="false" customHeight="true" outlineLevel="0" collapsed="false">
      <c r="B76" s="17" t="s">
        <v>124</v>
      </c>
      <c r="C76" s="17" t="s">
        <v>125</v>
      </c>
      <c r="D76" s="17" t="s">
        <v>104</v>
      </c>
    </row>
    <row r="77" customFormat="false" ht="25.5" hidden="false" customHeight="true" outlineLevel="0" collapsed="false">
      <c r="B77" s="17" t="s">
        <v>126</v>
      </c>
      <c r="C77" s="17" t="s">
        <v>127</v>
      </c>
      <c r="D77" s="17" t="s">
        <v>128</v>
      </c>
    </row>
    <row r="79" customFormat="false" ht="15" hidden="false" customHeight="true" outlineLevel="0" collapsed="false">
      <c r="B79" s="7" t="s">
        <v>129</v>
      </c>
    </row>
    <row r="80" customFormat="false" ht="15" hidden="false" customHeight="true" outlineLevel="0" collapsed="false">
      <c r="B80" s="9" t="s">
        <v>130</v>
      </c>
      <c r="C80" s="9" t="s">
        <v>131</v>
      </c>
      <c r="D80" s="9" t="s">
        <v>132</v>
      </c>
    </row>
    <row r="81" customFormat="false" ht="12.75" hidden="false" customHeight="true" outlineLevel="0" collapsed="false">
      <c r="B81" s="12" t="s">
        <v>57</v>
      </c>
      <c r="C81" s="18" t="s">
        <v>133</v>
      </c>
      <c r="D81" s="19" t="s">
        <v>134</v>
      </c>
      <c r="E81" s="19"/>
    </row>
    <row r="82" customFormat="false" ht="12.75" hidden="false" customHeight="true" outlineLevel="0" collapsed="false">
      <c r="B82" s="12" t="s">
        <v>57</v>
      </c>
      <c r="C82" s="18" t="s">
        <v>133</v>
      </c>
      <c r="D82" s="19" t="s">
        <v>135</v>
      </c>
      <c r="E82" s="19"/>
    </row>
    <row r="83" customFormat="false" ht="12.75" hidden="false" customHeight="true" outlineLevel="0" collapsed="false">
      <c r="B83" s="12" t="s">
        <v>35</v>
      </c>
      <c r="C83" s="18" t="s">
        <v>133</v>
      </c>
      <c r="D83" s="19" t="s">
        <v>136</v>
      </c>
      <c r="E83" s="19"/>
    </row>
    <row r="84" customFormat="false" ht="25.5" hidden="false" customHeight="true" outlineLevel="0" collapsed="false">
      <c r="B84" s="12" t="s">
        <v>39</v>
      </c>
      <c r="C84" s="18" t="s">
        <v>133</v>
      </c>
      <c r="D84" s="19" t="s">
        <v>137</v>
      </c>
      <c r="E84" s="19"/>
    </row>
    <row r="85" customFormat="false" ht="12.75" hidden="false" customHeight="true" outlineLevel="0" collapsed="false">
      <c r="B85" s="12" t="s">
        <v>39</v>
      </c>
      <c r="C85" s="18" t="s">
        <v>133</v>
      </c>
      <c r="D85" s="19" t="s">
        <v>138</v>
      </c>
      <c r="E85" s="19"/>
    </row>
    <row r="86" customFormat="false" ht="25.5" hidden="false" customHeight="true" outlineLevel="0" collapsed="false">
      <c r="B86" s="12" t="s">
        <v>139</v>
      </c>
      <c r="C86" s="18" t="s">
        <v>133</v>
      </c>
      <c r="D86" s="19" t="s">
        <v>140</v>
      </c>
      <c r="E86" s="19"/>
    </row>
    <row r="87" customFormat="false" ht="12.75" hidden="false" customHeight="true" outlineLevel="0" collapsed="false">
      <c r="B87" s="12" t="s">
        <v>141</v>
      </c>
      <c r="C87" s="18" t="s">
        <v>133</v>
      </c>
      <c r="D87" s="19" t="s">
        <v>142</v>
      </c>
      <c r="E87" s="19"/>
    </row>
    <row r="88" customFormat="false" ht="12.75" hidden="false" customHeight="true" outlineLevel="0" collapsed="false">
      <c r="B88" s="12" t="s">
        <v>143</v>
      </c>
      <c r="C88" s="18" t="s">
        <v>133</v>
      </c>
      <c r="D88" s="19" t="s">
        <v>144</v>
      </c>
      <c r="E88" s="19"/>
    </row>
    <row r="89" customFormat="false" ht="12.75" hidden="false" customHeight="true" outlineLevel="0" collapsed="false">
      <c r="B89" s="12" t="s">
        <v>70</v>
      </c>
      <c r="C89" s="18" t="s">
        <v>133</v>
      </c>
      <c r="D89" s="19" t="s">
        <v>145</v>
      </c>
      <c r="E89" s="19"/>
    </row>
    <row r="90" customFormat="false" ht="12.75" hidden="false" customHeight="true" outlineLevel="0" collapsed="false">
      <c r="B90" s="12" t="s">
        <v>74</v>
      </c>
      <c r="C90" s="18" t="s">
        <v>133</v>
      </c>
      <c r="D90" s="19" t="s">
        <v>146</v>
      </c>
      <c r="E90" s="19"/>
    </row>
    <row r="91" customFormat="false" ht="12.75" hidden="false" customHeight="true" outlineLevel="0" collapsed="false">
      <c r="B91" s="12" t="s">
        <v>76</v>
      </c>
      <c r="C91" s="18" t="s">
        <v>133</v>
      </c>
      <c r="D91" s="19" t="s">
        <v>147</v>
      </c>
      <c r="E91" s="19"/>
    </row>
    <row r="92" customFormat="false" ht="12.75" hidden="false" customHeight="true" outlineLevel="0" collapsed="false">
      <c r="B92" s="12" t="s">
        <v>90</v>
      </c>
      <c r="C92" s="18" t="s">
        <v>133</v>
      </c>
      <c r="D92" s="19" t="s">
        <v>148</v>
      </c>
      <c r="E92" s="19"/>
    </row>
    <row r="93" customFormat="false" ht="12.75" hidden="false" customHeight="true" outlineLevel="0" collapsed="false">
      <c r="B93" s="12" t="s">
        <v>149</v>
      </c>
      <c r="C93" s="12" t="s">
        <v>150</v>
      </c>
      <c r="D93" s="19" t="s">
        <v>151</v>
      </c>
      <c r="E93" s="19"/>
    </row>
    <row r="94" customFormat="false" ht="12.75" hidden="false" customHeight="true" outlineLevel="0" collapsed="false">
      <c r="B94" s="12" t="s">
        <v>45</v>
      </c>
      <c r="C94" s="12" t="s">
        <v>150</v>
      </c>
      <c r="D94" s="19" t="s">
        <v>152</v>
      </c>
      <c r="E94" s="19"/>
    </row>
    <row r="95" customFormat="false" ht="12.75" hidden="false" customHeight="true" outlineLevel="0" collapsed="false">
      <c r="B95" s="12" t="s">
        <v>153</v>
      </c>
      <c r="C95" s="12" t="s">
        <v>150</v>
      </c>
      <c r="D95" s="19" t="s">
        <v>154</v>
      </c>
      <c r="E95" s="19"/>
    </row>
    <row r="96" customFormat="false" ht="12.75" hidden="false" customHeight="true" outlineLevel="0" collapsed="false">
      <c r="B96" s="12" t="s">
        <v>155</v>
      </c>
      <c r="C96" s="12" t="s">
        <v>150</v>
      </c>
      <c r="D96" s="19" t="s">
        <v>156</v>
      </c>
      <c r="E96" s="19"/>
    </row>
    <row r="97" customFormat="false" ht="25.5" hidden="false" customHeight="true" outlineLevel="0" collapsed="false">
      <c r="B97" s="12" t="s">
        <v>76</v>
      </c>
      <c r="C97" s="12" t="s">
        <v>150</v>
      </c>
      <c r="D97" s="19" t="s">
        <v>157</v>
      </c>
      <c r="E97" s="19"/>
    </row>
    <row r="98" customFormat="false" ht="25.5" hidden="false" customHeight="true" outlineLevel="0" collapsed="false">
      <c r="B98" s="12" t="s">
        <v>79</v>
      </c>
      <c r="C98" s="12" t="s">
        <v>150</v>
      </c>
      <c r="D98" s="19" t="s">
        <v>158</v>
      </c>
      <c r="E98" s="19"/>
    </row>
    <row r="99" customFormat="false" ht="12.75" hidden="false" customHeight="true" outlineLevel="0" collapsed="false">
      <c r="B99" s="12" t="s">
        <v>81</v>
      </c>
      <c r="C99" s="12" t="s">
        <v>150</v>
      </c>
      <c r="D99" s="19" t="s">
        <v>159</v>
      </c>
      <c r="E99" s="19"/>
    </row>
    <row r="100" customFormat="false" ht="12.75" hidden="false" customHeight="true" outlineLevel="0" collapsed="false">
      <c r="B100" s="12" t="s">
        <v>160</v>
      </c>
      <c r="C100" s="12" t="s">
        <v>150</v>
      </c>
      <c r="D100" s="19" t="s">
        <v>161</v>
      </c>
      <c r="E100" s="19"/>
    </row>
    <row r="101" customFormat="false" ht="12.75" hidden="false" customHeight="true" outlineLevel="0" collapsed="false">
      <c r="B101" s="12" t="s">
        <v>162</v>
      </c>
      <c r="C101" s="12" t="s">
        <v>150</v>
      </c>
      <c r="D101" s="19" t="s">
        <v>163</v>
      </c>
      <c r="E101" s="19"/>
    </row>
    <row r="102" customFormat="false" ht="12.75" hidden="false" customHeight="true" outlineLevel="0" collapsed="false">
      <c r="B102" s="12" t="s">
        <v>32</v>
      </c>
      <c r="C102" s="12" t="s">
        <v>164</v>
      </c>
      <c r="D102" s="19" t="s">
        <v>165</v>
      </c>
      <c r="E102" s="19"/>
    </row>
    <row r="103" customFormat="false" ht="12.75" hidden="false" customHeight="true" outlineLevel="0" collapsed="false">
      <c r="B103" s="12" t="s">
        <v>166</v>
      </c>
      <c r="C103" s="12" t="s">
        <v>164</v>
      </c>
      <c r="D103" s="19" t="s">
        <v>167</v>
      </c>
      <c r="E103" s="19"/>
    </row>
    <row r="104" customFormat="false" ht="12.75" hidden="false" customHeight="true" outlineLevel="0" collapsed="false">
      <c r="B104" s="12" t="s">
        <v>39</v>
      </c>
      <c r="C104" s="12" t="s">
        <v>164</v>
      </c>
      <c r="D104" s="19" t="s">
        <v>168</v>
      </c>
      <c r="E104" s="19"/>
    </row>
    <row r="105" customFormat="false" ht="12.75" hidden="false" customHeight="true" outlineLevel="0" collapsed="false">
      <c r="B105" s="12" t="s">
        <v>43</v>
      </c>
      <c r="C105" s="12" t="s">
        <v>164</v>
      </c>
      <c r="D105" s="19" t="s">
        <v>169</v>
      </c>
      <c r="E105" s="19"/>
    </row>
    <row r="106" customFormat="false" ht="12.75" hidden="false" customHeight="true" outlineLevel="0" collapsed="false">
      <c r="B106" s="12" t="s">
        <v>170</v>
      </c>
      <c r="C106" s="12" t="s">
        <v>164</v>
      </c>
      <c r="D106" s="19" t="s">
        <v>171</v>
      </c>
      <c r="E106" s="19"/>
    </row>
    <row r="107" customFormat="false" ht="12.75" hidden="false" customHeight="true" outlineLevel="0" collapsed="false">
      <c r="B107" s="12" t="s">
        <v>143</v>
      </c>
      <c r="C107" s="12" t="s">
        <v>164</v>
      </c>
      <c r="D107" s="19" t="s">
        <v>172</v>
      </c>
      <c r="E107" s="19"/>
    </row>
    <row r="108" customFormat="false" ht="12.75" hidden="false" customHeight="true" outlineLevel="0" collapsed="false">
      <c r="B108" s="12" t="s">
        <v>66</v>
      </c>
      <c r="C108" s="12" t="s">
        <v>164</v>
      </c>
      <c r="D108" s="19" t="s">
        <v>173</v>
      </c>
      <c r="E108" s="19"/>
    </row>
    <row r="109" customFormat="false" ht="12.75" hidden="false" customHeight="true" outlineLevel="0" collapsed="false">
      <c r="B109" s="12" t="s">
        <v>86</v>
      </c>
      <c r="C109" s="12" t="s">
        <v>164</v>
      </c>
      <c r="D109" s="19" t="s">
        <v>174</v>
      </c>
      <c r="E109" s="19"/>
    </row>
    <row r="110" customFormat="false" ht="25.5" hidden="false" customHeight="true" outlineLevel="0" collapsed="false">
      <c r="B110" s="12" t="s">
        <v>175</v>
      </c>
      <c r="C110" s="12" t="s">
        <v>164</v>
      </c>
      <c r="D110" s="19" t="s">
        <v>176</v>
      </c>
      <c r="E110" s="19"/>
    </row>
    <row r="112" customFormat="false" ht="15" hidden="false" customHeight="true" outlineLevel="0" collapsed="false">
      <c r="B112" s="7" t="s">
        <v>177</v>
      </c>
    </row>
    <row r="113" customFormat="false" ht="15" hidden="false" customHeight="true" outlineLevel="0" collapsed="false">
      <c r="B113" s="9" t="s">
        <v>130</v>
      </c>
      <c r="C113" s="9" t="s">
        <v>131</v>
      </c>
      <c r="D113" s="9" t="s">
        <v>132</v>
      </c>
    </row>
    <row r="114" customFormat="false" ht="51.75" hidden="false" customHeight="true" outlineLevel="0" collapsed="false">
      <c r="B114" s="12" t="s">
        <v>178</v>
      </c>
      <c r="C114" s="12" t="s">
        <v>179</v>
      </c>
      <c r="D114" s="19" t="s">
        <v>180</v>
      </c>
      <c r="E114" s="19"/>
    </row>
    <row r="115" customFormat="false" ht="39" hidden="false" customHeight="true" outlineLevel="0" collapsed="false">
      <c r="B115" s="12" t="s">
        <v>181</v>
      </c>
      <c r="C115" s="12" t="s">
        <v>182</v>
      </c>
      <c r="D115" s="19" t="s">
        <v>183</v>
      </c>
      <c r="E115" s="19"/>
    </row>
    <row r="116" customFormat="false" ht="25.5" hidden="false" customHeight="true" outlineLevel="0" collapsed="false">
      <c r="B116" s="12" t="s">
        <v>32</v>
      </c>
      <c r="C116" s="12" t="s">
        <v>150</v>
      </c>
      <c r="D116" s="19" t="s">
        <v>184</v>
      </c>
      <c r="E116" s="19"/>
    </row>
    <row r="117" customFormat="false" ht="12.75" hidden="false" customHeight="true" outlineLevel="0" collapsed="false">
      <c r="B117" s="12" t="s">
        <v>185</v>
      </c>
      <c r="C117" s="12" t="s">
        <v>164</v>
      </c>
      <c r="D117" s="19" t="s">
        <v>186</v>
      </c>
      <c r="E117" s="19"/>
    </row>
    <row r="118" customFormat="false" ht="12.75" hidden="false" customHeight="true" outlineLevel="0" collapsed="false">
      <c r="B118" s="12" t="s">
        <v>35</v>
      </c>
      <c r="C118" s="12" t="s">
        <v>164</v>
      </c>
      <c r="D118" s="19" t="s">
        <v>187</v>
      </c>
      <c r="E118" s="19"/>
    </row>
    <row r="119" customFormat="false" ht="12.75" hidden="false" customHeight="true" outlineLevel="0" collapsed="false">
      <c r="B119" s="12" t="s">
        <v>37</v>
      </c>
      <c r="C119" s="12" t="s">
        <v>150</v>
      </c>
      <c r="D119" s="19" t="s">
        <v>188</v>
      </c>
      <c r="E119" s="19"/>
    </row>
    <row r="120" customFormat="false" ht="12.75" hidden="false" customHeight="true" outlineLevel="0" collapsed="false">
      <c r="B120" s="12" t="s">
        <v>45</v>
      </c>
      <c r="C120" s="12" t="s">
        <v>164</v>
      </c>
      <c r="D120" s="19" t="s">
        <v>189</v>
      </c>
      <c r="E120" s="19"/>
    </row>
    <row r="121" customFormat="false" ht="25.5" hidden="false" customHeight="true" outlineLevel="0" collapsed="false">
      <c r="B121" s="12" t="s">
        <v>190</v>
      </c>
      <c r="C121" s="12" t="s">
        <v>150</v>
      </c>
      <c r="D121" s="19" t="s">
        <v>191</v>
      </c>
      <c r="E121" s="19"/>
    </row>
    <row r="122" customFormat="false" ht="12.75" hidden="false" customHeight="true" outlineLevel="0" collapsed="false">
      <c r="B122" s="12" t="s">
        <v>52</v>
      </c>
      <c r="C122" s="12" t="s">
        <v>164</v>
      </c>
      <c r="D122" s="19" t="s">
        <v>192</v>
      </c>
      <c r="E122" s="19"/>
    </row>
    <row r="123" customFormat="false" ht="12.75" hidden="false" customHeight="true" outlineLevel="0" collapsed="false">
      <c r="B123" s="12" t="s">
        <v>55</v>
      </c>
      <c r="C123" s="12" t="s">
        <v>164</v>
      </c>
      <c r="D123" s="19" t="s">
        <v>193</v>
      </c>
      <c r="E123" s="19"/>
    </row>
    <row r="124" customFormat="false" ht="12.75" hidden="false" customHeight="true" outlineLevel="0" collapsed="false">
      <c r="B124" s="12" t="s">
        <v>57</v>
      </c>
      <c r="C124" s="12" t="s">
        <v>150</v>
      </c>
      <c r="D124" s="19" t="s">
        <v>194</v>
      </c>
      <c r="E124" s="19"/>
    </row>
    <row r="125" customFormat="false" ht="12.75" hidden="false" customHeight="true" outlineLevel="0" collapsed="false">
      <c r="B125" s="12" t="s">
        <v>60</v>
      </c>
      <c r="C125" s="12" t="s">
        <v>150</v>
      </c>
      <c r="D125" s="19" t="s">
        <v>195</v>
      </c>
      <c r="E125" s="19"/>
    </row>
    <row r="126" customFormat="false" ht="12.75" hidden="false" customHeight="true" outlineLevel="0" collapsed="false">
      <c r="B126" s="12" t="s">
        <v>64</v>
      </c>
      <c r="C126" s="12" t="s">
        <v>164</v>
      </c>
      <c r="D126" s="19" t="s">
        <v>196</v>
      </c>
      <c r="E126" s="19"/>
    </row>
    <row r="127" customFormat="false" ht="12.75" hidden="false" customHeight="true" outlineLevel="0" collapsed="false">
      <c r="B127" s="12" t="s">
        <v>74</v>
      </c>
      <c r="C127" s="12" t="s">
        <v>150</v>
      </c>
      <c r="D127" s="19" t="s">
        <v>197</v>
      </c>
      <c r="E127" s="19"/>
    </row>
    <row r="128" customFormat="false" ht="25.5" hidden="false" customHeight="true" outlineLevel="0" collapsed="false">
      <c r="B128" s="12" t="s">
        <v>76</v>
      </c>
      <c r="C128" s="12" t="s">
        <v>164</v>
      </c>
      <c r="D128" s="19" t="s">
        <v>198</v>
      </c>
      <c r="E128" s="19"/>
    </row>
    <row r="129" customFormat="false" ht="25.5" hidden="false" customHeight="true" outlineLevel="0" collapsed="false">
      <c r="B129" s="12" t="s">
        <v>79</v>
      </c>
      <c r="C129" s="12" t="s">
        <v>164</v>
      </c>
      <c r="D129" s="19" t="s">
        <v>199</v>
      </c>
      <c r="E129" s="19"/>
    </row>
    <row r="130" customFormat="false" ht="12.75" hidden="false" customHeight="true" outlineLevel="0" collapsed="false">
      <c r="B130" s="12" t="s">
        <v>81</v>
      </c>
      <c r="C130" s="12" t="s">
        <v>164</v>
      </c>
      <c r="D130" s="19" t="s">
        <v>200</v>
      </c>
      <c r="E130" s="19"/>
    </row>
    <row r="131" customFormat="false" ht="12.75" hidden="false" customHeight="true" outlineLevel="0" collapsed="false">
      <c r="B131" s="12" t="s">
        <v>201</v>
      </c>
      <c r="C131" s="12" t="s">
        <v>164</v>
      </c>
      <c r="D131" s="19" t="s">
        <v>202</v>
      </c>
      <c r="E131" s="19"/>
    </row>
    <row r="132" customFormat="false" ht="64.5" hidden="false" customHeight="true" outlineLevel="0" collapsed="false">
      <c r="B132" s="12" t="s">
        <v>203</v>
      </c>
      <c r="C132" s="12" t="s">
        <v>204</v>
      </c>
      <c r="D132" s="19" t="s">
        <v>205</v>
      </c>
      <c r="E132" s="19"/>
    </row>
    <row r="133" customFormat="false" ht="12.75" hidden="false" customHeight="true" outlineLevel="0" collapsed="false">
      <c r="B133" s="12" t="s">
        <v>206</v>
      </c>
      <c r="C133" s="12" t="s">
        <v>164</v>
      </c>
      <c r="D133" s="19" t="s">
        <v>207</v>
      </c>
      <c r="E133" s="19"/>
    </row>
  </sheetData>
  <mergeCells count="69">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 ref="D133:E133"/>
  </mergeCells>
  <dataValidations count="1">
    <dataValidation allowBlank="false" errorStyle="stop" operator="between" prompt="No = blank template: results show &quot;Choose your … to see this&quot; until you fill the inputs. Yes = every blank input uses its grey Example only figure (the standard, or the sample customer's figure)." promptTitle="Example values" showDropDown="false" showErrorMessage="fals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208</v>
      </c>
      <c r="E1" s="3" t="s">
        <v>209</v>
      </c>
    </row>
    <row r="2" customFormat="false" ht="15" hidden="false" customHeight="true" outlineLevel="0" collapsed="false">
      <c r="B2" s="21" t="s">
        <v>210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211</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216</v>
      </c>
      <c r="C6" s="26"/>
      <c r="D6" s="27" t="s">
        <v>217</v>
      </c>
      <c r="E6" s="28" t="s">
        <v>218</v>
      </c>
      <c r="F6" s="29" t="n">
        <v>60000</v>
      </c>
      <c r="G6" s="30" t="str">
        <f aca="false">IF(ISBLANK(C6),IF(Fill_Example="Yes",F6,""),C6)</f>
        <v/>
      </c>
    </row>
    <row r="7" customFormat="false" ht="21.75" hidden="false" customHeight="true" outlineLevel="0" collapsed="false">
      <c r="B7" s="25" t="s">
        <v>219</v>
      </c>
      <c r="C7" s="26"/>
      <c r="D7" s="27" t="s">
        <v>217</v>
      </c>
      <c r="E7" s="28" t="s">
        <v>220</v>
      </c>
      <c r="F7" s="29" t="n">
        <v>0</v>
      </c>
      <c r="G7" s="30" t="str">
        <f aca="false">IF(ISBLANK(C7),IF(Fill_Example="Yes",F7,""),C7)</f>
        <v/>
      </c>
    </row>
    <row r="8" customFormat="false" ht="21.75" hidden="false" customHeight="true" outlineLevel="0" collapsed="false">
      <c r="B8" s="25" t="s">
        <v>221</v>
      </c>
      <c r="C8" s="26"/>
      <c r="D8" s="27" t="s">
        <v>217</v>
      </c>
      <c r="E8" s="28" t="s">
        <v>222</v>
      </c>
      <c r="F8" s="29" t="n">
        <v>25000</v>
      </c>
      <c r="G8" s="30" t="str">
        <f aca="false">IF(ISBLANK(C8),IF(Fill_Example="Yes",F8,""),C8)</f>
        <v/>
      </c>
    </row>
    <row r="9" customFormat="false" ht="21.75" hidden="false" customHeight="true" outlineLevel="0" collapsed="false">
      <c r="B9" s="25" t="s">
        <v>223</v>
      </c>
      <c r="C9" s="31"/>
      <c r="D9" s="27" t="s">
        <v>224</v>
      </c>
      <c r="E9" s="28" t="s">
        <v>225</v>
      </c>
      <c r="F9" s="32" t="s">
        <v>226</v>
      </c>
      <c r="G9" s="33" t="str">
        <f aca="false">IF(ISBLANK(C9),IF(Fill_Example="Yes",F9,""),C9)</f>
        <v/>
      </c>
    </row>
    <row r="10" customFormat="false" ht="21.75" hidden="false" customHeight="true" outlineLevel="0" collapsed="false">
      <c r="B10" s="25" t="s">
        <v>227</v>
      </c>
      <c r="C10" s="34"/>
      <c r="D10" s="27" t="s">
        <v>228</v>
      </c>
      <c r="E10" s="35" t="s">
        <v>229</v>
      </c>
      <c r="F10" s="36" t="n">
        <v>0.0375</v>
      </c>
      <c r="G10" s="37" t="str">
        <f aca="false">IF(ISBLANK(C10),IF(Fill_Example="Yes",F10,""),C10)</f>
        <v/>
      </c>
    </row>
    <row r="11" customFormat="false" ht="15" hidden="false" customHeight="true" outlineLevel="0" collapsed="false">
      <c r="B11" s="25" t="s">
        <v>230</v>
      </c>
      <c r="C11" s="38"/>
      <c r="D11" s="27" t="s">
        <v>231</v>
      </c>
      <c r="E11" s="28" t="s">
        <v>232</v>
      </c>
      <c r="F11" s="39" t="n">
        <v>30</v>
      </c>
      <c r="G11" s="40" t="str">
        <f aca="false">IF(ISBLANK(C11),IF(Fill_Example="Yes",F11,""),C11)</f>
        <v/>
      </c>
    </row>
    <row r="12" customFormat="false" ht="21.75" hidden="false" customHeight="true" outlineLevel="0" collapsed="false">
      <c r="B12" s="25" t="s">
        <v>233</v>
      </c>
      <c r="C12" s="26"/>
      <c r="D12" s="27" t="s">
        <v>217</v>
      </c>
      <c r="E12" s="35" t="s">
        <v>234</v>
      </c>
      <c r="F12" s="29" t="n">
        <v>3000</v>
      </c>
      <c r="G12" s="30" t="str">
        <f aca="false">IF(ISBLANK(C12),IF(Fill_Example="Yes",F12,""),C12)</f>
        <v/>
      </c>
    </row>
    <row r="13" customFormat="false" ht="15" hidden="false" customHeight="true" outlineLevel="0" collapsed="false">
      <c r="B13" s="25" t="s">
        <v>235</v>
      </c>
      <c r="C13" s="38"/>
      <c r="D13" s="27" t="s">
        <v>231</v>
      </c>
      <c r="E13" s="28" t="s">
        <v>236</v>
      </c>
      <c r="F13" s="39" t="n">
        <v>3</v>
      </c>
      <c r="G13" s="40" t="str">
        <f aca="false">IF(ISBLANK(C13),IF(Fill_Example="Yes",F13,""),C13)</f>
        <v/>
      </c>
    </row>
    <row r="14" customFormat="false" ht="15" hidden="false" customHeight="true" outlineLevel="0" collapsed="false">
      <c r="B14" s="25" t="s">
        <v>237</v>
      </c>
      <c r="C14" s="26"/>
      <c r="D14" s="27" t="s">
        <v>217</v>
      </c>
      <c r="E14" s="28" t="s">
        <v>238</v>
      </c>
      <c r="F14" s="29" t="n">
        <v>0</v>
      </c>
      <c r="G14" s="30" t="n">
        <f aca="false">IF(ISBLANK(C14),F14,C14)</f>
        <v>0</v>
      </c>
    </row>
    <row r="16" customFormat="false" ht="15" hidden="false" customHeight="true" outlineLevel="0" collapsed="false">
      <c r="B16" s="13" t="s">
        <v>239</v>
      </c>
      <c r="C16" s="24" t="s">
        <v>240</v>
      </c>
      <c r="D16" s="24" t="s">
        <v>241</v>
      </c>
      <c r="E16" s="24" t="s">
        <v>242</v>
      </c>
      <c r="F16" s="14"/>
      <c r="G16" s="14"/>
    </row>
    <row r="17" customFormat="false" ht="17.25" hidden="false" customHeight="true" outlineLevel="0" collapsed="false">
      <c r="B17" s="21" t="s">
        <v>243</v>
      </c>
      <c r="C17" s="41" t="str">
        <f aca="false">IF(Need_1&lt;&gt;"",Need_1,MIN(Price_By_Deposit,Price_By_Income))</f>
        <v>Choose your gross yearly income to see this</v>
      </c>
      <c r="D17" s="27" t="s">
        <v>217</v>
      </c>
      <c r="E17" s="42" t="s">
        <v>244</v>
      </c>
    </row>
    <row r="18" customFormat="false" ht="17.25" hidden="false" customHeight="true" outlineLevel="0" collapsed="false">
      <c r="B18" s="21" t="s">
        <v>245</v>
      </c>
      <c r="C18" s="41" t="str">
        <f aca="false">IF(Need_1&lt;&gt;"",Need_1,MIN(Borrow_By_Income,LTV_Max*Home_Price))</f>
        <v>Choose your gross yearly income to see this</v>
      </c>
      <c r="D18" s="27" t="s">
        <v>217</v>
      </c>
      <c r="E18" s="42" t="s">
        <v>246</v>
      </c>
    </row>
    <row r="19" customFormat="false" ht="17.25" hidden="false" customHeight="true" outlineLevel="0" collapsed="false">
      <c r="B19" s="21" t="s">
        <v>247</v>
      </c>
      <c r="C19" s="41" t="str">
        <f aca="false">IF(Need_2&lt;&gt;"",Need_2,PMT(Interest_Rate/12,Term_Years*12,-Max_Loan))</f>
        <v>Choose your gross yearly income to see this</v>
      </c>
      <c r="D19" s="27" t="s">
        <v>217</v>
      </c>
      <c r="E19" s="42" t="s">
        <v>248</v>
      </c>
    </row>
    <row r="20" customFormat="false" ht="21.75" hidden="false" customHeight="true" outlineLevel="0" collapsed="false">
      <c r="B20" s="21" t="s">
        <v>249</v>
      </c>
      <c r="C20" s="41" t="str">
        <f aca="false">IF(Need_1&lt;&gt;"",Need_1,SD_Rate_1*MIN(Home_Price,SD_Band_1)+SD_Rate_2*MAX(0,MIN(Home_Price,SD_Band_2)-SD_Band_1)+SD_Rate_3*MAX(0,Home_Price-SD_Band_2))</f>
        <v>Choose your gross yearly income to see this</v>
      </c>
      <c r="D20" s="27" t="s">
        <v>217</v>
      </c>
      <c r="E20" s="42" t="s">
        <v>250</v>
      </c>
    </row>
    <row r="21" customFormat="false" ht="15" hidden="false" customHeight="true" outlineLevel="0" collapsed="false">
      <c r="B21" s="25" t="s">
        <v>251</v>
      </c>
      <c r="C21" s="43" t="str">
        <f aca="false">IF(Need_3&lt;&gt;"",Need_3,(Income+Partner_Income)*Income_Multiple)</f>
        <v>Choose your gross yearly income to see this</v>
      </c>
      <c r="D21" s="27" t="s">
        <v>217</v>
      </c>
      <c r="E21" s="42" t="s">
        <v>252</v>
      </c>
    </row>
    <row r="22" customFormat="false" ht="15" hidden="false" customHeight="true" outlineLevel="0" collapsed="false">
      <c r="B22" s="25" t="s">
        <v>253</v>
      </c>
      <c r="C22" s="44" t="str">
        <f aca="false">IF(Need_4&lt;&gt;"",Need_4,IF(First_Time_Buyer="Yes",LTI_FTB,LTI_SSB))</f>
        <v>Choose your first-time buyer answer to see this</v>
      </c>
      <c r="D22" s="27" t="s">
        <v>254</v>
      </c>
      <c r="E22" s="42" t="s">
        <v>255</v>
      </c>
    </row>
    <row r="23" customFormat="false" ht="15" hidden="false" customHeight="true" outlineLevel="0" collapsed="false">
      <c r="B23" s="25" t="s">
        <v>256</v>
      </c>
      <c r="C23" s="43" t="str">
        <f aca="false">IF(Need_5&lt;&gt;"",Need_5,Deposit+Extra_Deposit)</f>
        <v>Choose your deposit saved to see this</v>
      </c>
      <c r="D23" s="27" t="s">
        <v>217</v>
      </c>
      <c r="E23" s="42" t="s">
        <v>257</v>
      </c>
    </row>
    <row r="24" customFormat="false" ht="15" hidden="false" customHeight="true" outlineLevel="0" collapsed="false">
      <c r="B24" s="25" t="s">
        <v>258</v>
      </c>
      <c r="C24" s="43" t="str">
        <f aca="false">IF(Need_6&lt;&gt;"",Need_6,MAX(0,Total_Deposit-Buying_Fees))</f>
        <v>Choose your deposit saved to see this</v>
      </c>
      <c r="D24" s="27" t="s">
        <v>217</v>
      </c>
      <c r="E24" s="42" t="s">
        <v>259</v>
      </c>
    </row>
    <row r="25" customFormat="false" ht="15" hidden="false" customHeight="true" outlineLevel="0" collapsed="false">
      <c r="B25" s="25" t="s">
        <v>260</v>
      </c>
      <c r="C25" s="43" t="n">
        <f aca="false">(1-LTV_Max+SD_Rate_1)*SD_Band_1</f>
        <v>110000</v>
      </c>
      <c r="D25" s="27" t="s">
        <v>217</v>
      </c>
      <c r="E25" s="42" t="s">
        <v>261</v>
      </c>
    </row>
    <row r="26" customFormat="false" ht="15" hidden="false" customHeight="true" outlineLevel="0" collapsed="false">
      <c r="B26" s="25" t="s">
        <v>262</v>
      </c>
      <c r="C26" s="43" t="n">
        <f aca="false">Cash_At_Band_1+(1-LTV_Max+SD_Rate_2)*(SD_Band_2-SD_Band_1)</f>
        <v>170000</v>
      </c>
      <c r="D26" s="27" t="s">
        <v>217</v>
      </c>
      <c r="E26" s="42" t="s">
        <v>263</v>
      </c>
    </row>
    <row r="27" customFormat="false" ht="32.25" hidden="false" customHeight="true" outlineLevel="0" collapsed="false">
      <c r="B27" s="25" t="s">
        <v>264</v>
      </c>
      <c r="C27" s="43"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27" t="s">
        <v>217</v>
      </c>
      <c r="E27" s="42" t="s">
        <v>265</v>
      </c>
    </row>
    <row r="28" customFormat="false" ht="15" hidden="false" customHeight="true" outlineLevel="0" collapsed="false">
      <c r="B28" s="25" t="s">
        <v>266</v>
      </c>
      <c r="C28" s="43" t="str">
        <f aca="false">IF(Need_1&lt;&gt;"",Need_1,Borrow_By_Income+Cash_For_Price)</f>
        <v>Choose your gross yearly income to see this</v>
      </c>
      <c r="D28" s="27" t="s">
        <v>217</v>
      </c>
      <c r="E28" s="42" t="s">
        <v>267</v>
      </c>
    </row>
    <row r="29" customFormat="false" ht="42.75" hidden="false" customHeight="true" outlineLevel="0" collapsed="false">
      <c r="B29" s="25" t="s">
        <v>268</v>
      </c>
      <c r="C29" s="43"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27" t="s">
        <v>217</v>
      </c>
      <c r="E29" s="42" t="s">
        <v>269</v>
      </c>
    </row>
    <row r="30" customFormat="false" ht="15" hidden="false" customHeight="true" outlineLevel="0" collapsed="false">
      <c r="B30" s="25" t="s">
        <v>270</v>
      </c>
      <c r="C30" s="45" t="str">
        <f aca="false">IF(Need_1&lt;&gt;"",Need_1,IF(Price_By_Deposit&lt;Price_By_Income,"Your deposit","Your income"))</f>
        <v>Choose your gross yearly income to see this</v>
      </c>
      <c r="D30" s="27"/>
      <c r="E30" s="42" t="s">
        <v>271</v>
      </c>
    </row>
    <row r="32" customFormat="false" ht="15" hidden="false" customHeight="true" outlineLevel="0" collapsed="false">
      <c r="B32" s="13" t="s">
        <v>272</v>
      </c>
      <c r="C32" s="14"/>
      <c r="D32" s="14"/>
      <c r="E32" s="14"/>
      <c r="F32" s="14"/>
      <c r="G32" s="14"/>
    </row>
    <row r="33" customFormat="false" ht="13.5" hidden="false" customHeight="true" outlineLevel="0" collapsed="false">
      <c r="B33" s="46" t="s">
        <v>273</v>
      </c>
      <c r="C33" s="46"/>
      <c r="D33" s="46"/>
      <c r="E33" s="46"/>
    </row>
    <row r="34" customFormat="false" ht="27.75" hidden="false" customHeight="true" outlineLevel="0" collapsed="false">
      <c r="B34" s="46" t="s">
        <v>274</v>
      </c>
      <c r="C34" s="46"/>
      <c r="D34" s="46"/>
      <c r="E34" s="46"/>
    </row>
    <row r="35" customFormat="false" ht="13.5" hidden="false" customHeight="true" outlineLevel="0" collapsed="false">
      <c r="B35" s="46" t="s">
        <v>275</v>
      </c>
      <c r="C35" s="46"/>
      <c r="D35" s="46"/>
      <c r="E35" s="46"/>
    </row>
    <row r="36" customFormat="false" ht="13.5" hidden="false" customHeight="true" outlineLevel="0" collapsed="false">
      <c r="B36" s="47" t="s">
        <v>276</v>
      </c>
      <c r="C36" s="47"/>
      <c r="D36" s="47"/>
      <c r="E36" s="47"/>
    </row>
    <row r="37" customFormat="false" ht="13.5" hidden="false" customHeight="true" outlineLevel="0" collapsed="false">
      <c r="B37" s="46" t="s">
        <v>277</v>
      </c>
      <c r="C37" s="46"/>
      <c r="D37" s="46"/>
      <c r="E37" s="46"/>
    </row>
    <row r="38" customFormat="false" ht="13.5" hidden="false" customHeight="true" outlineLevel="0" collapsed="false">
      <c r="B38" s="46" t="s">
        <v>278</v>
      </c>
      <c r="C38" s="46"/>
      <c r="D38" s="46"/>
      <c r="E38" s="46"/>
    </row>
    <row r="39" customFormat="false" ht="13.5" hidden="false" customHeight="true" outlineLevel="0" collapsed="false">
      <c r="B39" s="46" t="s">
        <v>279</v>
      </c>
      <c r="C39" s="46"/>
      <c r="D39" s="46"/>
      <c r="E39" s="46"/>
    </row>
    <row r="40" customFormat="false" ht="13.5" hidden="false" customHeight="true" outlineLevel="0" collapsed="false">
      <c r="B40" s="46" t="s">
        <v>280</v>
      </c>
      <c r="C40" s="46"/>
      <c r="D40" s="46"/>
      <c r="E40" s="46"/>
    </row>
    <row r="42" customFormat="false" ht="15" hidden="false" customHeight="true" outlineLevel="0" collapsed="false">
      <c r="B42" s="13" t="s">
        <v>281</v>
      </c>
      <c r="C42" s="14"/>
      <c r="D42" s="14"/>
      <c r="E42" s="14"/>
      <c r="F42" s="14"/>
      <c r="G42" s="14"/>
    </row>
    <row r="43" customFormat="false" ht="15" hidden="false" customHeight="true" outlineLevel="0" collapsed="false">
      <c r="B43" s="25" t="s">
        <v>282</v>
      </c>
      <c r="C43" s="48" t="str">
        <f aca="false">"Buy a home (deposit goal)"</f>
        <v>Buy a home (deposit goal)</v>
      </c>
      <c r="E43" s="49" t="s">
        <v>283</v>
      </c>
    </row>
    <row r="44" customFormat="false" ht="15" hidden="false" customHeight="true" outlineLevel="0" collapsed="false">
      <c r="B44" s="25" t="s">
        <v>284</v>
      </c>
      <c r="C44" s="50" t="str">
        <f aca="false">IF(Need_1&lt;&gt;"",Need_1,ROUND(Home_Price*Min_Deposit_Pct+Stamp_Duty+Buying_Fees,0))</f>
        <v>Choose your gross yearly income to see this</v>
      </c>
      <c r="E44" s="49" t="s">
        <v>285</v>
      </c>
    </row>
    <row r="45" customFormat="false" ht="15" hidden="false" customHeight="true" outlineLevel="0" collapsed="false">
      <c r="B45" s="25" t="s">
        <v>286</v>
      </c>
      <c r="C45" s="50" t="str">
        <f aca="false">IF(Need_5&lt;&gt;"",Need_5,Total_Deposit)</f>
        <v>Choose your deposit saved to see this</v>
      </c>
      <c r="E45" s="49" t="s">
        <v>287</v>
      </c>
    </row>
    <row r="46" customFormat="false" ht="15" hidden="false" customHeight="true" outlineLevel="0" collapsed="false">
      <c r="B46" s="25" t="s">
        <v>288</v>
      </c>
      <c r="C46" s="51" t="str">
        <f aca="false">IF(Need_7&lt;&gt;"",Need_7,Home_Goal_Years)</f>
        <v>Choose your years until you buy to see this</v>
      </c>
      <c r="E46" s="49" t="s">
        <v>289</v>
      </c>
    </row>
    <row r="48" customFormat="false" ht="15" hidden="false" customHeight="true" outlineLevel="0" collapsed="false">
      <c r="B48" s="13" t="s">
        <v>290</v>
      </c>
      <c r="C48" s="14"/>
      <c r="D48" s="14"/>
      <c r="E48" s="14"/>
      <c r="F48" s="14"/>
      <c r="G48" s="14"/>
    </row>
    <row r="49" customFormat="false" ht="15" hidden="false" customHeight="true" outlineLevel="0" collapsed="false">
      <c r="B49" s="52" t="s">
        <v>291</v>
      </c>
      <c r="C49" s="52"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f>
        <v>Choose your gross yearly income to see this</v>
      </c>
    </row>
    <row r="50" customFormat="false" ht="15" hidden="false" customHeight="true" outlineLevel="0" collapsed="false">
      <c r="B50" s="52" t="s">
        <v>292</v>
      </c>
      <c r="C50" s="52" t="str">
        <f aca="false">IF(Income="","Choose your gross yearly income to see this",IF(Partner_Income="","Choose your partner's gross yearly income to see this",IF(Deposit="","Choose your deposit saved to see this",IF(First_Time_Buyer="","Choose your first-time buyer answer to see this",IF(Interest_Rate="","Choose your interest rate to see this",IF(Term_Years="","Choose your mortgage term to see this",IF(Buying_Fees="","Choose your buying fees to see this","")))))))</f>
        <v>Choose your gross yearly income to see this</v>
      </c>
    </row>
    <row r="51" customFormat="false" ht="15" hidden="false" customHeight="true" outlineLevel="0" collapsed="false">
      <c r="B51" s="52" t="s">
        <v>293</v>
      </c>
      <c r="C51" s="52" t="str">
        <f aca="false">IF(Income="","Choose your gross yearly income to see this",IF(Partner_Income="","Choose your partner's gross yearly income to see this",IF(First_Time_Buyer="","Choose your first-time buyer answer to see this","")))</f>
        <v>Choose your gross yearly income to see this</v>
      </c>
    </row>
    <row r="52" customFormat="false" ht="15" hidden="false" customHeight="true" outlineLevel="0" collapsed="false">
      <c r="B52" s="52" t="s">
        <v>294</v>
      </c>
      <c r="C52" s="52" t="str">
        <f aca="false">IF(First_Time_Buyer="","Choose your first-time buyer answer to see this","")</f>
        <v>Choose your first-time buyer answer to see this</v>
      </c>
    </row>
    <row r="53" customFormat="false" ht="15" hidden="false" customHeight="true" outlineLevel="0" collapsed="false">
      <c r="B53" s="52" t="s">
        <v>295</v>
      </c>
      <c r="C53" s="52" t="str">
        <f aca="false">IF(Deposit="","Choose your deposit saved to see this","")</f>
        <v>Choose your deposit saved to see this</v>
      </c>
    </row>
    <row r="54" customFormat="false" ht="15" hidden="false" customHeight="true" outlineLevel="0" collapsed="false">
      <c r="B54" s="52" t="s">
        <v>296</v>
      </c>
      <c r="C54" s="52" t="str">
        <f aca="false">IF(Deposit="","Choose your deposit saved to see this",IF(Buying_Fees="","Choose your buying fees to see this",""))</f>
        <v>Choose your deposit saved to see this</v>
      </c>
    </row>
    <row r="55" customFormat="false" ht="15" hidden="false" customHeight="true" outlineLevel="0" collapsed="false">
      <c r="B55" s="52" t="s">
        <v>297</v>
      </c>
      <c r="C55" s="52" t="str">
        <f aca="false">IF(Home_Goal_Years="","Choose your years until you buy to see this","")</f>
        <v>Choose your years until you buy to see this</v>
      </c>
    </row>
  </sheetData>
  <mergeCells count="8">
    <mergeCell ref="B33:E33"/>
    <mergeCell ref="B34:E34"/>
    <mergeCell ref="B35:E35"/>
    <mergeCell ref="B36:E36"/>
    <mergeCell ref="B37:E37"/>
    <mergeCell ref="B38:E38"/>
    <mergeCell ref="B39:E39"/>
    <mergeCell ref="B40:E40"/>
  </mergeCells>
  <dataValidations count="9">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Enter your own figure.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10,000 · steps of €100." errorStyle="stop" errorTitle="Outside the allowed range" operator="between" prompt="Usually between €2,500 and €3,500 for legal and survey fees (stamp duty is added for you). Enter your own figure.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298</v>
      </c>
      <c r="E1" s="3" t="s">
        <v>299</v>
      </c>
    </row>
    <row r="2" customFormat="false" ht="15" hidden="false" customHeight="true" outlineLevel="0" collapsed="false">
      <c r="B2" s="21" t="s">
        <v>300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301</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311</v>
      </c>
      <c r="C10" s="54"/>
      <c r="D10" s="27" t="s">
        <v>217</v>
      </c>
      <c r="E10" s="28" t="s">
        <v>312</v>
      </c>
      <c r="G10" s="52" t="s">
        <v>306</v>
      </c>
    </row>
    <row r="11" customFormat="false" ht="15" hidden="false" customHeight="true" outlineLevel="0" collapsed="false">
      <c r="B11" s="25" t="s">
        <v>313</v>
      </c>
      <c r="C11" s="57"/>
      <c r="D11" s="27" t="s">
        <v>314</v>
      </c>
      <c r="E11" s="28" t="s">
        <v>315</v>
      </c>
      <c r="G11" s="52" t="s">
        <v>306</v>
      </c>
    </row>
    <row r="13" customFormat="false" ht="15" hidden="false" customHeight="true" outlineLevel="0" collapsed="false">
      <c r="B13" s="13" t="s">
        <v>316</v>
      </c>
      <c r="C13" s="24" t="s">
        <v>213</v>
      </c>
      <c r="D13" s="24" t="s">
        <v>214</v>
      </c>
      <c r="E13" s="24" t="s">
        <v>215</v>
      </c>
      <c r="F13" s="14"/>
      <c r="G13" s="14"/>
    </row>
    <row r="14" customFormat="false" ht="21.75" hidden="false" customHeight="true" outlineLevel="0" collapsed="false">
      <c r="B14" s="25" t="s">
        <v>317</v>
      </c>
      <c r="C14" s="26"/>
      <c r="D14" s="27" t="s">
        <v>217</v>
      </c>
      <c r="E14" s="28" t="s">
        <v>318</v>
      </c>
      <c r="F14" s="29" t="n">
        <v>300000</v>
      </c>
      <c r="G14" s="30" t="str">
        <f aca="false">IF(ISBLANK(C14),IF(Fill_Example="Yes",F14,""),C14)</f>
        <v/>
      </c>
    </row>
    <row r="15" customFormat="false" ht="33" hidden="false" customHeight="true" outlineLevel="0" collapsed="false">
      <c r="B15" s="25" t="s">
        <v>307</v>
      </c>
      <c r="C15" s="34"/>
      <c r="D15" s="27" t="s">
        <v>228</v>
      </c>
      <c r="E15" s="35" t="s">
        <v>319</v>
      </c>
      <c r="F15" s="36" t="n">
        <v>0.0375</v>
      </c>
      <c r="G15" s="37" t="str">
        <f aca="false">IF(ISBLANK(C15),IF(Fill_Example="Yes",F15,""),C15)</f>
        <v/>
      </c>
    </row>
    <row r="16" customFormat="false" ht="21.75" hidden="false" customHeight="true" outlineLevel="0" collapsed="false">
      <c r="B16" s="25" t="s">
        <v>320</v>
      </c>
      <c r="C16" s="38"/>
      <c r="D16" s="27" t="s">
        <v>231</v>
      </c>
      <c r="E16" s="28" t="s">
        <v>321</v>
      </c>
      <c r="F16" s="39" t="n">
        <v>30</v>
      </c>
      <c r="G16" s="40" t="str">
        <f aca="false">IF(ISBLANK(C16),IF(Fill_Example="Yes",F16,""),C16)</f>
        <v/>
      </c>
    </row>
    <row r="17" customFormat="false" ht="15" hidden="false" customHeight="true" outlineLevel="0" collapsed="false">
      <c r="B17" s="25" t="s">
        <v>322</v>
      </c>
      <c r="C17" s="26"/>
      <c r="D17" s="27" t="s">
        <v>217</v>
      </c>
      <c r="E17" s="28" t="s">
        <v>323</v>
      </c>
      <c r="F17" s="29" t="n">
        <v>0</v>
      </c>
      <c r="G17" s="30" t="n">
        <f aca="false">IF(ISBLANK(C17),F17,C17)</f>
        <v>0</v>
      </c>
    </row>
    <row r="18" customFormat="false" ht="15" hidden="false" customHeight="true" outlineLevel="0" collapsed="false">
      <c r="B18" s="25" t="s">
        <v>235</v>
      </c>
      <c r="C18" s="38"/>
      <c r="D18" s="27" t="s">
        <v>231</v>
      </c>
      <c r="E18" s="28" t="s">
        <v>236</v>
      </c>
      <c r="F18" s="39" t="n">
        <v>3</v>
      </c>
      <c r="G18" s="40" t="str">
        <f aca="false">IF(ISBLANK(C18),IF(Fill_Example="Yes",F18,""),C18)</f>
        <v/>
      </c>
    </row>
    <row r="19" customFormat="false" ht="15" hidden="false" customHeight="true" outlineLevel="0" collapsed="false">
      <c r="B19" s="25" t="s">
        <v>324</v>
      </c>
      <c r="C19" s="34"/>
      <c r="D19" s="27" t="s">
        <v>228</v>
      </c>
      <c r="E19" s="28" t="s">
        <v>325</v>
      </c>
      <c r="F19" s="36" t="n">
        <v>0</v>
      </c>
      <c r="G19" s="37" t="n">
        <f aca="false">IF(ISBLANK(C19),F19,C19)</f>
        <v>0</v>
      </c>
    </row>
    <row r="21" customFormat="false" ht="15" hidden="false" customHeight="true" outlineLevel="0" collapsed="false">
      <c r="B21" s="13" t="s">
        <v>326</v>
      </c>
      <c r="C21" s="14"/>
      <c r="D21" s="14"/>
      <c r="E21" s="14"/>
      <c r="F21" s="14"/>
      <c r="G21" s="14"/>
    </row>
    <row r="22" customFormat="false" ht="15" hidden="false" customHeight="true" outlineLevel="0" collapsed="false">
      <c r="B22" s="25" t="s">
        <v>317</v>
      </c>
      <c r="C22" s="58" t="str">
        <f aca="false">IF(ISBLANK(Stmt_Balance),Loan_Amount,Stmt_Balance)</f>
        <v/>
      </c>
      <c r="D22" s="59" t="str">
        <f aca="false">IF(ISBLANK(Stmt_Balance),"Your figure","From your statement")</f>
        <v>Your figure</v>
      </c>
      <c r="E22" s="49" t="s">
        <v>327</v>
      </c>
    </row>
    <row r="23" customFormat="false" ht="15" hidden="false" customHeight="true" outlineLevel="0" collapsed="false">
      <c r="B23" s="25" t="s">
        <v>307</v>
      </c>
      <c r="C23" s="60" t="str">
        <f aca="false">IF(ISBLANK(Stmt_Rate),Interest_Rate,Stmt_Rate)</f>
        <v/>
      </c>
      <c r="D23" s="59" t="str">
        <f aca="false">IF(ISBLANK(Stmt_Rate),"Your figure","From your statement")</f>
        <v>Your figure</v>
      </c>
      <c r="E23" s="49" t="s">
        <v>328</v>
      </c>
    </row>
    <row r="24" customFormat="false" ht="15" hidden="false" customHeight="true" outlineLevel="0" collapsed="false">
      <c r="B24" s="25" t="s">
        <v>320</v>
      </c>
      <c r="C24" s="61" t="str">
        <f aca="false">IF(ISBLANK(Stmt_Term),Term_Years,Stmt_Term)</f>
        <v/>
      </c>
      <c r="D24" s="59" t="str">
        <f aca="false">IF(ISBLANK(Stmt_Term),"Your figure","From your statement")</f>
        <v>Your figure</v>
      </c>
      <c r="E24" s="49" t="s">
        <v>329</v>
      </c>
    </row>
    <row r="25" customFormat="false" ht="15" hidden="false" customHeight="true" outlineLevel="0" collapsed="false">
      <c r="B25" s="25" t="s">
        <v>330</v>
      </c>
      <c r="C25" s="58" t="n">
        <f aca="false">IF(ISBLANK(Stmt_Repayment),Actual_Repayment,Stmt_Repayment)</f>
        <v>0</v>
      </c>
      <c r="D25" s="59" t="str">
        <f aca="false">IF(ISBLANK(Stmt_Repayment),"Your figure","From your statement")</f>
        <v>Your figure</v>
      </c>
      <c r="E25" s="49" t="s">
        <v>331</v>
      </c>
    </row>
    <row r="26" customFormat="false" ht="21.75" hidden="false" customHeight="true" outlineLevel="0" collapsed="false">
      <c r="B26" s="25" t="s">
        <v>332</v>
      </c>
      <c r="C26" s="45" t="str">
        <f aca="true">IF(ISBLANK(Stmt_Statement_Date),"",IF(TODAY()-Stmt_Statement_Date&gt;Statement_Max_Age_Days,"Needs a look: statement is more than 12 months old","Up to date"))</f>
        <v/>
      </c>
      <c r="D26" s="27"/>
      <c r="E26" s="42" t="s">
        <v>333</v>
      </c>
    </row>
    <row r="28" customFormat="false" ht="15" hidden="false" customHeight="true" outlineLevel="0" collapsed="false">
      <c r="B28" s="13" t="s">
        <v>239</v>
      </c>
      <c r="C28" s="24" t="s">
        <v>240</v>
      </c>
      <c r="D28" s="24" t="s">
        <v>241</v>
      </c>
      <c r="E28" s="24" t="s">
        <v>242</v>
      </c>
      <c r="F28" s="14"/>
      <c r="G28" s="14"/>
    </row>
    <row r="29" customFormat="false" ht="17.25" hidden="false" customHeight="true" outlineLevel="0" collapsed="false">
      <c r="B29" s="21" t="s">
        <v>311</v>
      </c>
      <c r="C29" s="41" t="str">
        <f aca="false">IF(Need_1&lt;&gt;"",Need_1,IF(Used_Actual_Repayment&gt;0,Used_Actual_Repayment,Formula_Repayment))</f>
        <v>Choose your mortgage amount to see this</v>
      </c>
      <c r="D29" s="27" t="s">
        <v>217</v>
      </c>
      <c r="E29" s="42" t="s">
        <v>334</v>
      </c>
    </row>
    <row r="30" customFormat="false" ht="23.25" hidden="false" customHeight="true" outlineLevel="0" collapsed="false">
      <c r="B30" s="21" t="s">
        <v>335</v>
      </c>
      <c r="C30" s="62" t="str">
        <f aca="false">IF(Need_1&lt;&gt;"",Need_1,IF(Monthly_Repayment&lt;=Used_Loan_Amount*Monthly_Rate,"Never",ROUNDUP(ROUND(NPER(Monthly_Rate,-Monthly_Repayment,Used_Loan_Amount),6),0)))</f>
        <v>Choose your mortgage amount to see this</v>
      </c>
      <c r="D30" s="63"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2" t="s">
        <v>336</v>
      </c>
    </row>
    <row r="31" customFormat="false" ht="17.25" hidden="false" customHeight="true" outlineLevel="0" collapsed="false">
      <c r="B31" s="21" t="s">
        <v>337</v>
      </c>
      <c r="C31" s="41" t="str">
        <f aca="false">IF(Need_1&lt;&gt;"",Need_1,IF(Months_To_Pay="Never","—",Monthly_Repayment*(Months_To_Pay-1)+Final_Payment-Used_Loan_Amount))</f>
        <v>Choose your mortgage amount to see this</v>
      </c>
      <c r="D31" s="27" t="s">
        <v>217</v>
      </c>
      <c r="E31" s="42" t="s">
        <v>338</v>
      </c>
    </row>
    <row r="32" customFormat="false" ht="15" hidden="false" customHeight="true" outlineLevel="0" collapsed="false">
      <c r="B32" s="25" t="s">
        <v>339</v>
      </c>
      <c r="C32" s="43" t="str">
        <f aca="false">IF(Need_1&lt;&gt;"",Need_1,IF(Months_To_Pay="Never","—",Used_Loan_Amount+Total_Interest))</f>
        <v>Choose your mortgage amount to see this</v>
      </c>
      <c r="D32" s="27" t="s">
        <v>217</v>
      </c>
      <c r="E32" s="42" t="s">
        <v>340</v>
      </c>
    </row>
    <row r="33" customFormat="false" ht="15" hidden="false" customHeight="true" outlineLevel="0" collapsed="false">
      <c r="B33" s="25" t="s">
        <v>341</v>
      </c>
      <c r="C33" s="64" t="str">
        <f aca="false">IF(Need_2&lt;&gt;"",Need_2,Used_Interest_Rate/12)</f>
        <v>Choose your interest rate to see this</v>
      </c>
      <c r="D33" s="27"/>
      <c r="E33" s="42" t="s">
        <v>342</v>
      </c>
    </row>
    <row r="34" customFormat="false" ht="15" hidden="false" customHeight="true" outlineLevel="0" collapsed="false">
      <c r="B34" s="25" t="s">
        <v>343</v>
      </c>
      <c r="C34" s="43" t="str">
        <f aca="false">IF(Need_3&lt;&gt;"",Need_3,PMT(Monthly_Rate,Used_Term_Years*12,-Used_Loan_Amount))</f>
        <v>Choose your mortgage amount to see this</v>
      </c>
      <c r="D34" s="27" t="s">
        <v>217</v>
      </c>
      <c r="E34" s="42" t="s">
        <v>344</v>
      </c>
    </row>
    <row r="35" customFormat="false" ht="21.75" hidden="false" customHeight="true" outlineLevel="0" collapsed="false">
      <c r="B35" s="25" t="s">
        <v>345</v>
      </c>
      <c r="C35" s="43" t="str">
        <f aca="false">IF(Need_1&lt;&gt;"",Need_1,IF(Months_To_Pay="Never","—",-FV(Monthly_Rate,Months_To_Pay-1,-Monthly_Repayment,Used_Loan_Amount)*(1+Monthly_Rate)))</f>
        <v>Choose your mortgage amount to see this</v>
      </c>
      <c r="D35" s="27" t="s">
        <v>217</v>
      </c>
      <c r="E35" s="42" t="s">
        <v>346</v>
      </c>
    </row>
    <row r="36" customFormat="false" ht="15" hidden="false" customHeight="true" outlineLevel="0" collapsed="false">
      <c r="B36" s="25" t="s">
        <v>347</v>
      </c>
      <c r="C36" s="65" t="str">
        <f aca="false">IF(Need_2&lt;&gt;"",Need_2,MAX(0,Used_Interest_Rate+Rate_Change))</f>
        <v>Choose your interest rate to see this</v>
      </c>
      <c r="D36" s="27" t="s">
        <v>228</v>
      </c>
      <c r="E36" s="42" t="s">
        <v>348</v>
      </c>
    </row>
    <row r="37" customFormat="false" ht="17.25" hidden="false" customHeight="true" outlineLevel="0" collapsed="false">
      <c r="B37" s="21" t="s">
        <v>349</v>
      </c>
      <c r="C37" s="41" t="str">
        <f aca="false">IF(Need_1&lt;&gt;"",Need_1,Monthly_Repayment+PMT(New_Rate/12,Used_Term_Years*12,-Used_Loan_Amount)-Formula_Repayment)</f>
        <v>Choose your mortgage amount to see this</v>
      </c>
      <c r="D37" s="27" t="s">
        <v>217</v>
      </c>
      <c r="E37" s="42" t="s">
        <v>350</v>
      </c>
    </row>
    <row r="38" customFormat="false" ht="15" hidden="false" customHeight="true" outlineLevel="0" collapsed="false">
      <c r="B38" s="25" t="s">
        <v>351</v>
      </c>
      <c r="C38" s="43" t="str">
        <f aca="false">IF(Need_1&lt;&gt;"",Need_1,(Repayment_If_Changed-Monthly_Repayment)*12)</f>
        <v>Choose your mortgage amount to see this</v>
      </c>
      <c r="D38" s="27" t="s">
        <v>217</v>
      </c>
      <c r="E38" s="42" t="s">
        <v>352</v>
      </c>
    </row>
    <row r="40" customFormat="false" ht="15" hidden="false" customHeight="true" outlineLevel="0" collapsed="false">
      <c r="B40" s="13" t="s">
        <v>272</v>
      </c>
      <c r="C40" s="14"/>
      <c r="D40" s="14"/>
      <c r="E40" s="14"/>
      <c r="F40" s="14"/>
      <c r="G40" s="14"/>
    </row>
    <row r="41" customFormat="false" ht="13.5" hidden="false" customHeight="true" outlineLevel="0" collapsed="false">
      <c r="B41" s="46" t="s">
        <v>353</v>
      </c>
      <c r="C41" s="46"/>
      <c r="D41" s="46"/>
      <c r="E41" s="46"/>
    </row>
    <row r="42" customFormat="false" ht="27.75" hidden="false" customHeight="true" outlineLevel="0" collapsed="false">
      <c r="B42" s="46" t="s">
        <v>354</v>
      </c>
      <c r="C42" s="46"/>
      <c r="D42" s="46"/>
      <c r="E42" s="46"/>
    </row>
    <row r="43" customFormat="false" ht="27.75" hidden="false" customHeight="true" outlineLevel="0" collapsed="false">
      <c r="B43" s="46" t="s">
        <v>355</v>
      </c>
      <c r="C43" s="46"/>
      <c r="D43" s="46"/>
      <c r="E43" s="46"/>
    </row>
    <row r="44" customFormat="false" ht="13.5" hidden="false" customHeight="true" outlineLevel="0" collapsed="false">
      <c r="B44" s="47" t="s">
        <v>276</v>
      </c>
      <c r="C44" s="47"/>
      <c r="D44" s="47"/>
      <c r="E44" s="47"/>
    </row>
    <row r="45" customFormat="false" ht="27.75" hidden="false" customHeight="true" outlineLevel="0" collapsed="false">
      <c r="B45" s="46" t="s">
        <v>356</v>
      </c>
      <c r="C45" s="46"/>
      <c r="D45" s="46"/>
      <c r="E45" s="46"/>
    </row>
    <row r="46" customFormat="false" ht="13.5" hidden="false" customHeight="true" outlineLevel="0" collapsed="false">
      <c r="B46" s="46" t="s">
        <v>357</v>
      </c>
      <c r="C46" s="46"/>
      <c r="D46" s="46"/>
      <c r="E46" s="46"/>
    </row>
    <row r="47" customFormat="false" ht="27.75" hidden="false" customHeight="true" outlineLevel="0" collapsed="false">
      <c r="B47" s="46" t="s">
        <v>358</v>
      </c>
      <c r="C47" s="46"/>
      <c r="D47" s="46"/>
      <c r="E47" s="46"/>
    </row>
    <row r="48" customFormat="false" ht="13.5" hidden="false" customHeight="true" outlineLevel="0" collapsed="false">
      <c r="B48" s="46" t="s">
        <v>280</v>
      </c>
      <c r="C48" s="46"/>
      <c r="D48" s="46"/>
      <c r="E48" s="46"/>
    </row>
    <row r="50" customFormat="false" ht="15" hidden="false" customHeight="true" outlineLevel="0" collapsed="false">
      <c r="B50" s="13" t="s">
        <v>281</v>
      </c>
      <c r="C50" s="14"/>
      <c r="D50" s="14"/>
      <c r="E50" s="14"/>
      <c r="F50" s="14"/>
      <c r="G50" s="14"/>
    </row>
    <row r="51" customFormat="false" ht="15" hidden="false" customHeight="true" outlineLevel="0" collapsed="false">
      <c r="B51" s="25" t="s">
        <v>282</v>
      </c>
      <c r="C51" s="48" t="str">
        <f aca="false">"Buy a home (deposit goal)"</f>
        <v>Buy a home (deposit goal)</v>
      </c>
      <c r="E51" s="49" t="s">
        <v>283</v>
      </c>
    </row>
    <row r="52" customFormat="false" ht="15" hidden="false" customHeight="true" outlineLevel="0" collapsed="false">
      <c r="B52" s="25" t="s">
        <v>359</v>
      </c>
      <c r="C52" s="50" t="str">
        <f aca="false">IF(Need_4&lt;&gt;"",Need_4,ROUND(Used_Loan_Amount*(1-LTV_Max)/LTV_Max,0))</f>
        <v>Choose your mortgage amount to see this</v>
      </c>
      <c r="E52" s="49" t="s">
        <v>360</v>
      </c>
    </row>
    <row r="53" customFormat="false" ht="15" hidden="false" customHeight="true" outlineLevel="0" collapsed="false">
      <c r="B53" s="25" t="s">
        <v>288</v>
      </c>
      <c r="C53" s="51" t="str">
        <f aca="false">IF(Need_5&lt;&gt;"",Need_5,Home_Goal_Years)</f>
        <v>Choose your years until you buy to see this</v>
      </c>
      <c r="E53" s="49" t="s">
        <v>289</v>
      </c>
    </row>
    <row r="54" customFormat="false" ht="13.5" hidden="false" customHeight="true" outlineLevel="0" collapsed="false">
      <c r="B54" s="53" t="s">
        <v>361</v>
      </c>
      <c r="C54" s="53"/>
      <c r="D54" s="53"/>
      <c r="E54" s="53"/>
    </row>
    <row r="56" customFormat="false" ht="15" hidden="false" customHeight="true" outlineLevel="0" collapsed="false">
      <c r="B56" s="13" t="s">
        <v>290</v>
      </c>
      <c r="C56" s="14"/>
      <c r="D56" s="14"/>
      <c r="E56" s="14"/>
      <c r="F56" s="14"/>
      <c r="G56" s="14"/>
    </row>
    <row r="57" customFormat="false" ht="15" hidden="false" customHeight="true" outlineLevel="0" collapsed="false">
      <c r="B57" s="52" t="s">
        <v>362</v>
      </c>
      <c r="C57"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this",""),Used_Term_Years),IF(NOT(ISNUMBER(Used_Actual_Repayment)),IF(Used_Actual_Repayment="","Choose your actual monthly repayment to see this",Used_Actual_Repayment),""))))</f>
        <v>Choose your mortgage amount to see this</v>
      </c>
    </row>
    <row r="58" customFormat="false" ht="15" hidden="false" customHeight="true" outlineLevel="0" collapsed="false">
      <c r="B58" s="52" t="s">
        <v>363</v>
      </c>
      <c r="C58" s="52" t="str">
        <f aca="false">IF(NOT(ISNUMBER(Used_Interest_Rate)),IF(Used_Interest_Rate="",IF(Interest_Rate="","Choose your interest rate to see this",""),Used_Interest_Rate),"")</f>
        <v>Choose your interest rate to see this</v>
      </c>
    </row>
    <row r="59" customFormat="false" ht="15" hidden="false" customHeight="true" outlineLevel="0" collapsed="false">
      <c r="B59" s="52" t="s">
        <v>364</v>
      </c>
      <c r="C59"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f>
        <v>Choose your mortgage amount to see this</v>
      </c>
    </row>
    <row r="60" customFormat="false" ht="15" hidden="false" customHeight="true" outlineLevel="0" collapsed="false">
      <c r="B60" s="52" t="s">
        <v>365</v>
      </c>
      <c r="C60" s="52" t="str">
        <f aca="false">IF(NOT(ISNUMBER(Used_Loan_Amount)),IF(Used_Loan_Amount="",IF(Loan_Amount="","Choose your mortgage amount to see this",""),Used_Loan_Amount),"")</f>
        <v>Choose your mortgage amount to see this</v>
      </c>
    </row>
    <row r="61" customFormat="false" ht="15" hidden="false" customHeight="true" outlineLevel="0" collapsed="false">
      <c r="B61" s="52" t="s">
        <v>297</v>
      </c>
      <c r="C61" s="52" t="str">
        <f aca="false">IF(Home_Goal_Years="","Choose your years until you buy to see this","")</f>
        <v>Choose your years until you buy to see this</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mortgage statement: rate. En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366</v>
      </c>
      <c r="E1" s="3" t="s">
        <v>367</v>
      </c>
    </row>
    <row r="2" customFormat="false" ht="15" hidden="false" customHeight="true" outlineLevel="0" collapsed="false">
      <c r="B2" s="21" t="s">
        <v>368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369</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370</v>
      </c>
      <c r="C6" s="26"/>
      <c r="D6" s="27" t="s">
        <v>217</v>
      </c>
      <c r="E6" s="28" t="s">
        <v>371</v>
      </c>
      <c r="F6" s="29" t="n">
        <v>350000</v>
      </c>
      <c r="G6" s="30" t="str">
        <f aca="false">IF(ISBLANK(C6),IF(Fill_Example="Yes",F6,""),C6)</f>
        <v/>
      </c>
    </row>
    <row r="7" customFormat="false" ht="21.75" hidden="false" customHeight="true" outlineLevel="0" collapsed="false">
      <c r="B7" s="25" t="s">
        <v>372</v>
      </c>
      <c r="C7" s="34"/>
      <c r="D7" s="27" t="s">
        <v>228</v>
      </c>
      <c r="E7" s="28" t="s">
        <v>373</v>
      </c>
      <c r="F7" s="36" t="n">
        <v>0.1</v>
      </c>
      <c r="G7" s="37" t="str">
        <f aca="false">IF(ISBLANK(C7),IF(Fill_Example="Yes",F7,""),C7)</f>
        <v/>
      </c>
    </row>
    <row r="8" customFormat="false" ht="21.75" hidden="false" customHeight="true" outlineLevel="0" collapsed="false">
      <c r="B8" s="25" t="s">
        <v>233</v>
      </c>
      <c r="C8" s="26"/>
      <c r="D8" s="27" t="s">
        <v>217</v>
      </c>
      <c r="E8" s="35" t="s">
        <v>234</v>
      </c>
      <c r="F8" s="29" t="n">
        <v>3000</v>
      </c>
      <c r="G8" s="30" t="str">
        <f aca="false">IF(ISBLANK(C8),IF(Fill_Example="Yes",F8,""),C8)</f>
        <v/>
      </c>
    </row>
    <row r="9" customFormat="false" ht="21.75" hidden="false" customHeight="true" outlineLevel="0" collapsed="false">
      <c r="B9" s="25" t="s">
        <v>374</v>
      </c>
      <c r="C9" s="26"/>
      <c r="D9" s="27" t="s">
        <v>217</v>
      </c>
      <c r="E9" s="28" t="s">
        <v>375</v>
      </c>
      <c r="F9" s="29" t="n">
        <v>12000</v>
      </c>
      <c r="G9" s="30" t="str">
        <f aca="false">IF(ISBLANK(C9),IF(Fill_Example="Yes",F9,""),C9)</f>
        <v/>
      </c>
    </row>
    <row r="10" customFormat="false" ht="15" hidden="false" customHeight="true" outlineLevel="0" collapsed="false">
      <c r="B10" s="25" t="s">
        <v>376</v>
      </c>
      <c r="C10" s="26"/>
      <c r="D10" s="27" t="s">
        <v>217</v>
      </c>
      <c r="E10" s="28" t="s">
        <v>377</v>
      </c>
      <c r="F10" s="29" t="n">
        <v>800</v>
      </c>
      <c r="G10" s="30" t="str">
        <f aca="false">IF(ISBLANK(C10),IF(Fill_Example="Yes",F10,""),C10)</f>
        <v/>
      </c>
    </row>
    <row r="11" customFormat="false" ht="15" hidden="false" customHeight="true" outlineLevel="0" collapsed="false">
      <c r="B11" s="25" t="s">
        <v>378</v>
      </c>
      <c r="C11" s="26"/>
      <c r="D11" s="27" t="s">
        <v>217</v>
      </c>
      <c r="E11" s="28" t="s">
        <v>379</v>
      </c>
      <c r="F11" s="29" t="n">
        <v>0</v>
      </c>
      <c r="G11" s="30" t="n">
        <f aca="false">IF(ISBLANK(C11),F11,C11)</f>
        <v>0</v>
      </c>
    </row>
    <row r="13" customFormat="false" ht="15" hidden="false" customHeight="true" outlineLevel="0" collapsed="false">
      <c r="B13" s="13" t="s">
        <v>239</v>
      </c>
      <c r="C13" s="24" t="s">
        <v>240</v>
      </c>
      <c r="D13" s="24" t="s">
        <v>241</v>
      </c>
      <c r="E13" s="24" t="s">
        <v>242</v>
      </c>
      <c r="F13" s="14"/>
      <c r="G13" s="14"/>
    </row>
    <row r="14" customFormat="false" ht="23.25" hidden="false" customHeight="true" outlineLevel="0" collapsed="false">
      <c r="B14" s="21" t="s">
        <v>380</v>
      </c>
      <c r="C14" s="62" t="str">
        <f aca="false">IF(Need_1&lt;&gt;"",Need_1,IF(Still_To_Save=0,0,ROUNDUP(Still_To_Save/(Monthly_Saving+Extra_Saving),0)))</f>
        <v>Choose your home price to see this</v>
      </c>
      <c r="D14" s="63"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2" t="s">
        <v>381</v>
      </c>
    </row>
    <row r="15" customFormat="false" ht="17.25" hidden="false" customHeight="true" outlineLevel="0" collapsed="false">
      <c r="B15" s="21" t="s">
        <v>382</v>
      </c>
      <c r="C15" s="41" t="str">
        <f aca="false">IF(Need_2&lt;&gt;"",Need_2,Deposit_Needed+Stamp_Duty+Buying_Fees)</f>
        <v>Choose your home price to see this</v>
      </c>
      <c r="D15" s="27" t="s">
        <v>217</v>
      </c>
      <c r="E15" s="42" t="s">
        <v>383</v>
      </c>
    </row>
    <row r="16" customFormat="false" ht="17.25" hidden="false" customHeight="true" outlineLevel="0" collapsed="false">
      <c r="B16" s="21" t="s">
        <v>384</v>
      </c>
      <c r="C16" s="41" t="str">
        <f aca="false">IF(Need_3&lt;&gt;"",Need_3,MAX(0,Total_Needed-Saved))</f>
        <v>Choose your home price to see this</v>
      </c>
      <c r="D16" s="27" t="s">
        <v>217</v>
      </c>
      <c r="E16" s="42" t="s">
        <v>385</v>
      </c>
    </row>
    <row r="17" customFormat="false" ht="15" hidden="false" customHeight="true" outlineLevel="0" collapsed="false">
      <c r="B17" s="25" t="s">
        <v>386</v>
      </c>
      <c r="C17" s="43" t="str">
        <f aca="false">IF(Need_4&lt;&gt;"",Need_4,Home_Price*Deposit_Pct)</f>
        <v>Choose your home price to see this</v>
      </c>
      <c r="D17" s="27" t="s">
        <v>217</v>
      </c>
      <c r="E17" s="42" t="s">
        <v>387</v>
      </c>
    </row>
    <row r="18" customFormat="false" ht="21.75" hidden="false" customHeight="true" outlineLevel="0" collapsed="false">
      <c r="B18" s="25" t="s">
        <v>388</v>
      </c>
      <c r="C18" s="43" t="str">
        <f aca="false">IF(Need_5&lt;&gt;"",Need_5,SD_Rate_1*MIN(Home_Price,SD_Band_1)+SD_Rate_2*MAX(0,MIN(Home_Price,SD_Band_2)-SD_Band_1)+SD_Rate_3*MAX(0,Home_Price-SD_Band_2))</f>
        <v>Choose your home price to see this</v>
      </c>
      <c r="D18" s="27" t="s">
        <v>217</v>
      </c>
      <c r="E18" s="42" t="s">
        <v>250</v>
      </c>
    </row>
    <row r="20" customFormat="false" ht="15" hidden="false" customHeight="true" outlineLevel="0" collapsed="false">
      <c r="B20" s="13" t="s">
        <v>272</v>
      </c>
      <c r="C20" s="14"/>
      <c r="D20" s="14"/>
      <c r="E20" s="14"/>
      <c r="F20" s="14"/>
      <c r="G20" s="14"/>
    </row>
    <row r="21" customFormat="false" ht="13.5" hidden="false" customHeight="true" outlineLevel="0" collapsed="false">
      <c r="B21" s="46" t="s">
        <v>389</v>
      </c>
      <c r="C21" s="46"/>
      <c r="D21" s="46"/>
      <c r="E21" s="46"/>
    </row>
    <row r="22" customFormat="false" ht="13.5" hidden="false" customHeight="true" outlineLevel="0" collapsed="false">
      <c r="B22" s="46" t="s">
        <v>390</v>
      </c>
      <c r="C22" s="46"/>
      <c r="D22" s="46"/>
      <c r="E22" s="46"/>
    </row>
    <row r="23" customFormat="false" ht="13.5" hidden="false" customHeight="true" outlineLevel="0" collapsed="false">
      <c r="B23" s="47" t="s">
        <v>276</v>
      </c>
      <c r="C23" s="47"/>
      <c r="D23" s="47"/>
      <c r="E23" s="47"/>
    </row>
    <row r="24" customFormat="false" ht="13.5" hidden="false" customHeight="true" outlineLevel="0" collapsed="false">
      <c r="B24" s="46" t="s">
        <v>391</v>
      </c>
      <c r="C24" s="46"/>
      <c r="D24" s="46"/>
      <c r="E24" s="46"/>
    </row>
    <row r="25" customFormat="false" ht="13.5" hidden="false" customHeight="true" outlineLevel="0" collapsed="false">
      <c r="B25" s="46" t="s">
        <v>392</v>
      </c>
      <c r="C25" s="46"/>
      <c r="D25" s="46"/>
      <c r="E25" s="46"/>
    </row>
    <row r="26" customFormat="false" ht="13.5" hidden="false" customHeight="true" outlineLevel="0" collapsed="false">
      <c r="B26" s="46" t="s">
        <v>393</v>
      </c>
      <c r="C26" s="46"/>
      <c r="D26" s="46"/>
      <c r="E26" s="46"/>
    </row>
    <row r="28" customFormat="false" ht="15" hidden="false" customHeight="true" outlineLevel="0" collapsed="false">
      <c r="B28" s="13" t="s">
        <v>281</v>
      </c>
      <c r="C28" s="14"/>
      <c r="D28" s="14"/>
      <c r="E28" s="14"/>
      <c r="F28" s="14"/>
      <c r="G28" s="14"/>
    </row>
    <row r="29" customFormat="false" ht="15" hidden="false" customHeight="true" outlineLevel="0" collapsed="false">
      <c r="B29" s="25" t="s">
        <v>282</v>
      </c>
      <c r="C29" s="48" t="str">
        <f aca="false">"Home deposit"</f>
        <v>Home deposit</v>
      </c>
      <c r="E29" s="49" t="s">
        <v>394</v>
      </c>
    </row>
    <row r="30" customFormat="false" ht="15" hidden="false" customHeight="true" outlineLevel="0" collapsed="false">
      <c r="B30" s="25" t="s">
        <v>395</v>
      </c>
      <c r="C30" s="50" t="str">
        <f aca="false">IF(Need_2&lt;&gt;"",Need_2,ROUND(Total_Needed,0))</f>
        <v>Choose your home price to see this</v>
      </c>
      <c r="E30" s="49" t="s">
        <v>396</v>
      </c>
    </row>
    <row r="31" customFormat="false" ht="15" hidden="false" customHeight="true" outlineLevel="0" collapsed="false">
      <c r="B31" s="25" t="s">
        <v>286</v>
      </c>
      <c r="C31" s="50" t="str">
        <f aca="false">IF(Need_6&lt;&gt;"",Need_6,Saved)</f>
        <v>Choose your saved so far to see this</v>
      </c>
      <c r="E31" s="49" t="s">
        <v>397</v>
      </c>
    </row>
    <row r="32" customFormat="false" ht="15" hidden="false" customHeight="true" outlineLevel="0" collapsed="false">
      <c r="B32" s="25" t="s">
        <v>288</v>
      </c>
      <c r="C32" s="51" t="str">
        <f aca="false">IF(Need_1&lt;&gt;"",Need_1,MAX(1,ROUNDUP(Months_To_Deposit/12,0)))</f>
        <v>Choose your home price to see this</v>
      </c>
      <c r="E32" s="49" t="s">
        <v>398</v>
      </c>
    </row>
    <row r="34" customFormat="false" ht="15" hidden="false" customHeight="true" outlineLevel="0" collapsed="false">
      <c r="B34" s="13" t="s">
        <v>290</v>
      </c>
      <c r="C34" s="14"/>
      <c r="D34" s="14"/>
      <c r="E34" s="14"/>
      <c r="F34" s="14"/>
      <c r="G34" s="14"/>
    </row>
    <row r="35" customFormat="false" ht="15" hidden="false" customHeight="true" outlineLevel="0" collapsed="false">
      <c r="B35" s="52" t="s">
        <v>399</v>
      </c>
      <c r="C35" s="52"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2" t="s">
        <v>400</v>
      </c>
      <c r="C36" s="52"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2" t="s">
        <v>401</v>
      </c>
      <c r="C37" s="52"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2" t="s">
        <v>402</v>
      </c>
      <c r="C38" s="52" t="str">
        <f aca="false">IF(Home_Price="","Choose your home price to see this",IF(Deposit_Pct="","Choose your deposit % to see this",""))</f>
        <v>Choose your home price to see this</v>
      </c>
    </row>
    <row r="39" customFormat="false" ht="15" hidden="false" customHeight="true" outlineLevel="0" collapsed="false">
      <c r="B39" s="52" t="s">
        <v>403</v>
      </c>
      <c r="C39" s="52" t="str">
        <f aca="false">IF(Home_Price="","Choose your home price to see this","")</f>
        <v>Choose your home price to see this</v>
      </c>
    </row>
    <row r="40" customFormat="false" ht="15" hidden="false" customHeight="true" outlineLevel="0" collapsed="false">
      <c r="B40" s="52" t="s">
        <v>404</v>
      </c>
      <c r="C40" s="52" t="str">
        <f aca="false">IF(Saved="","Choose your saved so far to see this","")</f>
        <v>Choose your saved so far to see this</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Usually between €2,500 and €3,500 for legal and survey fees (stamp duty is added for you). Enter your own figure.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405</v>
      </c>
      <c r="E1" s="3" t="s">
        <v>406</v>
      </c>
    </row>
    <row r="2" customFormat="false" ht="15" hidden="false" customHeight="true" outlineLevel="0" collapsed="false">
      <c r="B2" s="21" t="s">
        <v>407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408</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311</v>
      </c>
      <c r="C10" s="54"/>
      <c r="D10" s="27" t="s">
        <v>217</v>
      </c>
      <c r="E10" s="28" t="s">
        <v>312</v>
      </c>
      <c r="G10" s="52" t="s">
        <v>306</v>
      </c>
    </row>
    <row r="11" customFormat="false" ht="15" hidden="false" customHeight="true" outlineLevel="0" collapsed="false">
      <c r="B11" s="25" t="s">
        <v>313</v>
      </c>
      <c r="C11" s="57"/>
      <c r="D11" s="27" t="s">
        <v>314</v>
      </c>
      <c r="E11" s="28" t="s">
        <v>315</v>
      </c>
      <c r="G11" s="52" t="s">
        <v>306</v>
      </c>
    </row>
    <row r="13" customFormat="false" ht="15" hidden="false" customHeight="true" outlineLevel="0" collapsed="false">
      <c r="B13" s="13" t="s">
        <v>316</v>
      </c>
      <c r="C13" s="24" t="s">
        <v>213</v>
      </c>
      <c r="D13" s="24" t="s">
        <v>214</v>
      </c>
      <c r="E13" s="24" t="s">
        <v>215</v>
      </c>
      <c r="F13" s="14"/>
      <c r="G13" s="14"/>
    </row>
    <row r="14" customFormat="false" ht="21.75" hidden="false" customHeight="true" outlineLevel="0" collapsed="false">
      <c r="B14" s="25" t="s">
        <v>409</v>
      </c>
      <c r="C14" s="26"/>
      <c r="D14" s="27" t="s">
        <v>217</v>
      </c>
      <c r="E14" s="28" t="s">
        <v>410</v>
      </c>
      <c r="F14" s="29" t="n">
        <v>250000</v>
      </c>
      <c r="G14" s="30" t="str">
        <f aca="false">IF(ISBLANK(C14),IF(Fill_Example="Yes",F14,""),C14)</f>
        <v/>
      </c>
    </row>
    <row r="15" customFormat="false" ht="33" hidden="false" customHeight="true" outlineLevel="0" collapsed="false">
      <c r="B15" s="25" t="s">
        <v>307</v>
      </c>
      <c r="C15" s="34"/>
      <c r="D15" s="27" t="s">
        <v>228</v>
      </c>
      <c r="E15" s="35" t="s">
        <v>411</v>
      </c>
      <c r="F15" s="36" t="n">
        <v>0.0375</v>
      </c>
      <c r="G15" s="37" t="str">
        <f aca="false">IF(ISBLANK(C15),IF(Fill_Example="Yes",F15,""),C15)</f>
        <v/>
      </c>
    </row>
    <row r="16" customFormat="false" ht="21.75" hidden="false" customHeight="true" outlineLevel="0" collapsed="false">
      <c r="B16" s="25" t="s">
        <v>412</v>
      </c>
      <c r="C16" s="38"/>
      <c r="D16" s="27" t="s">
        <v>231</v>
      </c>
      <c r="E16" s="28" t="s">
        <v>413</v>
      </c>
      <c r="F16" s="39" t="n">
        <v>25</v>
      </c>
      <c r="G16" s="40" t="str">
        <f aca="false">IF(ISBLANK(C16),IF(Fill_Example="Yes",F16,""),C16)</f>
        <v/>
      </c>
    </row>
    <row r="17" customFormat="false" ht="15" hidden="false" customHeight="true" outlineLevel="0" collapsed="false">
      <c r="B17" s="25" t="s">
        <v>414</v>
      </c>
      <c r="C17" s="26"/>
      <c r="D17" s="27" t="s">
        <v>217</v>
      </c>
      <c r="E17" s="28" t="s">
        <v>415</v>
      </c>
      <c r="F17" s="29" t="n">
        <v>200</v>
      </c>
      <c r="G17" s="30" t="str">
        <f aca="false">IF(ISBLANK(C17),IF(Fill_Example="Yes",F17,""),C17)</f>
        <v/>
      </c>
    </row>
    <row r="18" customFormat="false" ht="15" hidden="false" customHeight="true" outlineLevel="0" collapsed="false">
      <c r="B18" s="25" t="s">
        <v>322</v>
      </c>
      <c r="C18" s="26"/>
      <c r="D18" s="27" t="s">
        <v>217</v>
      </c>
      <c r="E18" s="28" t="s">
        <v>323</v>
      </c>
      <c r="F18" s="29" t="n">
        <v>0</v>
      </c>
      <c r="G18" s="30" t="n">
        <f aca="false">IF(ISBLANK(C18),F18,C18)</f>
        <v>0</v>
      </c>
    </row>
    <row r="20" customFormat="false" ht="15" hidden="false" customHeight="true" outlineLevel="0" collapsed="false">
      <c r="B20" s="13" t="s">
        <v>326</v>
      </c>
      <c r="C20" s="14"/>
      <c r="D20" s="14"/>
      <c r="E20" s="14"/>
      <c r="F20" s="14"/>
      <c r="G20" s="14"/>
    </row>
    <row r="21" customFormat="false" ht="15" hidden="false" customHeight="true" outlineLevel="0" collapsed="false">
      <c r="B21" s="25" t="s">
        <v>409</v>
      </c>
      <c r="C21" s="58" t="str">
        <f aca="false">IF(ISBLANK(Stmt_Balance),Mortgage_Balance,Stmt_Balance)</f>
        <v/>
      </c>
      <c r="D21" s="59" t="str">
        <f aca="false">IF(ISBLANK(Stmt_Balance),"Your figure","From your statement")</f>
        <v>Your figure</v>
      </c>
      <c r="E21" s="49" t="s">
        <v>416</v>
      </c>
    </row>
    <row r="22" customFormat="false" ht="15" hidden="false" customHeight="true" outlineLevel="0" collapsed="false">
      <c r="B22" s="25" t="s">
        <v>307</v>
      </c>
      <c r="C22" s="60" t="str">
        <f aca="false">IF(ISBLANK(Stmt_Rate),Interest_Rate,Stmt_Rate)</f>
        <v/>
      </c>
      <c r="D22" s="59" t="str">
        <f aca="false">IF(ISBLANK(Stmt_Rate),"Your figure","From your statement")</f>
        <v>Your figure</v>
      </c>
      <c r="E22" s="49" t="s">
        <v>328</v>
      </c>
    </row>
    <row r="23" customFormat="false" ht="15" hidden="false" customHeight="true" outlineLevel="0" collapsed="false">
      <c r="B23" s="25" t="s">
        <v>412</v>
      </c>
      <c r="C23" s="61" t="str">
        <f aca="false">IF(ISBLANK(Stmt_Term),Years_Left,Stmt_Term)</f>
        <v/>
      </c>
      <c r="D23" s="59" t="str">
        <f aca="false">IF(ISBLANK(Stmt_Term),"Your figure","From your statement")</f>
        <v>Your figure</v>
      </c>
      <c r="E23" s="49" t="s">
        <v>417</v>
      </c>
    </row>
    <row r="24" customFormat="false" ht="15" hidden="false" customHeight="true" outlineLevel="0" collapsed="false">
      <c r="B24" s="25" t="s">
        <v>330</v>
      </c>
      <c r="C24" s="58" t="n">
        <f aca="false">IF(ISBLANK(Stmt_Repayment),Actual_Repayment,Stmt_Repayment)</f>
        <v>0</v>
      </c>
      <c r="D24" s="59" t="str">
        <f aca="false">IF(ISBLANK(Stmt_Repayment),"Your figure","From your statement")</f>
        <v>Your figure</v>
      </c>
      <c r="E24" s="49" t="s">
        <v>331</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23.25" hidden="false" customHeight="true" outlineLevel="0" collapsed="false">
      <c r="B28" s="21" t="s">
        <v>418</v>
      </c>
      <c r="C28" s="62" t="str">
        <f aca="false">IF(Need_1&lt;&gt;"",Need_1,IF(OR(Months_Now="Never",Months_With_Extra="Never"),"—",Months_Now-Months_With_Extra))</f>
        <v>Choose your extra each month to see this</v>
      </c>
      <c r="D28" s="63"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2" t="s">
        <v>419</v>
      </c>
    </row>
    <row r="29" customFormat="false" ht="17.25" hidden="false" customHeight="true" outlineLevel="0" collapsed="false">
      <c r="B29" s="21" t="s">
        <v>420</v>
      </c>
      <c r="C29" s="41" t="str">
        <f aca="false">IF(Need_1&lt;&gt;"",Need_1,IF(OR(Months_Now="Never",Months_With_Extra="Never"),"—",Interest_Now-Interest_With_Extra))</f>
        <v>Choose your extra each month to see this</v>
      </c>
      <c r="D29" s="27" t="s">
        <v>217</v>
      </c>
      <c r="E29" s="42" t="s">
        <v>421</v>
      </c>
    </row>
    <row r="30" customFormat="false" ht="23.25" hidden="false" customHeight="true" outlineLevel="0" collapsed="false">
      <c r="B30" s="25" t="s">
        <v>422</v>
      </c>
      <c r="C30" s="66" t="str">
        <f aca="false">IF(Need_2&lt;&gt;"",Need_2,IF(Repayment_Now&lt;=Used_Mortgage_Balance*Monthly_Rate,"Never",ROUNDUP(ROUND(NPER(Monthly_Rate,-Repayment_Now,Used_Mortgage_Balance),6),0)))</f>
        <v>Choose your mortgage balance to see this</v>
      </c>
      <c r="D30" s="67"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2" t="s">
        <v>423</v>
      </c>
    </row>
    <row r="31" customFormat="false" ht="23.25" hidden="false" customHeight="true" outlineLevel="0" collapsed="false">
      <c r="B31" s="25" t="s">
        <v>424</v>
      </c>
      <c r="C31" s="66" t="str">
        <f aca="false">IF(Need_1&lt;&gt;"",Need_1,IF(Repayment_With_Extra&lt;=Used_Mortgage_Balance*Monthly_Rate,"Never",ROUNDUP(ROUND(NPER(Monthly_Rate,-Repayment_With_Extra,Used_Mortgage_Balance),6),0)))</f>
        <v>Choose your extra each month to see this</v>
      </c>
      <c r="D31" s="67"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2" t="s">
        <v>425</v>
      </c>
    </row>
    <row r="32" customFormat="false" ht="15" hidden="false" customHeight="true" outlineLevel="0" collapsed="false">
      <c r="B32" s="25" t="s">
        <v>341</v>
      </c>
      <c r="C32" s="64" t="str">
        <f aca="false">IF(Need_3&lt;&gt;"",Need_3,Used_Interest_Rate/12)</f>
        <v>Choose your interest rate to see this</v>
      </c>
      <c r="D32" s="27"/>
      <c r="E32" s="42" t="s">
        <v>342</v>
      </c>
    </row>
    <row r="33" customFormat="false" ht="15" hidden="false" customHeight="true" outlineLevel="0" collapsed="false">
      <c r="B33" s="25" t="s">
        <v>426</v>
      </c>
      <c r="C33" s="43" t="str">
        <f aca="false">IF(Need_2&lt;&gt;"",Need_2,IF(Used_Actual_Repayment&gt;0,Used_Actual_Repayment,PMT(Monthly_Rate,Used_Years_Left*12,-Used_Mortgage_Balance)))</f>
        <v>Choose your mortgage balance to see this</v>
      </c>
      <c r="D33" s="27" t="s">
        <v>217</v>
      </c>
      <c r="E33" s="42" t="s">
        <v>427</v>
      </c>
    </row>
    <row r="34" customFormat="false" ht="15" hidden="false" customHeight="true" outlineLevel="0" collapsed="false">
      <c r="B34" s="25" t="s">
        <v>428</v>
      </c>
      <c r="C34" s="43" t="str">
        <f aca="false">IF(Need_1&lt;&gt;"",Need_1,Repayment_Now+Extra_Payment)</f>
        <v>Choose your extra each month to see this</v>
      </c>
      <c r="D34" s="27" t="s">
        <v>217</v>
      </c>
      <c r="E34" s="42" t="s">
        <v>429</v>
      </c>
    </row>
    <row r="35" customFormat="false" ht="21.75" hidden="false" customHeight="true" outlineLevel="0" collapsed="false">
      <c r="B35" s="25" t="s">
        <v>430</v>
      </c>
      <c r="C35" s="43" t="str">
        <f aca="false">IF(Need_2&lt;&gt;"",Need_2,IF(Months_Now="Never","—",-FV(Monthly_Rate,Months_Now-1,-Repayment_Now,Used_Mortgage_Balance)*(1+Monthly_Rate)))</f>
        <v>Choose your mortgage balance to see this</v>
      </c>
      <c r="D35" s="27" t="s">
        <v>217</v>
      </c>
      <c r="E35" s="42" t="s">
        <v>431</v>
      </c>
    </row>
    <row r="36" customFormat="false" ht="21.75" hidden="false" customHeight="true" outlineLevel="0" collapsed="false">
      <c r="B36" s="25" t="s">
        <v>432</v>
      </c>
      <c r="C36" s="43" t="str">
        <f aca="false">IF(Need_1&lt;&gt;"",Need_1,IF(Months_With_Extra="Never","—",-FV(Monthly_Rate,Months_With_Extra-1,-Repayment_With_Extra,Used_Mortgage_Balance)*(1+Monthly_Rate)))</f>
        <v>Choose your extra each month to see this</v>
      </c>
      <c r="D36" s="27" t="s">
        <v>217</v>
      </c>
      <c r="E36" s="42" t="s">
        <v>433</v>
      </c>
    </row>
    <row r="37" customFormat="false" ht="15" hidden="false" customHeight="true" outlineLevel="0" collapsed="false">
      <c r="B37" s="25" t="s">
        <v>434</v>
      </c>
      <c r="C37" s="43" t="str">
        <f aca="false">IF(Need_2&lt;&gt;"",Need_2,IF(Months_Now="Never","—",Repayment_Now*(Months_Now-1)+Last_Payment_Now-Used_Mortgage_Balance))</f>
        <v>Choose your mortgage balance to see this</v>
      </c>
      <c r="D37" s="27" t="s">
        <v>217</v>
      </c>
      <c r="E37" s="42" t="s">
        <v>435</v>
      </c>
    </row>
    <row r="38" customFormat="false" ht="21.75" hidden="false" customHeight="true" outlineLevel="0" collapsed="false">
      <c r="B38" s="25" t="s">
        <v>436</v>
      </c>
      <c r="C38" s="43" t="str">
        <f aca="false">IF(Need_1&lt;&gt;"",Need_1,IF(Months_With_Extra="Never","—",Repayment_With_Extra*(Months_With_Extra-1)+Last_Payment_With_Extra-Used_Mortgage_Balance))</f>
        <v>Choose your extra each month to see this</v>
      </c>
      <c r="D38" s="27" t="s">
        <v>217</v>
      </c>
      <c r="E38" s="42" t="s">
        <v>437</v>
      </c>
    </row>
    <row r="40" customFormat="false" ht="15" hidden="false" customHeight="true" outlineLevel="0" collapsed="false">
      <c r="B40" s="13" t="s">
        <v>272</v>
      </c>
      <c r="C40" s="14"/>
      <c r="D40" s="14"/>
      <c r="E40" s="14"/>
      <c r="F40" s="14"/>
      <c r="G40" s="14"/>
    </row>
    <row r="41" customFormat="false" ht="13.5" hidden="false" customHeight="true" outlineLevel="0" collapsed="false">
      <c r="B41" s="46" t="s">
        <v>438</v>
      </c>
      <c r="C41" s="46"/>
      <c r="D41" s="46"/>
      <c r="E41" s="46"/>
    </row>
    <row r="42" customFormat="false" ht="27.75" hidden="false" customHeight="true" outlineLevel="0" collapsed="false">
      <c r="B42" s="46" t="s">
        <v>439</v>
      </c>
      <c r="C42" s="46"/>
      <c r="D42" s="46"/>
      <c r="E42" s="46"/>
    </row>
    <row r="43" customFormat="false" ht="13.5" hidden="false" customHeight="true" outlineLevel="0" collapsed="false">
      <c r="B43" s="47" t="s">
        <v>276</v>
      </c>
      <c r="C43" s="47"/>
      <c r="D43" s="47"/>
      <c r="E43" s="47"/>
    </row>
    <row r="44" customFormat="false" ht="13.5" hidden="false" customHeight="true" outlineLevel="0" collapsed="false">
      <c r="B44" s="46" t="s">
        <v>440</v>
      </c>
      <c r="C44" s="46"/>
      <c r="D44" s="46"/>
      <c r="E44" s="46"/>
    </row>
    <row r="45" customFormat="false" ht="13.5" hidden="false" customHeight="true" outlineLevel="0" collapsed="false">
      <c r="B45" s="46" t="s">
        <v>441</v>
      </c>
      <c r="C45" s="46"/>
      <c r="D45" s="46"/>
      <c r="E45" s="46"/>
    </row>
    <row r="46" customFormat="false" ht="13.5" hidden="false" customHeight="true" outlineLevel="0" collapsed="false">
      <c r="B46" s="46" t="s">
        <v>357</v>
      </c>
      <c r="C46" s="46"/>
      <c r="D46" s="46"/>
      <c r="E46" s="46"/>
    </row>
    <row r="47" customFormat="false" ht="27.75" hidden="false" customHeight="true" outlineLevel="0" collapsed="false">
      <c r="B47" s="46" t="s">
        <v>358</v>
      </c>
      <c r="C47" s="46"/>
      <c r="D47" s="46"/>
      <c r="E47" s="46"/>
    </row>
    <row r="48" customFormat="false" ht="13.5" hidden="false" customHeight="true" outlineLevel="0" collapsed="false">
      <c r="B48" s="46" t="s">
        <v>442</v>
      </c>
      <c r="C48" s="46"/>
      <c r="D48" s="46"/>
      <c r="E48" s="46"/>
    </row>
    <row r="50" customFormat="false" ht="15" hidden="false" customHeight="true" outlineLevel="0" collapsed="false">
      <c r="B50" s="13" t="s">
        <v>281</v>
      </c>
      <c r="C50" s="14"/>
      <c r="D50" s="14"/>
      <c r="E50" s="14"/>
      <c r="F50" s="14"/>
      <c r="G50" s="14"/>
    </row>
    <row r="51" customFormat="false" ht="15" hidden="false" customHeight="true" outlineLevel="0" collapsed="false">
      <c r="B51" s="25" t="s">
        <v>282</v>
      </c>
      <c r="C51" s="48" t="str">
        <f aca="false">IF(Need_1&lt;&gt;"",Need_1,IF(Months_With_Extra="Never","No goal","Mortgage free (plan kind mfree, priced from your mortgage; no cash amount)"))</f>
        <v>Choose your extra each month to see this</v>
      </c>
      <c r="E51" s="49" t="s">
        <v>443</v>
      </c>
    </row>
    <row r="52" customFormat="false" ht="15" hidden="false" customHeight="true" outlineLevel="0" collapsed="false">
      <c r="B52" s="25" t="s">
        <v>288</v>
      </c>
      <c r="C52" s="51" t="str">
        <f aca="false">IF(Need_1&lt;&gt;"",Need_1,IF(Months_With_Extra="Never","—",ROUNDUP(Months_With_Extra/12,0)))</f>
        <v>Choose your extra each month to see this</v>
      </c>
      <c r="E52" s="49" t="s">
        <v>444</v>
      </c>
    </row>
    <row r="53" customFormat="false" ht="27.75" hidden="false" customHeight="true" outlineLevel="0" collapsed="false">
      <c r="B53" s="53" t="s">
        <v>445</v>
      </c>
      <c r="C53" s="53"/>
      <c r="D53" s="53"/>
      <c r="E53" s="53"/>
    </row>
    <row r="55" customFormat="false" ht="15" hidden="false" customHeight="true" outlineLevel="0" collapsed="false">
      <c r="B55" s="13" t="s">
        <v>290</v>
      </c>
      <c r="C55" s="14"/>
      <c r="D55" s="14"/>
      <c r="E55" s="14"/>
      <c r="F55" s="14"/>
      <c r="G55" s="14"/>
    </row>
    <row r="56" customFormat="false" ht="15" hidden="false" customHeight="true" outlineLevel="0" collapsed="false">
      <c r="B56" s="52" t="s">
        <v>446</v>
      </c>
      <c r="C56" s="52" t="str">
        <f aca="false">IF(Extra_Payment="","Choose your extra each month to see this",IF(NOT(ISNUMBER(Used_Mortgage_Balance)),IF(Used_Mortgage_Balance="",IF(Mortgage_Balance="","Choose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extra each month to see this</v>
      </c>
    </row>
    <row r="57" customFormat="false" ht="15" hidden="false" customHeight="true" outlineLevel="0" collapsed="false">
      <c r="B57" s="52" t="s">
        <v>447</v>
      </c>
      <c r="C57"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58" customFormat="false" ht="15" hidden="false" customHeight="true" outlineLevel="0" collapsed="false">
      <c r="B58" s="52" t="s">
        <v>363</v>
      </c>
      <c r="C58" s="52" t="str">
        <f aca="false">IF(NOT(ISNUMBER(Used_Interest_Rate)),IF(Used_Interest_Rate="",IF(Interest_Rate="","Choose your interest rate to see this",""),Used_Interest_Rate),"")</f>
        <v>Choose your interest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statement: rate. Enter your  Allowed: 1% to 8% · steps of 0.05%." promptTitle="Interest rate" showDropDown="false" showErrorMessage="true" showInputMessage="true" sqref="C15" type="decimal">
      <formula1>0.01</formula1>
      <formula2>0.08</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448</v>
      </c>
      <c r="E1" s="3" t="s">
        <v>449</v>
      </c>
    </row>
    <row r="2" customFormat="false" ht="15" hidden="false" customHeight="true" outlineLevel="0" collapsed="false">
      <c r="B2" s="21" t="s">
        <v>450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451</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311</v>
      </c>
      <c r="C10" s="54"/>
      <c r="D10" s="27" t="s">
        <v>217</v>
      </c>
      <c r="E10" s="28" t="s">
        <v>312</v>
      </c>
      <c r="G10" s="52" t="s">
        <v>306</v>
      </c>
    </row>
    <row r="11" customFormat="false" ht="15" hidden="false" customHeight="true" outlineLevel="0" collapsed="false">
      <c r="B11" s="25" t="s">
        <v>313</v>
      </c>
      <c r="C11" s="57"/>
      <c r="D11" s="27" t="s">
        <v>314</v>
      </c>
      <c r="E11" s="28" t="s">
        <v>315</v>
      </c>
      <c r="G11" s="52" t="s">
        <v>306</v>
      </c>
    </row>
    <row r="13" customFormat="false" ht="15" hidden="false" customHeight="true" outlineLevel="0" collapsed="false">
      <c r="B13" s="13" t="s">
        <v>316</v>
      </c>
      <c r="C13" s="24" t="s">
        <v>213</v>
      </c>
      <c r="D13" s="24" t="s">
        <v>214</v>
      </c>
      <c r="E13" s="24" t="s">
        <v>215</v>
      </c>
      <c r="F13" s="14"/>
      <c r="G13" s="14"/>
    </row>
    <row r="14" customFormat="false" ht="21.75" hidden="false" customHeight="true" outlineLevel="0" collapsed="false">
      <c r="B14" s="25" t="s">
        <v>409</v>
      </c>
      <c r="C14" s="26"/>
      <c r="D14" s="27" t="s">
        <v>217</v>
      </c>
      <c r="E14" s="28" t="s">
        <v>452</v>
      </c>
      <c r="F14" s="29" t="n">
        <v>300000</v>
      </c>
      <c r="G14" s="30" t="str">
        <f aca="false">IF(ISBLANK(C14),IF(Fill_Example="Yes",F14,""),C14)</f>
        <v/>
      </c>
    </row>
    <row r="15" customFormat="false" ht="33" hidden="false" customHeight="true" outlineLevel="0" collapsed="false">
      <c r="B15" s="25" t="s">
        <v>453</v>
      </c>
      <c r="C15" s="34"/>
      <c r="D15" s="27" t="s">
        <v>228</v>
      </c>
      <c r="E15" s="35" t="s">
        <v>411</v>
      </c>
      <c r="F15" s="36" t="n">
        <v>0.0375</v>
      </c>
      <c r="G15" s="37" t="str">
        <f aca="false">IF(ISBLANK(C15),IF(Fill_Example="Yes",F15,""),C15)</f>
        <v/>
      </c>
    </row>
    <row r="16" customFormat="false" ht="21.75" hidden="false" customHeight="true" outlineLevel="0" collapsed="false">
      <c r="B16" s="25" t="s">
        <v>412</v>
      </c>
      <c r="C16" s="38"/>
      <c r="D16" s="27" t="s">
        <v>231</v>
      </c>
      <c r="E16" s="28" t="s">
        <v>321</v>
      </c>
      <c r="F16" s="39" t="n">
        <v>25</v>
      </c>
      <c r="G16" s="40" t="str">
        <f aca="false">IF(ISBLANK(C16),IF(Fill_Example="Yes",F16,""),C16)</f>
        <v/>
      </c>
    </row>
    <row r="17" customFormat="false" ht="15" hidden="false" customHeight="true" outlineLevel="0" collapsed="false">
      <c r="B17" s="25" t="s">
        <v>454</v>
      </c>
      <c r="C17" s="34"/>
      <c r="D17" s="27" t="s">
        <v>228</v>
      </c>
      <c r="E17" s="28" t="s">
        <v>455</v>
      </c>
      <c r="F17" s="36" t="n">
        <v>0.01</v>
      </c>
      <c r="G17" s="37" t="str">
        <f aca="false">IF(ISBLANK(C17),IF(Fill_Example="Yes",F17,""),C17)</f>
        <v/>
      </c>
    </row>
    <row r="18" customFormat="false" ht="15" hidden="false" customHeight="true" outlineLevel="0" collapsed="false">
      <c r="B18" s="25" t="s">
        <v>322</v>
      </c>
      <c r="C18" s="26"/>
      <c r="D18" s="27" t="s">
        <v>217</v>
      </c>
      <c r="E18" s="28" t="s">
        <v>323</v>
      </c>
      <c r="F18" s="29" t="n">
        <v>0</v>
      </c>
      <c r="G18" s="30" t="n">
        <f aca="false">IF(ISBLANK(C18),F18,C18)</f>
        <v>0</v>
      </c>
    </row>
    <row r="20" customFormat="false" ht="15" hidden="false" customHeight="true" outlineLevel="0" collapsed="false">
      <c r="B20" s="13" t="s">
        <v>326</v>
      </c>
      <c r="C20" s="14"/>
      <c r="D20" s="14"/>
      <c r="E20" s="14"/>
      <c r="F20" s="14"/>
      <c r="G20" s="14"/>
    </row>
    <row r="21" customFormat="false" ht="15" hidden="false" customHeight="true" outlineLevel="0" collapsed="false">
      <c r="B21" s="25" t="s">
        <v>409</v>
      </c>
      <c r="C21" s="58" t="str">
        <f aca="false">IF(ISBLANK(Stmt_Balance),Mortgage_Balance,Stmt_Balance)</f>
        <v/>
      </c>
      <c r="D21" s="59" t="str">
        <f aca="false">IF(ISBLANK(Stmt_Balance),"Your figure","From your statement")</f>
        <v>Your figure</v>
      </c>
      <c r="E21" s="49" t="s">
        <v>416</v>
      </c>
    </row>
    <row r="22" customFormat="false" ht="15" hidden="false" customHeight="true" outlineLevel="0" collapsed="false">
      <c r="B22" s="25" t="s">
        <v>453</v>
      </c>
      <c r="C22" s="60" t="str">
        <f aca="false">IF(ISBLANK(Stmt_Rate),Current_Rate,Stmt_Rate)</f>
        <v/>
      </c>
      <c r="D22" s="59" t="str">
        <f aca="false">IF(ISBLANK(Stmt_Rate),"Your figure","From your statement")</f>
        <v>Your figure</v>
      </c>
      <c r="E22" s="49" t="s">
        <v>456</v>
      </c>
    </row>
    <row r="23" customFormat="false" ht="15" hidden="false" customHeight="true" outlineLevel="0" collapsed="false">
      <c r="B23" s="25" t="s">
        <v>412</v>
      </c>
      <c r="C23" s="61" t="str">
        <f aca="false">IF(ISBLANK(Stmt_Term),Years_Left,Stmt_Term)</f>
        <v/>
      </c>
      <c r="D23" s="59" t="str">
        <f aca="false">IF(ISBLANK(Stmt_Term),"Your figure","From your statement")</f>
        <v>Your figure</v>
      </c>
      <c r="E23" s="49" t="s">
        <v>417</v>
      </c>
    </row>
    <row r="24" customFormat="false" ht="15" hidden="false" customHeight="true" outlineLevel="0" collapsed="false">
      <c r="B24" s="25" t="s">
        <v>330</v>
      </c>
      <c r="C24" s="58" t="n">
        <f aca="false">IF(ISBLANK(Stmt_Repayment),Actual_Repayment,Stmt_Repayment)</f>
        <v>0</v>
      </c>
      <c r="D24" s="59" t="str">
        <f aca="false">IF(ISBLANK(Stmt_Repayment),"Your figure","From your statement")</f>
        <v>Your figure</v>
      </c>
      <c r="E24" s="49" t="s">
        <v>331</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23.25" hidden="false" customHeight="true" outlineLevel="0" collapsed="false">
      <c r="B28" s="21" t="s">
        <v>457</v>
      </c>
      <c r="C28" s="41" t="str">
        <f aca="false">IF(Need_1&lt;&gt;"",Need_1,Repayment_After-Repayment_Now)</f>
        <v>Choose your rate change to see this</v>
      </c>
      <c r="D28" s="63" t="str">
        <f aca="false">IF(Need_1&lt;&gt;"",Need_1,IF(Monthly_Change&gt;=0,"+","−")&amp;TEXT(ABS(Monthly_Change),"€#,##0"))</f>
        <v>Choose your rate change to see this</v>
      </c>
      <c r="E28" s="42" t="s">
        <v>458</v>
      </c>
    </row>
    <row r="29" customFormat="false" ht="17.25" hidden="false" customHeight="true" outlineLevel="0" collapsed="false">
      <c r="B29" s="21" t="s">
        <v>426</v>
      </c>
      <c r="C29" s="41" t="str">
        <f aca="false">IF(Need_2&lt;&gt;"",Need_2,IF(Used_Actual_Repayment&gt;0,Used_Actual_Repayment,Formula_Now))</f>
        <v>Choose your mortgage balance to see this</v>
      </c>
      <c r="D29" s="27" t="s">
        <v>217</v>
      </c>
      <c r="E29" s="42" t="s">
        <v>459</v>
      </c>
    </row>
    <row r="30" customFormat="false" ht="17.25" hidden="false" customHeight="true" outlineLevel="0" collapsed="false">
      <c r="B30" s="21" t="s">
        <v>460</v>
      </c>
      <c r="C30" s="41" t="str">
        <f aca="false">IF(Need_1&lt;&gt;"",Need_1,Repayment_Now+PMT(New_Rate/12,Used_Years_Left*12,-Used_Mortgage_Balance)-Formula_Now)</f>
        <v>Choose your rate change to see this</v>
      </c>
      <c r="D30" s="27" t="s">
        <v>217</v>
      </c>
      <c r="E30" s="42" t="s">
        <v>461</v>
      </c>
    </row>
    <row r="31" customFormat="false" ht="15" hidden="false" customHeight="true" outlineLevel="0" collapsed="false">
      <c r="B31" s="25" t="s">
        <v>462</v>
      </c>
      <c r="C31" s="43" t="str">
        <f aca="false">IF(Need_1&lt;&gt;"",Need_1,Monthly_Change*12)</f>
        <v>Choose your rate change to see this</v>
      </c>
      <c r="D31" s="27" t="s">
        <v>217</v>
      </c>
      <c r="E31" s="42" t="s">
        <v>463</v>
      </c>
    </row>
    <row r="32" customFormat="false" ht="15" hidden="false" customHeight="true" outlineLevel="0" collapsed="false">
      <c r="B32" s="25" t="s">
        <v>464</v>
      </c>
      <c r="C32" s="43" t="str">
        <f aca="false">IF(Need_3&lt;&gt;"",Need_3,PMT(Used_Current_Rate/12,Used_Years_Left*12,-Used_Mortgage_Balance))</f>
        <v>Choose your mortgage balance to see this</v>
      </c>
      <c r="D32" s="27" t="s">
        <v>217</v>
      </c>
      <c r="E32" s="42" t="s">
        <v>465</v>
      </c>
    </row>
    <row r="33" customFormat="false" ht="15" hidden="false" customHeight="true" outlineLevel="0" collapsed="false">
      <c r="B33" s="25" t="s">
        <v>466</v>
      </c>
      <c r="C33" s="65" t="str">
        <f aca="false">IF(Need_4&lt;&gt;"",Need_4,MAX(0,Used_Current_Rate+Rate_Change))</f>
        <v>Choose your rate change to see this</v>
      </c>
      <c r="D33" s="27" t="s">
        <v>228</v>
      </c>
      <c r="E33" s="42" t="s">
        <v>467</v>
      </c>
    </row>
    <row r="35" customFormat="false" ht="15" hidden="false" customHeight="true" outlineLevel="0" collapsed="false">
      <c r="B35" s="13" t="s">
        <v>272</v>
      </c>
      <c r="C35" s="14"/>
      <c r="D35" s="14"/>
      <c r="E35" s="14"/>
      <c r="F35" s="14"/>
      <c r="G35" s="14"/>
    </row>
    <row r="36" customFormat="false" ht="13.5" hidden="false" customHeight="true" outlineLevel="0" collapsed="false">
      <c r="B36" s="46" t="s">
        <v>468</v>
      </c>
      <c r="C36" s="46"/>
      <c r="D36" s="46"/>
      <c r="E36" s="46"/>
    </row>
    <row r="37" customFormat="false" ht="13.5" hidden="false" customHeight="true" outlineLevel="0" collapsed="false">
      <c r="B37" s="46" t="s">
        <v>469</v>
      </c>
      <c r="C37" s="46"/>
      <c r="D37" s="46"/>
      <c r="E37" s="46"/>
    </row>
    <row r="38" customFormat="false" ht="13.5" hidden="false" customHeight="true" outlineLevel="0" collapsed="false">
      <c r="B38" s="47" t="s">
        <v>276</v>
      </c>
      <c r="C38" s="47"/>
      <c r="D38" s="47"/>
      <c r="E38" s="47"/>
    </row>
    <row r="39" customFormat="false" ht="13.5" hidden="false" customHeight="true" outlineLevel="0" collapsed="false">
      <c r="B39" s="46" t="s">
        <v>470</v>
      </c>
      <c r="C39" s="46"/>
      <c r="D39" s="46"/>
      <c r="E39" s="46"/>
    </row>
    <row r="40" customFormat="false" ht="13.5" hidden="false" customHeight="true" outlineLevel="0" collapsed="false">
      <c r="B40" s="46" t="s">
        <v>280</v>
      </c>
      <c r="C40" s="46"/>
      <c r="D40" s="46"/>
      <c r="E40" s="46"/>
    </row>
    <row r="42" customFormat="false" ht="15" hidden="false" customHeight="true" outlineLevel="0" collapsed="false">
      <c r="B42" s="13" t="s">
        <v>281</v>
      </c>
      <c r="C42" s="14"/>
      <c r="D42" s="14"/>
      <c r="E42" s="14"/>
      <c r="F42" s="14"/>
      <c r="G42" s="14"/>
    </row>
    <row r="43" customFormat="false" ht="15" hidden="false" customHeight="true" outlineLevel="0" collapsed="false">
      <c r="B43" s="25" t="s">
        <v>282</v>
      </c>
      <c r="C43" s="48" t="str">
        <f aca="false">"No goal"</f>
        <v>No goal</v>
      </c>
      <c r="E43" s="49" t="s">
        <v>471</v>
      </c>
    </row>
    <row r="45" customFormat="false" ht="15" hidden="false" customHeight="true" outlineLevel="0" collapsed="false">
      <c r="B45" s="13" t="s">
        <v>290</v>
      </c>
      <c r="C45" s="14"/>
      <c r="D45" s="14"/>
      <c r="E45" s="14"/>
      <c r="F45" s="14"/>
      <c r="G45" s="14"/>
    </row>
    <row r="46" customFormat="false" ht="15" hidden="false" customHeight="true" outlineLevel="0" collapsed="false">
      <c r="B46" s="52" t="s">
        <v>472</v>
      </c>
      <c r="C46" s="52" t="str">
        <f aca="false">IF(Rate_Change="","Choose your rate change to see this",IF(NOT(ISNUMBER(Used_Mortgage_Balance)),IF(Used_Mortgage_Balance="",IF(Mortgage_Balance="","Choose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rate change to see this</v>
      </c>
    </row>
    <row r="47" customFormat="false" ht="15" hidden="false" customHeight="true" outlineLevel="0" collapsed="false">
      <c r="B47" s="52" t="s">
        <v>473</v>
      </c>
      <c r="C47"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48" customFormat="false" ht="15" hidden="false" customHeight="true" outlineLevel="0" collapsed="false">
      <c r="B48" s="52" t="s">
        <v>474</v>
      </c>
      <c r="C48"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f>
        <v>Choose your mortgage balance to see this</v>
      </c>
    </row>
    <row r="49" customFormat="false" ht="15" hidden="false" customHeight="true" outlineLevel="0" collapsed="false">
      <c r="B49" s="52" t="s">
        <v>475</v>
      </c>
      <c r="C49" s="52" t="str">
        <f aca="false">IF(Rate_Change="","Choose your rate change to see this",IF(NOT(ISNUMBER(Used_Current_Rate)),IF(Used_Current_Rate="",IF(Current_Rate="","Choose your current interest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statement: rate. Enter your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476</v>
      </c>
      <c r="E1" s="3" t="s">
        <v>477</v>
      </c>
    </row>
    <row r="2" customFormat="false" ht="15" hidden="false" customHeight="true" outlineLevel="0" collapsed="false">
      <c r="B2" s="21" t="s">
        <v>478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479</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313</v>
      </c>
      <c r="C10" s="57"/>
      <c r="D10" s="27" t="s">
        <v>314</v>
      </c>
      <c r="E10" s="28" t="s">
        <v>315</v>
      </c>
      <c r="G10" s="52" t="s">
        <v>306</v>
      </c>
    </row>
    <row r="12" customFormat="false" ht="15" hidden="false" customHeight="true" outlineLevel="0" collapsed="false">
      <c r="B12" s="13" t="s">
        <v>316</v>
      </c>
      <c r="C12" s="24" t="s">
        <v>213</v>
      </c>
      <c r="D12" s="24" t="s">
        <v>214</v>
      </c>
      <c r="E12" s="24" t="s">
        <v>215</v>
      </c>
      <c r="F12" s="14"/>
      <c r="G12" s="14"/>
    </row>
    <row r="13" customFormat="false" ht="21.75" hidden="false" customHeight="true" outlineLevel="0" collapsed="false">
      <c r="B13" s="25" t="s">
        <v>317</v>
      </c>
      <c r="C13" s="26"/>
      <c r="D13" s="27" t="s">
        <v>217</v>
      </c>
      <c r="E13" s="28" t="s">
        <v>452</v>
      </c>
      <c r="F13" s="29" t="n">
        <v>300000</v>
      </c>
      <c r="G13" s="30" t="str">
        <f aca="false">IF(ISBLANK(C13),IF(Fill_Example="Yes",F13,""),C13)</f>
        <v/>
      </c>
    </row>
    <row r="14" customFormat="false" ht="33" hidden="false" customHeight="true" outlineLevel="0" collapsed="false">
      <c r="B14" s="25" t="s">
        <v>307</v>
      </c>
      <c r="C14" s="34"/>
      <c r="D14" s="27" t="s">
        <v>228</v>
      </c>
      <c r="E14" s="35" t="s">
        <v>411</v>
      </c>
      <c r="F14" s="36" t="n">
        <v>0.0375</v>
      </c>
      <c r="G14" s="37" t="str">
        <f aca="false">IF(ISBLANK(C14),IF(Fill_Example="Yes",F14,""),C14)</f>
        <v/>
      </c>
    </row>
    <row r="15" customFormat="false" ht="21.75" hidden="false" customHeight="true" outlineLevel="0" collapsed="false">
      <c r="B15" s="25" t="s">
        <v>480</v>
      </c>
      <c r="C15" s="38"/>
      <c r="D15" s="27" t="s">
        <v>231</v>
      </c>
      <c r="E15" s="28" t="s">
        <v>321</v>
      </c>
      <c r="F15" s="39" t="n">
        <v>25</v>
      </c>
      <c r="G15" s="40" t="str">
        <f aca="false">IF(ISBLANK(C15),IF(Fill_Example="Yes",F15,""),C15)</f>
        <v/>
      </c>
    </row>
    <row r="16" customFormat="false" ht="15" hidden="false" customHeight="true" outlineLevel="0" collapsed="false">
      <c r="B16" s="25" t="s">
        <v>481</v>
      </c>
      <c r="C16" s="38"/>
      <c r="D16" s="27" t="s">
        <v>231</v>
      </c>
      <c r="E16" s="28" t="s">
        <v>482</v>
      </c>
      <c r="F16" s="39" t="n">
        <v>35</v>
      </c>
      <c r="G16" s="40" t="str">
        <f aca="false">IF(ISBLANK(C16),IF(Fill_Example="Yes",F16,""),C16)</f>
        <v/>
      </c>
    </row>
    <row r="18" customFormat="false" ht="15" hidden="false" customHeight="true" outlineLevel="0" collapsed="false">
      <c r="B18" s="13" t="s">
        <v>326</v>
      </c>
      <c r="C18" s="14"/>
      <c r="D18" s="14"/>
      <c r="E18" s="14"/>
      <c r="F18" s="14"/>
      <c r="G18" s="14"/>
    </row>
    <row r="19" customFormat="false" ht="15" hidden="false" customHeight="true" outlineLevel="0" collapsed="false">
      <c r="B19" s="25" t="s">
        <v>317</v>
      </c>
      <c r="C19" s="58" t="str">
        <f aca="false">IF(ISBLANK(Stmt_Balance),Loan_Amount,Stmt_Balance)</f>
        <v/>
      </c>
      <c r="D19" s="59" t="str">
        <f aca="false">IF(ISBLANK(Stmt_Balance),"Your figure","From your statement")</f>
        <v>Your figure</v>
      </c>
      <c r="E19" s="49" t="s">
        <v>327</v>
      </c>
    </row>
    <row r="20" customFormat="false" ht="15" hidden="false" customHeight="true" outlineLevel="0" collapsed="false">
      <c r="B20" s="25" t="s">
        <v>307</v>
      </c>
      <c r="C20" s="60" t="str">
        <f aca="false">IF(ISBLANK(Stmt_Rate),Interest_Rate,Stmt_Rate)</f>
        <v/>
      </c>
      <c r="D20" s="59" t="str">
        <f aca="false">IF(ISBLANK(Stmt_Rate),"Your figure","From your statement")</f>
        <v>Your figure</v>
      </c>
      <c r="E20" s="49" t="s">
        <v>328</v>
      </c>
    </row>
    <row r="21" customFormat="false" ht="15" hidden="false" customHeight="true" outlineLevel="0" collapsed="false">
      <c r="B21" s="25" t="s">
        <v>480</v>
      </c>
      <c r="C21" s="61" t="str">
        <f aca="false">IF(ISBLANK(Stmt_Term),Term_A,Stmt_Term)</f>
        <v/>
      </c>
      <c r="D21" s="59" t="str">
        <f aca="false">IF(ISBLANK(Stmt_Term),"Your figure","From your statement")</f>
        <v>Your figure</v>
      </c>
      <c r="E21" s="49" t="s">
        <v>483</v>
      </c>
    </row>
    <row r="22" customFormat="false" ht="21.75" hidden="false" customHeight="true" outlineLevel="0" collapsed="false">
      <c r="B22" s="25" t="s">
        <v>332</v>
      </c>
      <c r="C22" s="45" t="str">
        <f aca="true">IF(ISBLANK(Stmt_Statement_Date),"",IF(TODAY()-Stmt_Statement_Date&gt;Statement_Max_Age_Days,"Needs a look: statement is more than 12 months old","Up to date"))</f>
        <v/>
      </c>
      <c r="D22" s="27"/>
      <c r="E22" s="42" t="s">
        <v>333</v>
      </c>
    </row>
    <row r="24" customFormat="false" ht="15" hidden="false" customHeight="true" outlineLevel="0" collapsed="false">
      <c r="B24" s="13" t="s">
        <v>239</v>
      </c>
      <c r="C24" s="24" t="s">
        <v>240</v>
      </c>
      <c r="D24" s="24" t="s">
        <v>241</v>
      </c>
      <c r="E24" s="24" t="s">
        <v>242</v>
      </c>
      <c r="F24" s="14"/>
      <c r="G24" s="14"/>
    </row>
    <row r="25" customFormat="false" ht="17.25" hidden="false" customHeight="true" outlineLevel="0" collapsed="false">
      <c r="B25" s="21" t="s">
        <v>484</v>
      </c>
      <c r="C25" s="41" t="str">
        <f aca="false">IF(Need_1&lt;&gt;"",Need_1,ABS(Interest_B-Interest_A))</f>
        <v>Choose your term B to see this</v>
      </c>
      <c r="D25" s="63" t="str">
        <f aca="false">IF(Need_1&lt;&gt;"",Need_1,IF(Used_Term_A=Term_B,"Both terms are the same.","The "&amp;MIN(Used_Term_A,Term_B)&amp;"-year term costs more each month but less interest overall."))</f>
        <v>Choose your term B to see this</v>
      </c>
      <c r="E25" s="42" t="s">
        <v>485</v>
      </c>
    </row>
    <row r="26" customFormat="false" ht="17.25" hidden="false" customHeight="true" outlineLevel="0" collapsed="false">
      <c r="B26" s="21" t="s">
        <v>486</v>
      </c>
      <c r="C26" s="41" t="str">
        <f aca="false">IF(Need_2&lt;&gt;"",Need_2,PMT(Used_Interest_Rate/12,Used_Term_A*12,-Used_Loan_Amount))</f>
        <v>Choose your mortgage amount to see this</v>
      </c>
      <c r="D26" s="27" t="s">
        <v>217</v>
      </c>
      <c r="E26" s="42" t="s">
        <v>487</v>
      </c>
    </row>
    <row r="27" customFormat="false" ht="17.25" hidden="false" customHeight="true" outlineLevel="0" collapsed="false">
      <c r="B27" s="21" t="s">
        <v>488</v>
      </c>
      <c r="C27" s="41" t="str">
        <f aca="false">IF(Need_3&lt;&gt;"",Need_3,PMT(Used_Interest_Rate/12,Term_B*12,-Used_Loan_Amount))</f>
        <v>Choose your term B to see this</v>
      </c>
      <c r="D27" s="27" t="s">
        <v>217</v>
      </c>
      <c r="E27" s="42" t="s">
        <v>489</v>
      </c>
    </row>
    <row r="28" customFormat="false" ht="15" hidden="false" customHeight="true" outlineLevel="0" collapsed="false">
      <c r="B28" s="25" t="s">
        <v>490</v>
      </c>
      <c r="C28" s="43" t="str">
        <f aca="false">IF(Need_2&lt;&gt;"",Need_2,Monthly_A*Used_Term_A*12-Used_Loan_Amount)</f>
        <v>Choose your mortgage amount to see this</v>
      </c>
      <c r="D28" s="27" t="s">
        <v>217</v>
      </c>
      <c r="E28" s="42" t="s">
        <v>491</v>
      </c>
    </row>
    <row r="29" customFormat="false" ht="15" hidden="false" customHeight="true" outlineLevel="0" collapsed="false">
      <c r="B29" s="25" t="s">
        <v>492</v>
      </c>
      <c r="C29" s="43" t="str">
        <f aca="false">IF(Need_3&lt;&gt;"",Need_3,Monthly_B*Term_B*12-Used_Loan_Amount)</f>
        <v>Choose your term B to see this</v>
      </c>
      <c r="D29" s="27" t="s">
        <v>217</v>
      </c>
      <c r="E29" s="42" t="s">
        <v>493</v>
      </c>
    </row>
    <row r="31" customFormat="false" ht="15" hidden="false" customHeight="true" outlineLevel="0" collapsed="false">
      <c r="B31" s="13" t="s">
        <v>272</v>
      </c>
      <c r="C31" s="14"/>
      <c r="D31" s="14"/>
      <c r="E31" s="14"/>
      <c r="F31" s="14"/>
      <c r="G31" s="14"/>
    </row>
    <row r="32" customFormat="false" ht="13.5" hidden="false" customHeight="true" outlineLevel="0" collapsed="false">
      <c r="B32" s="46" t="s">
        <v>494</v>
      </c>
      <c r="C32" s="46"/>
      <c r="D32" s="46"/>
      <c r="E32" s="46"/>
    </row>
    <row r="33" customFormat="false" ht="13.5" hidden="false" customHeight="true" outlineLevel="0" collapsed="false">
      <c r="B33" s="46" t="s">
        <v>495</v>
      </c>
      <c r="C33" s="46"/>
      <c r="D33" s="46"/>
      <c r="E33" s="46"/>
    </row>
    <row r="34" customFormat="false" ht="13.5" hidden="false" customHeight="true" outlineLevel="0" collapsed="false">
      <c r="B34" s="47" t="s">
        <v>276</v>
      </c>
      <c r="C34" s="47"/>
      <c r="D34" s="47"/>
      <c r="E34" s="47"/>
    </row>
    <row r="35" customFormat="false" ht="13.5" hidden="false" customHeight="true" outlineLevel="0" collapsed="false">
      <c r="B35" s="46" t="s">
        <v>496</v>
      </c>
      <c r="C35" s="46"/>
      <c r="D35" s="46"/>
      <c r="E35" s="46"/>
    </row>
    <row r="36" customFormat="false" ht="13.5" hidden="false" customHeight="true" outlineLevel="0" collapsed="false">
      <c r="B36" s="46" t="s">
        <v>280</v>
      </c>
      <c r="C36" s="46"/>
      <c r="D36" s="46"/>
      <c r="E36" s="46"/>
    </row>
    <row r="38" customFormat="false" ht="15" hidden="false" customHeight="true" outlineLevel="0" collapsed="false">
      <c r="B38" s="13" t="s">
        <v>281</v>
      </c>
      <c r="C38" s="14"/>
      <c r="D38" s="14"/>
      <c r="E38" s="14"/>
      <c r="F38" s="14"/>
      <c r="G38" s="14"/>
    </row>
    <row r="39" customFormat="false" ht="15" hidden="false" customHeight="true" outlineLevel="0" collapsed="false">
      <c r="B39" s="25" t="s">
        <v>282</v>
      </c>
      <c r="C39" s="48" t="str">
        <f aca="false">"No goal"</f>
        <v>No goal</v>
      </c>
      <c r="E39" s="49" t="s">
        <v>471</v>
      </c>
    </row>
    <row r="41" customFormat="false" ht="15" hidden="false" customHeight="true" outlineLevel="0" collapsed="false">
      <c r="B41" s="13" t="s">
        <v>290</v>
      </c>
      <c r="C41" s="14"/>
      <c r="D41" s="14"/>
      <c r="E41" s="14"/>
      <c r="F41" s="14"/>
      <c r="G41" s="14"/>
    </row>
    <row r="42" customFormat="false" ht="15" hidden="false" customHeight="true" outlineLevel="0" collapsed="false">
      <c r="B42" s="52" t="s">
        <v>497</v>
      </c>
      <c r="C42"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term B to see this</v>
      </c>
    </row>
    <row r="43" customFormat="false" ht="15" hidden="false" customHeight="true" outlineLevel="0" collapsed="false">
      <c r="B43" s="52" t="s">
        <v>498</v>
      </c>
      <c r="C43" s="52" t="str">
        <f aca="false">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mortgage amount to see this</v>
      </c>
    </row>
    <row r="44" customFormat="false" ht="15" hidden="false" customHeight="true" outlineLevel="0" collapsed="false">
      <c r="B44" s="52" t="s">
        <v>499</v>
      </c>
      <c r="C44"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statement: rate. Enter your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500</v>
      </c>
      <c r="E1" s="3" t="s">
        <v>501</v>
      </c>
    </row>
    <row r="2" customFormat="false" ht="15" hidden="false" customHeight="true" outlineLevel="0" collapsed="false">
      <c r="B2" s="21" t="s">
        <v>502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503</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504</v>
      </c>
      <c r="C6" s="26"/>
      <c r="D6" s="27" t="s">
        <v>217</v>
      </c>
      <c r="E6" s="28" t="s">
        <v>505</v>
      </c>
      <c r="F6" s="29" t="n">
        <v>1800</v>
      </c>
      <c r="G6" s="30" t="str">
        <f aca="false">IF(ISBLANK(C6),IF(Fill_Example="Yes",F6,""),C6)</f>
        <v/>
      </c>
    </row>
    <row r="7" customFormat="false" ht="15" hidden="false" customHeight="true" outlineLevel="0" collapsed="false">
      <c r="B7" s="25" t="s">
        <v>370</v>
      </c>
      <c r="C7" s="26"/>
      <c r="D7" s="27" t="s">
        <v>217</v>
      </c>
      <c r="E7" s="28" t="s">
        <v>371</v>
      </c>
      <c r="F7" s="29" t="n">
        <v>350000</v>
      </c>
      <c r="G7" s="30" t="str">
        <f aca="false">IF(ISBLANK(C7),IF(Fill_Example="Yes",F7,""),C7)</f>
        <v/>
      </c>
    </row>
    <row r="8" customFormat="false" ht="15" hidden="false" customHeight="true" outlineLevel="0" collapsed="false">
      <c r="B8" s="25" t="s">
        <v>386</v>
      </c>
      <c r="C8" s="26"/>
      <c r="D8" s="27" t="s">
        <v>217</v>
      </c>
      <c r="E8" s="28" t="s">
        <v>506</v>
      </c>
      <c r="F8" s="29" t="n">
        <v>35000</v>
      </c>
      <c r="G8" s="30" t="str">
        <f aca="false">IF(ISBLANK(C8),IF(Fill_Example="Yes",F8,""),C8)</f>
        <v/>
      </c>
    </row>
    <row r="9" customFormat="false" ht="21.75" hidden="false" customHeight="true" outlineLevel="0" collapsed="false">
      <c r="B9" s="25" t="s">
        <v>507</v>
      </c>
      <c r="C9" s="34"/>
      <c r="D9" s="27" t="s">
        <v>228</v>
      </c>
      <c r="E9" s="35" t="s">
        <v>229</v>
      </c>
      <c r="F9" s="36" t="n">
        <v>0.0375</v>
      </c>
      <c r="G9" s="37" t="str">
        <f aca="false">IF(ISBLANK(C9),IF(Fill_Example="Yes",F9,""),C9)</f>
        <v/>
      </c>
    </row>
    <row r="10" customFormat="false" ht="15" hidden="false" customHeight="true" outlineLevel="0" collapsed="false">
      <c r="B10" s="25" t="s">
        <v>230</v>
      </c>
      <c r="C10" s="38"/>
      <c r="D10" s="27" t="s">
        <v>231</v>
      </c>
      <c r="E10" s="28" t="s">
        <v>482</v>
      </c>
      <c r="F10" s="39" t="n">
        <v>30</v>
      </c>
      <c r="G10" s="40" t="str">
        <f aca="false">IF(ISBLANK(C10),IF(Fill_Example="Yes",F10,""),C10)</f>
        <v/>
      </c>
    </row>
    <row r="11" customFormat="false" ht="15" hidden="false" customHeight="true" outlineLevel="0" collapsed="false">
      <c r="B11" s="25" t="s">
        <v>508</v>
      </c>
      <c r="C11" s="38"/>
      <c r="D11" s="27" t="s">
        <v>231</v>
      </c>
      <c r="E11" s="28" t="s">
        <v>236</v>
      </c>
      <c r="F11" s="39" t="n">
        <v>10</v>
      </c>
      <c r="G11" s="40" t="str">
        <f aca="false">IF(ISBLANK(C11),IF(Fill_Example="Yes",F11,""),C11)</f>
        <v/>
      </c>
    </row>
    <row r="12" customFormat="false" ht="21.75" hidden="false" customHeight="true" outlineLevel="0" collapsed="false">
      <c r="B12" s="25" t="s">
        <v>509</v>
      </c>
      <c r="C12" s="34"/>
      <c r="D12" s="27" t="s">
        <v>228</v>
      </c>
      <c r="E12" s="35" t="s">
        <v>510</v>
      </c>
      <c r="F12" s="36" t="n">
        <v>0.02</v>
      </c>
      <c r="G12" s="37" t="str">
        <f aca="false">IF(ISBLANK(C12),IF(Fill_Example="Yes",F12,""),C12)</f>
        <v/>
      </c>
    </row>
    <row r="13" customFormat="false" ht="21.75" hidden="false" customHeight="true" outlineLevel="0" collapsed="false">
      <c r="B13" s="25" t="s">
        <v>511</v>
      </c>
      <c r="C13" s="34"/>
      <c r="D13" s="27" t="s">
        <v>228</v>
      </c>
      <c r="E13" s="35" t="s">
        <v>512</v>
      </c>
      <c r="F13" s="36" t="n">
        <v>0.03</v>
      </c>
      <c r="G13" s="37" t="str">
        <f aca="false">IF(ISBLANK(C13),IF(Fill_Example="Yes",F13,""),C13)</f>
        <v/>
      </c>
    </row>
    <row r="14" customFormat="false" ht="21.75" hidden="false" customHeight="true" outlineLevel="0" collapsed="false">
      <c r="B14" s="25" t="s">
        <v>513</v>
      </c>
      <c r="C14" s="34"/>
      <c r="D14" s="27" t="s">
        <v>228</v>
      </c>
      <c r="E14" s="35" t="s">
        <v>514</v>
      </c>
      <c r="F14" s="36" t="n">
        <v>0.01</v>
      </c>
      <c r="G14" s="37" t="str">
        <f aca="false">IF(ISBLANK(C14),IF(Fill_Example="Yes",F14,""),C14)</f>
        <v/>
      </c>
    </row>
    <row r="15" customFormat="false" ht="21.75" hidden="false" customHeight="true" outlineLevel="0" collapsed="false">
      <c r="B15" s="25" t="s">
        <v>233</v>
      </c>
      <c r="C15" s="26"/>
      <c r="D15" s="27" t="s">
        <v>217</v>
      </c>
      <c r="E15" s="35" t="s">
        <v>234</v>
      </c>
      <c r="F15" s="29" t="n">
        <v>3000</v>
      </c>
      <c r="G15" s="30" t="str">
        <f aca="false">IF(ISBLANK(C15),IF(Fill_Example="Yes",F15,""),C15)</f>
        <v/>
      </c>
    </row>
    <row r="16" customFormat="false" ht="21.75" hidden="false" customHeight="true" outlineLevel="0" collapsed="false">
      <c r="B16" s="25" t="s">
        <v>515</v>
      </c>
      <c r="C16" s="34"/>
      <c r="D16" s="27" t="s">
        <v>228</v>
      </c>
      <c r="E16" s="35" t="s">
        <v>516</v>
      </c>
      <c r="F16" s="36" t="n">
        <v>0.01</v>
      </c>
      <c r="G16" s="37" t="str">
        <f aca="false">IF(ISBLANK(C16),IF(Fill_Example="Yes",F16,""),C16)</f>
        <v/>
      </c>
    </row>
    <row r="17" customFormat="false" ht="15" hidden="false" customHeight="true" outlineLevel="0" collapsed="false">
      <c r="B17" s="25" t="s">
        <v>235</v>
      </c>
      <c r="C17" s="38"/>
      <c r="D17" s="27" t="s">
        <v>231</v>
      </c>
      <c r="E17" s="28" t="s">
        <v>236</v>
      </c>
      <c r="F17" s="39" t="n">
        <v>3</v>
      </c>
      <c r="G17" s="40" t="str">
        <f aca="false">IF(ISBLANK(C17),IF(Fill_Example="Yes",F17,""),C17)</f>
        <v/>
      </c>
    </row>
    <row r="19" customFormat="false" ht="15" hidden="false" customHeight="true" outlineLevel="0" collapsed="false">
      <c r="B19" s="13" t="s">
        <v>239</v>
      </c>
      <c r="C19" s="24" t="s">
        <v>240</v>
      </c>
      <c r="D19" s="24" t="s">
        <v>241</v>
      </c>
      <c r="E19" s="24" t="s">
        <v>242</v>
      </c>
      <c r="F19" s="14"/>
      <c r="G19" s="14"/>
    </row>
    <row r="20" customFormat="false" ht="17.25" hidden="false" customHeight="true" outlineLevel="0" collapsed="false">
      <c r="B20" s="21" t="s">
        <v>517</v>
      </c>
      <c r="C20" s="41" t="str">
        <f aca="false">IF(Need_1&lt;&gt;"",Need_1,Home_Value-Balance_After)</f>
        <v>Choose your home price to see this</v>
      </c>
      <c r="D20" s="27" t="s">
        <v>217</v>
      </c>
      <c r="E20" s="42" t="s">
        <v>518</v>
      </c>
    </row>
    <row r="21" customFormat="false" ht="17.25" hidden="false" customHeight="true" outlineLevel="0" collapsed="false">
      <c r="B21" s="21" t="s">
        <v>519</v>
      </c>
      <c r="C21" s="41" t="str">
        <f aca="false">IF(Need_2&lt;&gt;"",Need_2,IF(Rent_Growth=0,Monthly_Rent*12*Years,Monthly_Rent*12*((1+Rent_Growth)^Years-1)/Rent_Growth))</f>
        <v>Choose your monthly rent to see this</v>
      </c>
      <c r="D21" s="27" t="s">
        <v>217</v>
      </c>
      <c r="E21" s="42" t="s">
        <v>520</v>
      </c>
    </row>
    <row r="22" customFormat="false" ht="17.25" hidden="false" customHeight="true" outlineLevel="0" collapsed="false">
      <c r="B22" s="21" t="s">
        <v>521</v>
      </c>
      <c r="C22" s="41" t="str">
        <f aca="false">IF(Need_3&lt;&gt;"",Need_3,Interest_Paid+Upkeep+Stamp_Duty+Buying_Fees+Opportunity_Cost)</f>
        <v>Choose your home price to see this</v>
      </c>
      <c r="D22" s="27" t="s">
        <v>217</v>
      </c>
      <c r="E22" s="42" t="s">
        <v>522</v>
      </c>
    </row>
    <row r="23" customFormat="false" ht="15" hidden="false" customHeight="true" outlineLevel="0" collapsed="false">
      <c r="B23" s="25" t="s">
        <v>523</v>
      </c>
      <c r="C23" s="43" t="str">
        <f aca="false">IF(Need_4&lt;&gt;"",Need_4,Home_Price*(1+House_Growth)^Years)</f>
        <v>Choose your home price to see this</v>
      </c>
      <c r="D23" s="27" t="s">
        <v>217</v>
      </c>
      <c r="E23" s="42" t="s">
        <v>524</v>
      </c>
    </row>
    <row r="24" customFormat="false" ht="15" hidden="false" customHeight="true" outlineLevel="0" collapsed="false">
      <c r="B24" s="25" t="s">
        <v>525</v>
      </c>
      <c r="C24" s="43" t="str">
        <f aca="false">IF(Need_5&lt;&gt;"",Need_5,MAX(0,Home_Price-Deposit))</f>
        <v>Choose your home price to see this</v>
      </c>
      <c r="D24" s="27" t="s">
        <v>217</v>
      </c>
      <c r="E24" s="42" t="s">
        <v>526</v>
      </c>
    </row>
    <row r="25" customFormat="false" ht="15" hidden="false" customHeight="true" outlineLevel="0" collapsed="false">
      <c r="B25" s="25" t="s">
        <v>311</v>
      </c>
      <c r="C25" s="43" t="str">
        <f aca="false">IF(Need_6&lt;&gt;"",Need_6,PMT(Mortgage_Rate/12,RentBuy_Term*12,-Loan))</f>
        <v>Choose your home price to see this</v>
      </c>
      <c r="D25" s="27" t="s">
        <v>217</v>
      </c>
      <c r="E25" s="42" t="s">
        <v>527</v>
      </c>
    </row>
    <row r="26" customFormat="false" ht="15" hidden="false" customHeight="true" outlineLevel="0" collapsed="false">
      <c r="B26" s="25" t="s">
        <v>528</v>
      </c>
      <c r="C26" s="43" t="str">
        <f aca="false">IF(Need_7&lt;&gt;"",Need_7,MAX(0,-FV(Mortgage_Rate/12,MIN(Years,RentBuy_Term)*12,-Monthly_Repayment,Loan)))</f>
        <v>Choose your home price to see this</v>
      </c>
      <c r="D26" s="27" t="s">
        <v>217</v>
      </c>
      <c r="E26" s="42" t="s">
        <v>529</v>
      </c>
    </row>
    <row r="27" customFormat="false" ht="15" hidden="false" customHeight="true" outlineLevel="0" collapsed="false">
      <c r="B27" s="25" t="s">
        <v>530</v>
      </c>
      <c r="C27" s="43" t="str">
        <f aca="false">IF(Need_7&lt;&gt;"",Need_7,Monthly_Repayment*MIN(Years,RentBuy_Term)*12-(Loan-Balance_After))</f>
        <v>Choose your home price to see this</v>
      </c>
      <c r="D27" s="27" t="s">
        <v>217</v>
      </c>
      <c r="E27" s="42" t="s">
        <v>531</v>
      </c>
    </row>
    <row r="28" customFormat="false" ht="21.75" hidden="false" customHeight="true" outlineLevel="0" collapsed="false">
      <c r="B28" s="25" t="s">
        <v>532</v>
      </c>
      <c r="C28" s="43" t="str">
        <f aca="false">IF(Need_8&lt;&gt;"",Need_8,IF(House_Growth=0,Home_Price*Upkeep_Rate*Years,Home_Price*Upkeep_Rate*((1+House_Growth)^Years-1)/House_Growth))</f>
        <v>Choose your home price to see this</v>
      </c>
      <c r="D28" s="27" t="s">
        <v>217</v>
      </c>
      <c r="E28" s="42" t="s">
        <v>533</v>
      </c>
    </row>
    <row r="29" customFormat="false" ht="21.75" hidden="false" customHeight="true" outlineLevel="0" collapsed="false">
      <c r="B29" s="25" t="s">
        <v>388</v>
      </c>
      <c r="C29" s="43" t="str">
        <f aca="false">IF(Need_9&lt;&gt;"",Need_9,SD_Rate_1*MIN(Home_Price,SD_Band_1)+SD_Rate_2*MAX(0,MIN(Home_Price,SD_Band_2)-SD_Band_1)+SD_Rate_3*MAX(0,Home_Price-SD_Band_2))</f>
        <v>Choose your home price to see this</v>
      </c>
      <c r="D29" s="27" t="s">
        <v>217</v>
      </c>
      <c r="E29" s="42" t="s">
        <v>250</v>
      </c>
    </row>
    <row r="30" customFormat="false" ht="15" hidden="false" customHeight="true" outlineLevel="0" collapsed="false">
      <c r="B30" s="25" t="s">
        <v>534</v>
      </c>
      <c r="C30" s="43" t="str">
        <f aca="false">IF(Need_10&lt;&gt;"",Need_10,Deposit*((1+Opp_Rate)^Years-1))</f>
        <v>Choose your deposit to see this</v>
      </c>
      <c r="D30" s="27" t="s">
        <v>217</v>
      </c>
      <c r="E30" s="42" t="s">
        <v>535</v>
      </c>
    </row>
    <row r="32" customFormat="false" ht="15" hidden="false" customHeight="true" outlineLevel="0" collapsed="false">
      <c r="B32" s="13" t="s">
        <v>272</v>
      </c>
      <c r="C32" s="14"/>
      <c r="D32" s="14"/>
      <c r="E32" s="14"/>
      <c r="F32" s="14"/>
      <c r="G32" s="14"/>
    </row>
    <row r="33" customFormat="false" ht="27.75" hidden="false" customHeight="true" outlineLevel="0" collapsed="false">
      <c r="B33" s="46" t="s">
        <v>536</v>
      </c>
      <c r="C33" s="46"/>
      <c r="D33" s="46"/>
      <c r="E33" s="46"/>
    </row>
    <row r="34" customFormat="false" ht="27.75" hidden="false" customHeight="true" outlineLevel="0" collapsed="false">
      <c r="B34" s="46" t="s">
        <v>537</v>
      </c>
      <c r="C34" s="46"/>
      <c r="D34" s="46"/>
      <c r="E34" s="46"/>
    </row>
    <row r="35" customFormat="false" ht="27.75" hidden="false" customHeight="true" outlineLevel="0" collapsed="false">
      <c r="B35" s="46" t="s">
        <v>538</v>
      </c>
      <c r="C35" s="46"/>
      <c r="D35" s="46"/>
      <c r="E35" s="46"/>
    </row>
    <row r="36" customFormat="false" ht="13.5" hidden="false" customHeight="true" outlineLevel="0" collapsed="false">
      <c r="B36" s="47" t="s">
        <v>276</v>
      </c>
      <c r="C36" s="47"/>
      <c r="D36" s="47"/>
      <c r="E36" s="47"/>
    </row>
    <row r="37" customFormat="false" ht="13.5" hidden="false" customHeight="true" outlineLevel="0" collapsed="false">
      <c r="B37" s="46" t="s">
        <v>539</v>
      </c>
      <c r="C37" s="46"/>
      <c r="D37" s="46"/>
      <c r="E37" s="46"/>
    </row>
    <row r="38" customFormat="false" ht="27.75" hidden="false" customHeight="true" outlineLevel="0" collapsed="false">
      <c r="B38" s="46" t="s">
        <v>540</v>
      </c>
      <c r="C38" s="46"/>
      <c r="D38" s="46"/>
      <c r="E38" s="46"/>
    </row>
    <row r="40" customFormat="false" ht="15" hidden="false" customHeight="true" outlineLevel="0" collapsed="false">
      <c r="B40" s="13" t="s">
        <v>281</v>
      </c>
      <c r="C40" s="14"/>
      <c r="D40" s="14"/>
      <c r="E40" s="14"/>
      <c r="F40" s="14"/>
      <c r="G40" s="14"/>
    </row>
    <row r="41" customFormat="false" ht="15" hidden="false" customHeight="true" outlineLevel="0" collapsed="false">
      <c r="B41" s="25" t="s">
        <v>282</v>
      </c>
      <c r="C41" s="48" t="str">
        <f aca="false">"Buy a home (deposit goal)"</f>
        <v>Buy a home (deposit goal)</v>
      </c>
      <c r="E41" s="49" t="s">
        <v>283</v>
      </c>
    </row>
    <row r="42" customFormat="false" ht="15" hidden="false" customHeight="true" outlineLevel="0" collapsed="false">
      <c r="B42" s="25" t="s">
        <v>395</v>
      </c>
      <c r="C42" s="50" t="str">
        <f aca="false">IF(Need_11&lt;&gt;"",Need_11,ROUND(Deposit+Stamp_Duty+Buying_Fees,0))</f>
        <v>Choose your home price to see this</v>
      </c>
      <c r="E42" s="49" t="s">
        <v>541</v>
      </c>
    </row>
    <row r="43" customFormat="false" ht="15" hidden="false" customHeight="true" outlineLevel="0" collapsed="false">
      <c r="B43" s="25" t="s">
        <v>288</v>
      </c>
      <c r="C43" s="51" t="str">
        <f aca="false">IF(Need_12&lt;&gt;"",Need_12,Home_Goal_Years)</f>
        <v>Choose your years until you buy to see this</v>
      </c>
      <c r="E43" s="49" t="s">
        <v>289</v>
      </c>
    </row>
    <row r="45" customFormat="false" ht="15" hidden="false" customHeight="true" outlineLevel="0" collapsed="false">
      <c r="B45" s="13" t="s">
        <v>290</v>
      </c>
      <c r="C45" s="14"/>
      <c r="D45" s="14"/>
      <c r="E45" s="14"/>
      <c r="F45" s="14"/>
      <c r="G45" s="14"/>
    </row>
    <row r="46" customFormat="false" ht="15" hidden="false" customHeight="true" outlineLevel="0" collapsed="false">
      <c r="B46" s="52" t="s">
        <v>542</v>
      </c>
      <c r="C46"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f>
        <v>Choose your home price to see this</v>
      </c>
    </row>
    <row r="47" customFormat="false" ht="15" hidden="false" customHeight="true" outlineLevel="0" collapsed="false">
      <c r="B47" s="52" t="s">
        <v>543</v>
      </c>
      <c r="C47" s="52" t="str">
        <f aca="false">IF(Monthly_Rent="","Choose your monthly rent to see this",IF(Years="","Choose your years to compare to see this",IF(Rent_Growth="","Choose your rent rise to see this","")))</f>
        <v>Choose your monthly rent to see this</v>
      </c>
    </row>
    <row r="48" customFormat="false" ht="15" hidden="false" customHeight="true" outlineLevel="0" collapsed="false">
      <c r="B48" s="52" t="s">
        <v>544</v>
      </c>
      <c r="C48"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this",IF(Upkeep_Rate="","Choose your upkeep rate to see this",IF(Buying_Fees="","Choose your buying fees to see this",IF(Opp_Rate="","Choose your deposit earnings rate to see this","")))))))))</f>
        <v>Choose your home price to see this</v>
      </c>
    </row>
    <row r="49" customFormat="false" ht="15" hidden="false" customHeight="true" outlineLevel="0" collapsed="false">
      <c r="B49" s="52" t="s">
        <v>545</v>
      </c>
      <c r="C49" s="52" t="str">
        <f aca="false">IF(Home_Price="","Choose your home price to see this",IF(Years="","Choose your years to compare to see this",IF(House_Growth="","Choose your house price growth to see this","")))</f>
        <v>Choose your home price to see this</v>
      </c>
    </row>
    <row r="50" customFormat="false" ht="15" hidden="false" customHeight="true" outlineLevel="0" collapsed="false">
      <c r="B50" s="52" t="s">
        <v>546</v>
      </c>
      <c r="C50" s="52" t="str">
        <f aca="false">IF(Home_Price="","Choose your home price to see this",IF(Deposit="","Choose your deposit to see this",""))</f>
        <v>Choose your home price to see this</v>
      </c>
    </row>
    <row r="51" customFormat="false" ht="15" hidden="false" customHeight="true" outlineLevel="0" collapsed="false">
      <c r="B51" s="52" t="s">
        <v>547</v>
      </c>
      <c r="C51" s="52" t="str">
        <f aca="false">IF(Home_Price="","Choose your home price to see this",IF(Deposit="","Choose your deposit to see this",IF(Mortgage_Rate="","Choose your mortgage rate to see this",IF(RentBuy_Term="","Choose your mortgage term to see this",""))))</f>
        <v>Choose your home price to see this</v>
      </c>
    </row>
    <row r="52" customFormat="false" ht="15" hidden="false" customHeight="true" outlineLevel="0" collapsed="false">
      <c r="B52" s="52" t="s">
        <v>548</v>
      </c>
      <c r="C52" s="52" t="str">
        <f aca="false">IF(Home_Price="","Choose your home price to see this",IF(Deposit="","Choose your deposit to see this",IF(Mortgage_Rate="","Choose your mortgage rate to see this",IF(RentBuy_Term="","Choose your mortgage term to see this",IF(Years="","Choose your years to compare to see this","")))))</f>
        <v>Choose your home price to see this</v>
      </c>
    </row>
    <row r="53" customFormat="false" ht="15" hidden="false" customHeight="true" outlineLevel="0" collapsed="false">
      <c r="B53" s="52" t="s">
        <v>549</v>
      </c>
      <c r="C53" s="52" t="str">
        <f aca="false">IF(Home_Price="","Choose your home price to see this",IF(Years="","Choose your years to compare to see this",IF(House_Growth="","Choose your house price growth to see this",IF(Upkeep_Rate="","Choose your upkeep rate to see this",""))))</f>
        <v>Choose your home price to see this</v>
      </c>
    </row>
    <row r="54" customFormat="false" ht="15" hidden="false" customHeight="true" outlineLevel="0" collapsed="false">
      <c r="B54" s="52" t="s">
        <v>403</v>
      </c>
      <c r="C54" s="52" t="str">
        <f aca="false">IF(Home_Price="","Choose your home price to see this","")</f>
        <v>Choose your home price to see this</v>
      </c>
    </row>
    <row r="55" customFormat="false" ht="15" hidden="false" customHeight="true" outlineLevel="0" collapsed="false">
      <c r="B55" s="52" t="s">
        <v>550</v>
      </c>
      <c r="C55" s="52" t="str">
        <f aca="false">IF(Deposit="","Choose your deposit to see this",IF(Years="","Choose your years to compare to see this",IF(Opp_Rate="","Choose your deposit earnings rate to see this","")))</f>
        <v>Choose your deposit to see this</v>
      </c>
    </row>
    <row r="56" customFormat="false" ht="15" hidden="false" customHeight="true" outlineLevel="0" collapsed="false">
      <c r="B56" s="52" t="s">
        <v>551</v>
      </c>
      <c r="C56" s="52" t="str">
        <f aca="false">IF(Home_Price="","Choose your home price to see this",IF(Deposit="","Choose your deposit to see this",IF(Buying_Fees="","Choose your buying fees to see this","")))</f>
        <v>Choose your home price to see this</v>
      </c>
    </row>
    <row r="57" customFormat="false" ht="15" hidden="false" customHeight="true" outlineLevel="0" collapsed="false">
      <c r="B57" s="52" t="s">
        <v>297</v>
      </c>
      <c r="C57" s="52" t="str">
        <f aca="false">IF(Home_Goal_Years="","Choose your years until you buy to see this","")</f>
        <v>Choose your years until you buy to see this</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Usually between €2,500 and €3,500 for legal and survey fees (stamp duty is added for you). Enter your own figure.  Allowed: €0 to €10,000 · steps of €100." promptTitle="Legal and other buying fees" showDropDown="false" showErrorMessage="true" showInputMessage="true" sqref="C15"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Enter your own figure.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Usually between about 1.3% and 1.5% a year after 33% DIRT (fixed-term deposits paid about 2%–2.3% before tax in mid-2026). Enter your own figure.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552</v>
      </c>
      <c r="E1" s="3" t="s">
        <v>553</v>
      </c>
    </row>
    <row r="2" customFormat="false" ht="15" hidden="false" customHeight="true" outlineLevel="0" collapsed="false">
      <c r="B2" s="21" t="s">
        <v>554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555</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212</v>
      </c>
      <c r="C9" s="24" t="s">
        <v>213</v>
      </c>
      <c r="D9" s="24" t="s">
        <v>214</v>
      </c>
      <c r="E9" s="24" t="s">
        <v>215</v>
      </c>
      <c r="F9" s="14"/>
      <c r="G9" s="14"/>
    </row>
    <row r="10" customFormat="false" ht="15" hidden="false" customHeight="true" outlineLevel="0" collapsed="false">
      <c r="B10" s="25" t="s">
        <v>560</v>
      </c>
      <c r="C10" s="26"/>
      <c r="D10" s="27" t="s">
        <v>217</v>
      </c>
      <c r="E10" s="28" t="s">
        <v>561</v>
      </c>
      <c r="F10" s="29" t="n">
        <v>15000</v>
      </c>
      <c r="G10" s="30" t="str">
        <f aca="false">IF(ISBLANK(C10),IF(Fill_Example="Yes",F10,""),C10)</f>
        <v/>
      </c>
    </row>
    <row r="11" customFormat="false" ht="15" hidden="false" customHeight="true" outlineLevel="0" collapsed="false">
      <c r="B11" s="25" t="s">
        <v>562</v>
      </c>
      <c r="C11" s="38"/>
      <c r="D11" s="27" t="s">
        <v>231</v>
      </c>
      <c r="E11" s="28" t="s">
        <v>236</v>
      </c>
      <c r="F11" s="39" t="n">
        <v>3</v>
      </c>
      <c r="G11" s="40" t="str">
        <f aca="false">IF(ISBLANK(C11),IF(Fill_Example="Yes",F11,""),C11)</f>
        <v/>
      </c>
    </row>
    <row r="12" customFormat="false" ht="15" hidden="false" customHeight="true" outlineLevel="0" collapsed="false">
      <c r="B12" s="25" t="s">
        <v>286</v>
      </c>
      <c r="C12" s="26"/>
      <c r="D12" s="27" t="s">
        <v>217</v>
      </c>
      <c r="E12" s="28" t="s">
        <v>563</v>
      </c>
      <c r="F12" s="29" t="n">
        <v>2000</v>
      </c>
      <c r="G12" s="30" t="str">
        <f aca="false">IF(ISBLANK(C12),IF(Fill_Example="Yes",F12,""),C12)</f>
        <v/>
      </c>
    </row>
    <row r="13" customFormat="false" ht="21.75" hidden="false" customHeight="true" outlineLevel="0" collapsed="false">
      <c r="B13" s="25" t="s">
        <v>564</v>
      </c>
      <c r="C13" s="34"/>
      <c r="D13" s="27" t="s">
        <v>228</v>
      </c>
      <c r="E13" s="35" t="s">
        <v>565</v>
      </c>
      <c r="F13" s="36" t="n">
        <v>0.01</v>
      </c>
      <c r="G13" s="37" t="str">
        <f aca="false">IF(ISBLANK(C13),IF(Fill_Example="Yes",F13,""),C13)</f>
        <v/>
      </c>
    </row>
    <row r="15" customFormat="false" ht="15" hidden="false" customHeight="true" outlineLevel="0" collapsed="false">
      <c r="B15" s="13" t="s">
        <v>239</v>
      </c>
      <c r="C15" s="24" t="s">
        <v>240</v>
      </c>
      <c r="D15" s="24" t="s">
        <v>241</v>
      </c>
      <c r="E15" s="24" t="s">
        <v>242</v>
      </c>
      <c r="F15" s="14"/>
      <c r="G15" s="14"/>
    </row>
    <row r="16" customFormat="false" ht="17.25" hidden="false" customHeight="true" outlineLevel="0" collapsed="false">
      <c r="B16" s="21" t="s">
        <v>566</v>
      </c>
      <c r="C16" s="41" t="str">
        <f aca="false">IF(Need_1&lt;&gt;"",Need_1,IF(Inflation_Choice="","Choose your inflation rate to see this",PMT(Monthly_Growth,Years*12,0,-Still_Needed)))</f>
        <v>Choose your inflation rate to see this</v>
      </c>
      <c r="D16" s="27" t="s">
        <v>217</v>
      </c>
      <c r="E16" s="42" t="s">
        <v>567</v>
      </c>
    </row>
    <row r="17" customFormat="false" ht="17.25" hidden="false" customHeight="true" outlineLevel="0" collapsed="false">
      <c r="B17" s="21" t="s">
        <v>568</v>
      </c>
      <c r="C17" s="41" t="str">
        <f aca="false">IF(Need_2&lt;&gt;"",Need_2,IF(Inflation_Choice="","Choose your inflation rate to see this",Goal_Amount*(1+Inflation_Choice)^Years))</f>
        <v>Choose your inflation rate to see this</v>
      </c>
      <c r="D17" s="27" t="s">
        <v>217</v>
      </c>
      <c r="E17" s="42" t="s">
        <v>569</v>
      </c>
    </row>
    <row r="18" customFormat="false" ht="15" hidden="false" customHeight="true" outlineLevel="0" collapsed="false">
      <c r="B18" s="25" t="s">
        <v>570</v>
      </c>
      <c r="C18" s="43" t="str">
        <f aca="false">IF(Need_3&lt;&gt;"",Need_3,Saved*(1+Growth_Rate)^Years)</f>
        <v>Choose your years until the goal to see this</v>
      </c>
      <c r="D18" s="27" t="s">
        <v>217</v>
      </c>
      <c r="E18" s="42" t="s">
        <v>571</v>
      </c>
    </row>
    <row r="19" customFormat="false" ht="15" hidden="false" customHeight="true" outlineLevel="0" collapsed="false">
      <c r="B19" s="25" t="s">
        <v>572</v>
      </c>
      <c r="C19" s="43" t="str">
        <f aca="false">IF(Need_1&lt;&gt;"",Need_1,IF(Inflation_Choice="","Choose your inflation rate to see this",MAX(0,Future_Cost-Saved_Grows_To)))</f>
        <v>Choose your inflation rate to see this</v>
      </c>
      <c r="D19" s="27" t="s">
        <v>217</v>
      </c>
      <c r="E19" s="42" t="s">
        <v>573</v>
      </c>
    </row>
    <row r="20" customFormat="false" ht="15" hidden="false" customHeight="true" outlineLevel="0" collapsed="false">
      <c r="B20" s="25" t="s">
        <v>574</v>
      </c>
      <c r="C20" s="64" t="str">
        <f aca="false">IF(Need_4&lt;&gt;"",Need_4,(1+Growth_Rate)^(1/12)-1)</f>
        <v>Choose your growth rate to see this</v>
      </c>
      <c r="D20" s="27"/>
      <c r="E20" s="42" t="s">
        <v>575</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272</v>
      </c>
      <c r="C23" s="14"/>
      <c r="D23" s="14"/>
      <c r="E23" s="14"/>
      <c r="F23" s="14"/>
      <c r="G23" s="14"/>
    </row>
    <row r="24" customFormat="false" ht="13.5" hidden="false" customHeight="true" outlineLevel="0" collapsed="false">
      <c r="B24" s="46" t="s">
        <v>576</v>
      </c>
      <c r="C24" s="46"/>
      <c r="D24" s="46"/>
      <c r="E24" s="46"/>
    </row>
    <row r="25" customFormat="false" ht="13.5" hidden="false" customHeight="true" outlineLevel="0" collapsed="false">
      <c r="B25" s="46" t="s">
        <v>577</v>
      </c>
      <c r="C25" s="46"/>
      <c r="D25" s="46"/>
      <c r="E25" s="46"/>
    </row>
    <row r="26" customFormat="false" ht="13.5" hidden="false" customHeight="true" outlineLevel="0" collapsed="false">
      <c r="B26" s="46" t="s">
        <v>578</v>
      </c>
      <c r="C26" s="46"/>
      <c r="D26" s="46"/>
      <c r="E26" s="46"/>
    </row>
    <row r="27" customFormat="false" ht="13.5" hidden="false" customHeight="true" outlineLevel="0" collapsed="false">
      <c r="B27" s="47" t="s">
        <v>276</v>
      </c>
      <c r="C27" s="47"/>
      <c r="D27" s="47"/>
      <c r="E27" s="47"/>
    </row>
    <row r="28" customFormat="false" ht="13.5" hidden="false" customHeight="true" outlineLevel="0" collapsed="false">
      <c r="B28" s="46" t="s">
        <v>579</v>
      </c>
      <c r="C28" s="46"/>
      <c r="D28" s="46"/>
      <c r="E28" s="46"/>
    </row>
    <row r="29" customFormat="false" ht="13.5" hidden="false" customHeight="true" outlineLevel="0" collapsed="false">
      <c r="B29" s="46" t="s">
        <v>580</v>
      </c>
      <c r="C29" s="46"/>
      <c r="D29" s="46"/>
      <c r="E29" s="46"/>
    </row>
    <row r="31" customFormat="false" ht="15" hidden="false" customHeight="true" outlineLevel="0" collapsed="false">
      <c r="B31" s="13" t="s">
        <v>281</v>
      </c>
      <c r="C31" s="14"/>
      <c r="D31" s="14"/>
      <c r="E31" s="14"/>
      <c r="F31" s="14"/>
      <c r="G31" s="14"/>
    </row>
    <row r="32" customFormat="false" ht="15" hidden="false" customHeight="true" outlineLevel="0" collapsed="false">
      <c r="B32" s="25" t="s">
        <v>282</v>
      </c>
      <c r="C32" s="48" t="str">
        <f aca="false">"My goal (spend goal)"</f>
        <v>My goal (spend goal)</v>
      </c>
      <c r="E32" s="49" t="s">
        <v>581</v>
      </c>
    </row>
    <row r="33" customFormat="false" ht="15" hidden="false" customHeight="true" outlineLevel="0" collapsed="false">
      <c r="B33" s="25" t="s">
        <v>582</v>
      </c>
      <c r="C33" s="50" t="str">
        <f aca="false">IF(Need_5&lt;&gt;"",Need_5,Goal_Amount)</f>
        <v>Choose your goal amount to see this</v>
      </c>
      <c r="E33" s="49" t="s">
        <v>583</v>
      </c>
    </row>
    <row r="34" customFormat="false" ht="15" hidden="false" customHeight="true" outlineLevel="0" collapsed="false">
      <c r="B34" s="25" t="s">
        <v>286</v>
      </c>
      <c r="C34" s="50" t="str">
        <f aca="false">IF(Need_6&lt;&gt;"",Need_6,Saved)</f>
        <v>Choose your already saved to see this</v>
      </c>
      <c r="E34" s="49" t="s">
        <v>397</v>
      </c>
    </row>
    <row r="35" customFormat="false" ht="15" hidden="false" customHeight="true" outlineLevel="0" collapsed="false">
      <c r="B35" s="25" t="s">
        <v>288</v>
      </c>
      <c r="C35" s="51" t="str">
        <f aca="false">IF(Need_7&lt;&gt;"",Need_7,Years)</f>
        <v>Choose your years until the goal to see this</v>
      </c>
      <c r="E35" s="49" t="s">
        <v>584</v>
      </c>
    </row>
    <row r="36" customFormat="false" ht="15" hidden="false" customHeight="true" outlineLevel="0" collapsed="false">
      <c r="B36" s="25" t="s">
        <v>585</v>
      </c>
      <c r="C36" s="69" t="str">
        <f aca="false">IF(Inflation_Choice="","Choose an inflation rate first",Inflation_Choice)</f>
        <v>Choose an inflation rate first</v>
      </c>
      <c r="E36" s="49" t="s">
        <v>586</v>
      </c>
    </row>
    <row r="38" customFormat="false" ht="15" hidden="false" customHeight="true" outlineLevel="0" collapsed="false">
      <c r="B38" s="13" t="s">
        <v>290</v>
      </c>
      <c r="C38" s="14"/>
      <c r="D38" s="14"/>
      <c r="E38" s="14"/>
      <c r="F38" s="14"/>
      <c r="G38" s="14"/>
    </row>
    <row r="39" customFormat="false" ht="15" hidden="false" customHeight="true" outlineLevel="0" collapsed="false">
      <c r="B39" s="52" t="s">
        <v>587</v>
      </c>
      <c r="C39" s="52" t="str">
        <f aca="false">IF(Inflation_Choice="","Choose your inflation rate to see this",IF(Goal_Amount="","Choose your goal amount to see this",IF(Years="","Choose your years until the goal to see this",IF(Saved="","Choose your already saved to see this",IF(Growth_Rate="","Choose your growth rate to see this","")))))</f>
        <v>Choose your inflation rate to see this</v>
      </c>
    </row>
    <row r="40" customFormat="false" ht="15" hidden="false" customHeight="true" outlineLevel="0" collapsed="false">
      <c r="B40" s="52" t="s">
        <v>588</v>
      </c>
      <c r="C40" s="52" t="str">
        <f aca="false">IF(Inflation_Choice="","Choose your inflation rate to see this",IF(Goal_Amount="","Choose your goal amount to see this",IF(Years="","Choose your years until the goal to see this","")))</f>
        <v>Choose your inflation rate to see this</v>
      </c>
    </row>
    <row r="41" customFormat="false" ht="15" hidden="false" customHeight="true" outlineLevel="0" collapsed="false">
      <c r="B41" s="52" t="s">
        <v>589</v>
      </c>
      <c r="C41" s="52" t="str">
        <f aca="false">IF(Years="","Choose your years until the goal to see this",IF(Saved="","Choose your already saved to see this",IF(Growth_Rate="","Choose your growth rate to see this","")))</f>
        <v>Choose your years until the goal to see this</v>
      </c>
    </row>
    <row r="42" customFormat="false" ht="15" hidden="false" customHeight="true" outlineLevel="0" collapsed="false">
      <c r="B42" s="52" t="s">
        <v>590</v>
      </c>
      <c r="C42" s="52" t="str">
        <f aca="false">IF(Growth_Rate="","Choose your growth rate to see this","")</f>
        <v>Choose your growth rate to see this</v>
      </c>
    </row>
    <row r="43" customFormat="false" ht="15" hidden="false" customHeight="true" outlineLevel="0" collapsed="false">
      <c r="B43" s="52" t="s">
        <v>591</v>
      </c>
      <c r="C43" s="52" t="str">
        <f aca="false">IF(Goal_Amount="","Choose your goal amount to see this","")</f>
        <v>Choose your goal amount to see this</v>
      </c>
    </row>
    <row r="44" customFormat="false" ht="15" hidden="false" customHeight="true" outlineLevel="0" collapsed="false">
      <c r="B44" s="52" t="s">
        <v>592</v>
      </c>
      <c r="C44" s="52" t="str">
        <f aca="false">IF(Saved="","Choose your already saved to see this","")</f>
        <v>Choose your already saved to see this</v>
      </c>
    </row>
    <row r="45" customFormat="false" ht="15" hidden="false" customHeight="true" outlineLevel="0" collapsed="false">
      <c r="B45" s="52" t="s">
        <v>593</v>
      </c>
      <c r="C45" s="52"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594</v>
      </c>
      <c r="E1" s="3" t="s">
        <v>595</v>
      </c>
    </row>
    <row r="2" customFormat="false" ht="15" hidden="false" customHeight="true" outlineLevel="0" collapsed="false">
      <c r="B2" s="21" t="s">
        <v>596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597</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212</v>
      </c>
      <c r="C9" s="24" t="s">
        <v>213</v>
      </c>
      <c r="D9" s="24" t="s">
        <v>214</v>
      </c>
      <c r="E9" s="24" t="s">
        <v>215</v>
      </c>
      <c r="F9" s="14"/>
      <c r="G9" s="14"/>
    </row>
    <row r="10" customFormat="false" ht="15" hidden="false" customHeight="true" outlineLevel="0" collapsed="false">
      <c r="B10" s="25" t="s">
        <v>598</v>
      </c>
      <c r="C10" s="26"/>
      <c r="D10" s="27" t="s">
        <v>217</v>
      </c>
      <c r="E10" s="28" t="s">
        <v>563</v>
      </c>
      <c r="F10" s="29" t="n">
        <v>5000</v>
      </c>
      <c r="G10" s="30" t="str">
        <f aca="false">IF(ISBLANK(C10),IF(Fill_Example="Yes",F10,""),C10)</f>
        <v/>
      </c>
    </row>
    <row r="11" customFormat="false" ht="15" hidden="false" customHeight="true" outlineLevel="0" collapsed="false">
      <c r="B11" s="25" t="s">
        <v>599</v>
      </c>
      <c r="C11" s="26"/>
      <c r="D11" s="27" t="s">
        <v>217</v>
      </c>
      <c r="E11" s="28" t="s">
        <v>600</v>
      </c>
      <c r="F11" s="29" t="n">
        <v>200</v>
      </c>
      <c r="G11" s="30" t="str">
        <f aca="false">IF(ISBLANK(C11),IF(Fill_Example="Yes",F11,""),C11)</f>
        <v/>
      </c>
    </row>
    <row r="12" customFormat="false" ht="21.75" hidden="false" customHeight="true" outlineLevel="0" collapsed="false">
      <c r="B12" s="25" t="s">
        <v>601</v>
      </c>
      <c r="C12" s="34"/>
      <c r="D12" s="27" t="s">
        <v>228</v>
      </c>
      <c r="E12" s="35" t="s">
        <v>602</v>
      </c>
      <c r="F12" s="36" t="n">
        <v>0.05</v>
      </c>
      <c r="G12" s="37" t="str">
        <f aca="false">IF(ISBLANK(C12),IF(Fill_Example="Yes",F12,""),C12)</f>
        <v/>
      </c>
    </row>
    <row r="13" customFormat="false" ht="15" hidden="false" customHeight="true" outlineLevel="0" collapsed="false">
      <c r="B13" s="25" t="s">
        <v>603</v>
      </c>
      <c r="C13" s="38"/>
      <c r="D13" s="27" t="s">
        <v>231</v>
      </c>
      <c r="E13" s="28" t="s">
        <v>604</v>
      </c>
      <c r="F13" s="39" t="n">
        <v>20</v>
      </c>
      <c r="G13" s="40" t="str">
        <f aca="false">IF(ISBLANK(C13),IF(Fill_Example="Yes",F13,""),C13)</f>
        <v/>
      </c>
    </row>
    <row r="15" customFormat="false" ht="15" hidden="false" customHeight="true" outlineLevel="0" collapsed="false">
      <c r="B15" s="13" t="s">
        <v>239</v>
      </c>
      <c r="C15" s="24" t="s">
        <v>240</v>
      </c>
      <c r="D15" s="24" t="s">
        <v>241</v>
      </c>
      <c r="E15" s="24" t="s">
        <v>242</v>
      </c>
      <c r="F15" s="14"/>
      <c r="G15" s="14"/>
    </row>
    <row r="16" customFormat="false" ht="17.25" hidden="false" customHeight="true" outlineLevel="0" collapsed="false">
      <c r="B16" s="21" t="s">
        <v>605</v>
      </c>
      <c r="C16" s="41" t="str">
        <f aca="false">IF(Need_1&lt;&gt;"",Need_1,FV(Monthly_Growth,Years*12,-Monthly_Addition,-Starting_Amount))</f>
        <v>Choose your starting amount to see this</v>
      </c>
      <c r="D16" s="27" t="s">
        <v>217</v>
      </c>
      <c r="E16" s="42" t="s">
        <v>606</v>
      </c>
    </row>
    <row r="17" customFormat="false" ht="17.25" hidden="false" customHeight="true" outlineLevel="0" collapsed="false">
      <c r="B17" s="21" t="s">
        <v>607</v>
      </c>
      <c r="C17" s="41" t="str">
        <f aca="false">IF(Need_2&lt;&gt;"",Need_2,IF(Inflation_Choice="","Choose your inflation rate to see this",Grows_To/(1+Inflation_Choice)^Years))</f>
        <v>Choose your inflation rate to see this</v>
      </c>
      <c r="D17" s="27" t="s">
        <v>217</v>
      </c>
      <c r="E17" s="42" t="s">
        <v>608</v>
      </c>
    </row>
    <row r="18" customFormat="false" ht="15" hidden="false" customHeight="true" outlineLevel="0" collapsed="false">
      <c r="B18" s="25" t="s">
        <v>609</v>
      </c>
      <c r="C18" s="43" t="str">
        <f aca="false">IF(Need_3&lt;&gt;"",Need_3,Starting_Amount+Monthly_Addition*12*Years)</f>
        <v>Choose your starting amount to see this</v>
      </c>
      <c r="D18" s="27" t="s">
        <v>217</v>
      </c>
      <c r="E18" s="42" t="s">
        <v>610</v>
      </c>
    </row>
    <row r="19" customFormat="false" ht="15" hidden="false" customHeight="true" outlineLevel="0" collapsed="false">
      <c r="B19" s="25" t="s">
        <v>611</v>
      </c>
      <c r="C19" s="43" t="str">
        <f aca="false">IF(Need_1&lt;&gt;"",Need_1,Grows_To-Paid_In)</f>
        <v>Choose your starting amount to see this</v>
      </c>
      <c r="D19" s="27" t="s">
        <v>217</v>
      </c>
      <c r="E19" s="42" t="s">
        <v>612</v>
      </c>
    </row>
    <row r="20" customFormat="false" ht="15" hidden="false" customHeight="true" outlineLevel="0" collapsed="false">
      <c r="B20" s="25" t="s">
        <v>574</v>
      </c>
      <c r="C20" s="64" t="str">
        <f aca="false">IF(Need_4&lt;&gt;"",Need_4,(1+Growth_Rate)^(1/12)-1)</f>
        <v>Choose your growth rate to see this</v>
      </c>
      <c r="D20" s="27"/>
      <c r="E20" s="42" t="s">
        <v>575</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272</v>
      </c>
      <c r="C23" s="14"/>
      <c r="D23" s="14"/>
      <c r="E23" s="14"/>
      <c r="F23" s="14"/>
      <c r="G23" s="14"/>
    </row>
    <row r="24" customFormat="false" ht="27.75" hidden="false" customHeight="true" outlineLevel="0" collapsed="false">
      <c r="B24" s="46" t="s">
        <v>613</v>
      </c>
      <c r="C24" s="46"/>
      <c r="D24" s="46"/>
      <c r="E24" s="46"/>
    </row>
    <row r="25" customFormat="false" ht="13.5" hidden="false" customHeight="true" outlineLevel="0" collapsed="false">
      <c r="B25" s="46" t="s">
        <v>614</v>
      </c>
      <c r="C25" s="46"/>
      <c r="D25" s="46"/>
      <c r="E25" s="46"/>
    </row>
    <row r="26" customFormat="false" ht="13.5" hidden="false" customHeight="true" outlineLevel="0" collapsed="false">
      <c r="B26" s="47" t="s">
        <v>276</v>
      </c>
      <c r="C26" s="47"/>
      <c r="D26" s="47"/>
      <c r="E26" s="47"/>
    </row>
    <row r="27" customFormat="false" ht="13.5" hidden="false" customHeight="true" outlineLevel="0" collapsed="false">
      <c r="B27" s="46" t="s">
        <v>615</v>
      </c>
      <c r="C27" s="46"/>
      <c r="D27" s="46"/>
      <c r="E27" s="46"/>
    </row>
    <row r="28" customFormat="false" ht="13.5" hidden="false" customHeight="true" outlineLevel="0" collapsed="false">
      <c r="B28" s="46" t="s">
        <v>616</v>
      </c>
      <c r="C28" s="46"/>
      <c r="D28" s="46"/>
      <c r="E28" s="46"/>
    </row>
    <row r="30" customFormat="false" ht="15" hidden="false" customHeight="true" outlineLevel="0" collapsed="false">
      <c r="B30" s="13" t="s">
        <v>281</v>
      </c>
      <c r="C30" s="14"/>
      <c r="D30" s="14"/>
      <c r="E30" s="14"/>
      <c r="F30" s="14"/>
      <c r="G30" s="14"/>
    </row>
    <row r="31" customFormat="false" ht="15" hidden="false" customHeight="true" outlineLevel="0" collapsed="false">
      <c r="B31" s="25" t="s">
        <v>282</v>
      </c>
      <c r="C31" s="48" t="str">
        <f aca="false">"Grow my wealth (plan kind pot)"</f>
        <v>Grow my wealth (plan kind pot)</v>
      </c>
      <c r="E31" s="49" t="s">
        <v>617</v>
      </c>
    </row>
    <row r="32" customFormat="false" ht="15" hidden="false" customHeight="true" outlineLevel="0" collapsed="false">
      <c r="B32" s="25" t="s">
        <v>618</v>
      </c>
      <c r="C32" s="50" t="str">
        <f aca="false">IF(Need_1&lt;&gt;"",Need_1,IF(Inflation_Choice="","Choose an inflation rate first",ROUND(Value_Today,0)))</f>
        <v>Choose your starting amount to see this</v>
      </c>
      <c r="E32" s="49" t="s">
        <v>619</v>
      </c>
    </row>
    <row r="33" customFormat="false" ht="15" hidden="false" customHeight="true" outlineLevel="0" collapsed="false">
      <c r="B33" s="25" t="s">
        <v>288</v>
      </c>
      <c r="C33" s="51" t="str">
        <f aca="false">IF(Need_5&lt;&gt;"",Need_5,Years)</f>
        <v>Choose your years to see this</v>
      </c>
      <c r="E33" s="49" t="s">
        <v>584</v>
      </c>
    </row>
    <row r="34" customFormat="false" ht="15" hidden="false" customHeight="true" outlineLevel="0" collapsed="false">
      <c r="B34" s="25" t="s">
        <v>585</v>
      </c>
      <c r="C34" s="69" t="str">
        <f aca="false">IF(Inflation_Choice="","Choose an inflation rate first",Inflation_Choice)</f>
        <v>Choose an inflation rate first</v>
      </c>
      <c r="E34" s="49" t="s">
        <v>586</v>
      </c>
    </row>
    <row r="35" customFormat="false" ht="13.5" hidden="false" customHeight="true" outlineLevel="0" collapsed="false">
      <c r="B35" s="53" t="s">
        <v>620</v>
      </c>
      <c r="C35" s="53"/>
      <c r="D35" s="53"/>
      <c r="E35" s="53"/>
    </row>
    <row r="37" customFormat="false" ht="15" hidden="false" customHeight="true" outlineLevel="0" collapsed="false">
      <c r="B37" s="13" t="s">
        <v>290</v>
      </c>
      <c r="C37" s="14"/>
      <c r="D37" s="14"/>
      <c r="E37" s="14"/>
      <c r="F37" s="14"/>
      <c r="G37" s="14"/>
    </row>
    <row r="38" customFormat="false" ht="15" hidden="false" customHeight="true" outlineLevel="0" collapsed="false">
      <c r="B38" s="52" t="s">
        <v>621</v>
      </c>
      <c r="C38" s="52" t="str">
        <f aca="false">IF(Starting_Amount="","Choose your starting amount to see this",IF(Monthly_Addition="","Choose your monthly addition to see this",IF(Growth_Rate="","Choose your growth rate to see this",IF(Years="","Choose your years to see this",""))))</f>
        <v>Choose your starting amount to see this</v>
      </c>
    </row>
    <row r="39" customFormat="false" ht="15" hidden="false" customHeight="true" outlineLevel="0" collapsed="false">
      <c r="B39" s="52" t="s">
        <v>622</v>
      </c>
      <c r="C39" s="52" t="str">
        <f aca="false">IF(Inflation_Choice="","Choose your inflation rate to see this",IF(Starting_Amount="","Choose your starting amount to see this",IF(Monthly_Addition="","Choose your monthly addition to see this",IF(Growth_Rate="","Choose your growth rate to see this",IF(Years="","Choose your years to see this","")))))</f>
        <v>Choose your inflation rate to see this</v>
      </c>
    </row>
    <row r="40" customFormat="false" ht="15" hidden="false" customHeight="true" outlineLevel="0" collapsed="false">
      <c r="B40" s="52" t="s">
        <v>623</v>
      </c>
      <c r="C40" s="52"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2" t="s">
        <v>590</v>
      </c>
      <c r="C41" s="52" t="str">
        <f aca="false">IF(Growth_Rate="","Choose your growth rate to see this","")</f>
        <v>Choose your growth rate to see this</v>
      </c>
    </row>
    <row r="42" customFormat="false" ht="15" hidden="false" customHeight="true" outlineLevel="0" collapsed="false">
      <c r="B42" s="52" t="s">
        <v>624</v>
      </c>
      <c r="C42" s="52"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rate a year" showDropDown="false" showErrorMessage="true" showInputMessage="true" sqref="C12" type="decimal">
      <formula1>0</formula1>
      <formula2>0.08</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625</v>
      </c>
      <c r="E1" s="3" t="s">
        <v>626</v>
      </c>
    </row>
    <row r="2" customFormat="false" ht="15" hidden="false" customHeight="true" outlineLevel="0" collapsed="false">
      <c r="B2" s="21" t="s">
        <v>627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628</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629</v>
      </c>
      <c r="C10" s="53"/>
      <c r="D10" s="53"/>
      <c r="E10" s="53"/>
    </row>
    <row r="11" customFormat="false" ht="15" hidden="false" customHeight="true" outlineLevel="0" collapsed="false">
      <c r="B11" s="25" t="s">
        <v>630</v>
      </c>
      <c r="C11" s="54"/>
      <c r="D11" s="27" t="s">
        <v>217</v>
      </c>
      <c r="E11" s="28" t="s">
        <v>631</v>
      </c>
      <c r="G11" s="52" t="s">
        <v>306</v>
      </c>
    </row>
    <row r="12" customFormat="false" ht="15" hidden="false" customHeight="true" outlineLevel="0" collapsed="false">
      <c r="B12" s="25" t="s">
        <v>632</v>
      </c>
      <c r="C12" s="55"/>
      <c r="D12" s="27" t="s">
        <v>228</v>
      </c>
      <c r="E12" s="28" t="s">
        <v>633</v>
      </c>
      <c r="G12" s="52" t="s">
        <v>306</v>
      </c>
    </row>
    <row r="13" customFormat="false" ht="15" hidden="false" customHeight="true" outlineLevel="0" collapsed="false">
      <c r="B13" s="25" t="s">
        <v>313</v>
      </c>
      <c r="C13" s="57"/>
      <c r="D13" s="27" t="s">
        <v>314</v>
      </c>
      <c r="E13" s="28" t="s">
        <v>315</v>
      </c>
      <c r="G13" s="52" t="s">
        <v>306</v>
      </c>
    </row>
    <row r="15" customFormat="false" ht="15" hidden="false" customHeight="true" outlineLevel="0" collapsed="false">
      <c r="B15" s="13" t="s">
        <v>316</v>
      </c>
      <c r="C15" s="24" t="s">
        <v>213</v>
      </c>
      <c r="D15" s="24" t="s">
        <v>214</v>
      </c>
      <c r="E15" s="24" t="s">
        <v>215</v>
      </c>
      <c r="F15" s="14"/>
      <c r="G15" s="14"/>
    </row>
    <row r="16" customFormat="false" ht="21.75" hidden="false" customHeight="true" outlineLevel="0" collapsed="false">
      <c r="B16" s="25" t="s">
        <v>634</v>
      </c>
      <c r="C16" s="26"/>
      <c r="D16" s="27" t="s">
        <v>217</v>
      </c>
      <c r="E16" s="28" t="s">
        <v>635</v>
      </c>
      <c r="F16" s="29" t="n">
        <v>10000</v>
      </c>
      <c r="G16" s="30" t="str">
        <f aca="false">IF(ISBLANK(C16),IF(Fill_Example="Yes",F16,""),C16)</f>
        <v/>
      </c>
    </row>
    <row r="17" customFormat="false" ht="21.75" hidden="false" customHeight="true" outlineLevel="0" collapsed="false">
      <c r="B17" s="25" t="s">
        <v>636</v>
      </c>
      <c r="C17" s="34"/>
      <c r="D17" s="27" t="s">
        <v>228</v>
      </c>
      <c r="E17" s="35" t="s">
        <v>602</v>
      </c>
      <c r="F17" s="36" t="n">
        <v>0.05</v>
      </c>
      <c r="G17" s="37" t="str">
        <f aca="false">IF(ISBLANK(C17),IF(Fill_Example="Yes",F17,""),C17)</f>
        <v/>
      </c>
    </row>
    <row r="18" customFormat="false" ht="15" hidden="false" customHeight="true" outlineLevel="0" collapsed="false">
      <c r="B18" s="25" t="s">
        <v>603</v>
      </c>
      <c r="C18" s="38"/>
      <c r="D18" s="27" t="s">
        <v>231</v>
      </c>
      <c r="E18" s="28" t="s">
        <v>604</v>
      </c>
      <c r="F18" s="39" t="n">
        <v>15</v>
      </c>
      <c r="G18" s="40" t="str">
        <f aca="false">IF(ISBLANK(C18),IF(Fill_Example="Yes",F18,""),C18)</f>
        <v/>
      </c>
    </row>
    <row r="19" customFormat="false" ht="21.75" hidden="false" customHeight="true" outlineLevel="0" collapsed="false">
      <c r="B19" s="25" t="s">
        <v>637</v>
      </c>
      <c r="C19" s="34"/>
      <c r="D19" s="27" t="s">
        <v>228</v>
      </c>
      <c r="E19" s="35" t="s">
        <v>638</v>
      </c>
      <c r="F19" s="36" t="n">
        <v>0</v>
      </c>
      <c r="G19" s="37" t="str">
        <f aca="false">IF(ISBLANK(C19),IF(Fill_Example="Yes",F19,""),C19)</f>
        <v/>
      </c>
    </row>
    <row r="20" customFormat="false" ht="21.75" hidden="false" customHeight="true" outlineLevel="0" collapsed="false">
      <c r="B20" s="25" t="s">
        <v>639</v>
      </c>
      <c r="C20" s="38"/>
      <c r="D20" s="27" t="s">
        <v>231</v>
      </c>
      <c r="E20" s="35" t="s">
        <v>640</v>
      </c>
      <c r="F20" s="39" t="n">
        <v>5</v>
      </c>
      <c r="G20" s="40" t="str">
        <f aca="false">IF(ISBLANK(C20),IF(Fill_Example="Yes",F20,""),C20)</f>
        <v/>
      </c>
    </row>
    <row r="21" customFormat="false" ht="15" hidden="false" customHeight="true" outlineLevel="0" collapsed="false">
      <c r="B21" s="25" t="s">
        <v>641</v>
      </c>
      <c r="C21" s="31"/>
      <c r="D21" s="27" t="s">
        <v>224</v>
      </c>
      <c r="E21" s="28" t="s">
        <v>642</v>
      </c>
      <c r="F21" s="32" t="s">
        <v>3</v>
      </c>
      <c r="G21" s="33" t="str">
        <f aca="false">IF(ISBLANK(C21),F21,C21)</f>
        <v>No</v>
      </c>
    </row>
    <row r="23" customFormat="false" ht="15" hidden="false" customHeight="true" outlineLevel="0" collapsed="false">
      <c r="B23" s="13" t="s">
        <v>326</v>
      </c>
      <c r="C23" s="14"/>
      <c r="D23" s="14"/>
      <c r="E23" s="14"/>
      <c r="F23" s="14"/>
      <c r="G23" s="14"/>
    </row>
    <row r="24" customFormat="false" ht="15" hidden="false" customHeight="true" outlineLevel="0" collapsed="false">
      <c r="B24" s="25" t="s">
        <v>643</v>
      </c>
      <c r="C24" s="45" t="str">
        <f aca="false">IF(COUNTA(Stmt_Total_Value,Stmt_Charges,Stmt_Statement_Date)&gt;0,"Yes","No")</f>
        <v>No</v>
      </c>
      <c r="D24" s="27"/>
      <c r="E24" s="42" t="s">
        <v>644</v>
      </c>
    </row>
    <row r="25" customFormat="false" ht="15" hidden="false" customHeight="true" outlineLevel="0" collapsed="false">
      <c r="B25" s="25" t="s">
        <v>634</v>
      </c>
      <c r="C25" s="58" t="str">
        <f aca="false">IF(ISBLANK(Stmt_Total_Value),Amount,Stmt_Total_Value)</f>
        <v/>
      </c>
      <c r="D25" s="59" t="str">
        <f aca="false">IF(ISBLANK(Stmt_Total_Value),"Your figure","From your statement")</f>
        <v>Your figure</v>
      </c>
      <c r="E25" s="49" t="s">
        <v>645</v>
      </c>
    </row>
    <row r="26" customFormat="false" ht="15" hidden="false" customHeight="true" outlineLevel="0" collapsed="false">
      <c r="B26" s="25" t="s">
        <v>637</v>
      </c>
      <c r="C26" s="60" t="str">
        <f aca="false">IF(NOT(ISBLANK(Stmt_Charges)),Stmt_Charges,IF(Statement_Uploaded="Yes",0,Yearly_Fees))</f>
        <v/>
      </c>
      <c r="D26" s="59" t="str">
        <f aca="false">IF(NOT(ISBLANK(Stmt_Charges)),"From your statement",IF(Statement_Uploaded="Yes","None shown on your statement","Your figure"))</f>
        <v>Your figure</v>
      </c>
      <c r="E26" s="49" t="s">
        <v>646</v>
      </c>
    </row>
    <row r="27" customFormat="false" ht="21.75" hidden="false" customHeight="true" outlineLevel="0" collapsed="false">
      <c r="B27" s="25" t="s">
        <v>332</v>
      </c>
      <c r="C27" s="45" t="str">
        <f aca="true">IF(ISBLANK(Stmt_Statement_Date),"",IF(TODAY()-Stmt_Statement_Date&gt;Statement_Max_Age_Days,"Needs a look: statement is more than 12 months old","Up to date"))</f>
        <v/>
      </c>
      <c r="D27" s="27"/>
      <c r="E27" s="42" t="s">
        <v>333</v>
      </c>
    </row>
    <row r="29" customFormat="false" ht="15" hidden="false" customHeight="true" outlineLevel="0" collapsed="false">
      <c r="B29" s="13" t="s">
        <v>239</v>
      </c>
      <c r="C29" s="24" t="s">
        <v>240</v>
      </c>
      <c r="D29" s="24" t="s">
        <v>241</v>
      </c>
      <c r="E29" s="24" t="s">
        <v>242</v>
      </c>
      <c r="F29" s="14"/>
      <c r="G29" s="14"/>
    </row>
    <row r="30" customFormat="false" ht="17.25" hidden="false" customHeight="true" outlineLevel="0" collapsed="false">
      <c r="B30" s="21" t="s">
        <v>647</v>
      </c>
      <c r="C30" s="41" t="str">
        <f aca="false">IF(Need_1&lt;&gt;"",Need_1,IF(Adjust_For_Inflation="Yes",Value_Today,Grows_To))</f>
        <v>Choose your growth rate to see this</v>
      </c>
      <c r="D30" s="27" t="s">
        <v>217</v>
      </c>
      <c r="E30" s="42" t="s">
        <v>648</v>
      </c>
    </row>
    <row r="31" customFormat="false" ht="15" hidden="false" customHeight="true" outlineLevel="0" collapsed="false">
      <c r="B31" s="25" t="s">
        <v>649</v>
      </c>
      <c r="C31" s="43" t="str">
        <f aca="false">IF(Need_1&lt;&gt;"",Need_1,Used_Amount*(1+Growth_After_Fees)^Years)</f>
        <v>Choose your growth rate to see this</v>
      </c>
      <c r="D31" s="27" t="s">
        <v>217</v>
      </c>
      <c r="E31" s="42" t="s">
        <v>650</v>
      </c>
    </row>
    <row r="32" customFormat="false" ht="15" hidden="false" customHeight="true" outlineLevel="0" collapsed="false">
      <c r="B32" s="25" t="s">
        <v>607</v>
      </c>
      <c r="C32" s="43" t="str">
        <f aca="false">IF(Need_2&lt;&gt;"",Need_2,IF(Inflation_Choice="","Choose your inflation rate to see this",Grows_To/(1+Inflation_Choice)^Years))</f>
        <v>Choose your inflation rate to see this</v>
      </c>
      <c r="D32" s="27" t="s">
        <v>217</v>
      </c>
      <c r="E32" s="42" t="s">
        <v>608</v>
      </c>
    </row>
    <row r="33" customFormat="false" ht="15" hidden="false" customHeight="true" outlineLevel="0" collapsed="false">
      <c r="B33" s="25" t="s">
        <v>651</v>
      </c>
      <c r="C33" s="43" t="str">
        <f aca="false">IF(Need_3&lt;&gt;"",Need_3,Used_Amount*(1+Growth_After_Fees)^MAX(0,Years-Wait_Years))</f>
        <v>Choose your growth rate to see this</v>
      </c>
      <c r="D33" s="27" t="s">
        <v>217</v>
      </c>
      <c r="E33" s="42" t="s">
        <v>652</v>
      </c>
    </row>
    <row r="34" customFormat="false" ht="21.75" hidden="false" customHeight="true" outlineLevel="0" collapsed="false">
      <c r="B34" s="21" t="s">
        <v>653</v>
      </c>
      <c r="C34" s="41" t="str">
        <f aca="false">IF(Need_3&lt;&gt;"",Need_3,IF(Adjust_For_Inflation="Yes",IF(Inflation_Choice="","Choose your inflation rate to see this",(Grows_To-Value_Start_Later)/(1+Inflation_Choice)^Years),Grows_To-Value_Start_Later))</f>
        <v>Choose your growth rate to see this</v>
      </c>
      <c r="D34" s="27" t="s">
        <v>217</v>
      </c>
      <c r="E34" s="42" t="s">
        <v>654</v>
      </c>
    </row>
    <row r="35" customFormat="false" ht="15" hidden="false" customHeight="true" outlineLevel="0" collapsed="false">
      <c r="B35" s="25" t="s">
        <v>655</v>
      </c>
      <c r="C35" s="43" t="str">
        <f aca="false">IF(Need_1&lt;&gt;"",Need_1,Used_Amount*(1+Growth_Rate)^Years-Grows_To)</f>
        <v>Choose your growth rate to see this</v>
      </c>
      <c r="D35" s="27" t="s">
        <v>217</v>
      </c>
      <c r="E35" s="42" t="s">
        <v>656</v>
      </c>
    </row>
    <row r="36" customFormat="false" ht="15" hidden="false" customHeight="true" outlineLevel="0" collapsed="false">
      <c r="B36" s="25" t="s">
        <v>657</v>
      </c>
      <c r="C36" s="64" t="str">
        <f aca="false">IF(Need_4&lt;&gt;"",Need_4,(1+Growth_Rate)*(1-Used_Yearly_Fees)-1)</f>
        <v>Choose your growth rate to see this</v>
      </c>
      <c r="D36" s="27"/>
      <c r="E36" s="42" t="s">
        <v>658</v>
      </c>
    </row>
    <row r="37" customFormat="false" ht="15" hidden="false" customHeight="true" outlineLevel="0" collapsed="false">
      <c r="B37" s="25" t="s">
        <v>659</v>
      </c>
      <c r="C37" s="64" t="str">
        <f aca="false">IF(Need_5&lt;&gt;"",Need_5,IF(Inflation_Choice="","Choose your inflation rate to see this",(1+Growth_After_Fees)/(1+Inflation_Choice)-1))</f>
        <v>Choose your inflation rate to see this</v>
      </c>
      <c r="D37" s="27"/>
      <c r="E37" s="42" t="s">
        <v>660</v>
      </c>
    </row>
    <row r="38" customFormat="false" ht="15" hidden="false" customHeight="true" outlineLevel="0" collapsed="false">
      <c r="B38"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68"/>
      <c r="D38" s="68"/>
      <c r="E38" s="68"/>
    </row>
    <row r="40" customFormat="false" ht="15" hidden="false" customHeight="true" outlineLevel="0" collapsed="false">
      <c r="B40" s="13" t="s">
        <v>272</v>
      </c>
      <c r="C40" s="14"/>
      <c r="D40" s="14"/>
      <c r="E40" s="14"/>
      <c r="F40" s="14"/>
      <c r="G40" s="14"/>
    </row>
    <row r="41" customFormat="false" ht="13.5" hidden="false" customHeight="true" outlineLevel="0" collapsed="false">
      <c r="B41" s="46" t="s">
        <v>661</v>
      </c>
      <c r="C41" s="46"/>
      <c r="D41" s="46"/>
      <c r="E41" s="46"/>
    </row>
    <row r="42" customFormat="false" ht="13.5" hidden="false" customHeight="true" outlineLevel="0" collapsed="false">
      <c r="B42" s="46" t="s">
        <v>662</v>
      </c>
      <c r="C42" s="46"/>
      <c r="D42" s="46"/>
      <c r="E42" s="46"/>
    </row>
    <row r="43" customFormat="false" ht="13.5" hidden="false" customHeight="true" outlineLevel="0" collapsed="false">
      <c r="B43" s="46" t="s">
        <v>663</v>
      </c>
      <c r="C43" s="46"/>
      <c r="D43" s="46"/>
      <c r="E43" s="46"/>
    </row>
    <row r="44" customFormat="false" ht="13.5" hidden="false" customHeight="true" outlineLevel="0" collapsed="false">
      <c r="B44" s="47" t="s">
        <v>276</v>
      </c>
      <c r="C44" s="47"/>
      <c r="D44" s="47"/>
      <c r="E44" s="47"/>
    </row>
    <row r="45" customFormat="false" ht="13.5" hidden="false" customHeight="true" outlineLevel="0" collapsed="false">
      <c r="B45" s="46" t="s">
        <v>664</v>
      </c>
      <c r="C45" s="46"/>
      <c r="D45" s="46"/>
      <c r="E45" s="46"/>
    </row>
    <row r="46" customFormat="false" ht="13.5" hidden="false" customHeight="true" outlineLevel="0" collapsed="false">
      <c r="B46" s="46" t="s">
        <v>665</v>
      </c>
      <c r="C46" s="46"/>
      <c r="D46" s="46"/>
      <c r="E46" s="46"/>
    </row>
    <row r="48" customFormat="false" ht="15" hidden="false" customHeight="true" outlineLevel="0" collapsed="false">
      <c r="B48" s="13" t="s">
        <v>281</v>
      </c>
      <c r="C48" s="14"/>
      <c r="D48" s="14"/>
      <c r="E48" s="14"/>
      <c r="F48" s="14"/>
      <c r="G48" s="14"/>
    </row>
    <row r="49" customFormat="false" ht="15" hidden="false" customHeight="true" outlineLevel="0" collapsed="false">
      <c r="B49" s="25" t="s">
        <v>282</v>
      </c>
      <c r="C49" s="48" t="str">
        <f aca="false">"Grow my wealth (plan kind pot)"</f>
        <v>Grow my wealth (plan kind pot)</v>
      </c>
      <c r="E49" s="49" t="s">
        <v>617</v>
      </c>
    </row>
    <row r="50" customFormat="false" ht="15" hidden="false" customHeight="true" outlineLevel="0" collapsed="false">
      <c r="B50" s="25" t="s">
        <v>618</v>
      </c>
      <c r="C50" s="50" t="str">
        <f aca="false">IF(Need_1&lt;&gt;"",Need_1,IF(Inflation_Choice="","Choose an inflation rate first",ROUND(Value_Today,0)))</f>
        <v>Choose your growth rate to see this</v>
      </c>
      <c r="E50" s="49" t="s">
        <v>619</v>
      </c>
    </row>
    <row r="51" customFormat="false" ht="15" hidden="false" customHeight="true" outlineLevel="0" collapsed="false">
      <c r="B51" s="25" t="s">
        <v>288</v>
      </c>
      <c r="C51" s="51" t="str">
        <f aca="false">IF(Need_6&lt;&gt;"",Need_6,Years)</f>
        <v>Choose your years to see this</v>
      </c>
      <c r="E51" s="49" t="s">
        <v>584</v>
      </c>
    </row>
    <row r="52" customFormat="false" ht="15" hidden="false" customHeight="true" outlineLevel="0" collapsed="false">
      <c r="B52" s="25" t="s">
        <v>585</v>
      </c>
      <c r="C52" s="69" t="str">
        <f aca="false">IF(Inflation_Choice="","Choose an inflation rate first",Inflation_Choice)</f>
        <v>Choose an inflation rate first</v>
      </c>
      <c r="E52" s="49" t="s">
        <v>586</v>
      </c>
    </row>
    <row r="53" customFormat="false" ht="13.5" hidden="false" customHeight="true" outlineLevel="0" collapsed="false">
      <c r="B53" s="53" t="s">
        <v>666</v>
      </c>
      <c r="C53" s="53"/>
      <c r="D53" s="53"/>
      <c r="E53" s="53"/>
    </row>
    <row r="55" customFormat="false" ht="15" hidden="false" customHeight="true" outlineLevel="0" collapsed="false">
      <c r="B55" s="13" t="s">
        <v>290</v>
      </c>
      <c r="C55" s="14"/>
      <c r="D55" s="14"/>
      <c r="E55" s="14"/>
      <c r="F55" s="14"/>
      <c r="G55" s="14"/>
    </row>
    <row r="56" customFormat="false" ht="15" hidden="false" customHeight="true" outlineLevel="0" collapsed="false">
      <c r="B56" s="52" t="s">
        <v>667</v>
      </c>
      <c r="C56" s="52" t="str">
        <f aca="false">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growth rate to see this</v>
      </c>
    </row>
    <row r="57" customFormat="false" ht="15" hidden="false" customHeight="true" outlineLevel="0" collapsed="false">
      <c r="B57" s="52" t="s">
        <v>668</v>
      </c>
      <c r="C57" s="52" t="str">
        <f aca="false">IF(Inflation_Choice="","Choose your inflation rate to see this",IF(Growth_Rate="","Choose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inflation rate to see this</v>
      </c>
    </row>
    <row r="58" customFormat="false" ht="15" hidden="false" customHeight="true" outlineLevel="0" collapsed="false">
      <c r="B58" s="52" t="s">
        <v>669</v>
      </c>
      <c r="C58" s="52" t="str">
        <f aca="false">IF(Growth_Rate="","Choose your growth rate to see this",IF(Years="","Choose your years to see this",IF(Wait_Years="","Choose your years of waiting to see this",IF(NOT(ISNUMBER(Used_Amount)),IF(Used_Amount="",IF(Amount="","Choose your amount to see this",""),Used_Amount),IF(NOT(ISNUMBER(Used_Yearly_Fees)),IF(Used_Yearly_Fees="",IF(Yearly_Fees="","Choose your yearly fees to see this",""),Used_Yearly_Fees),"")))))</f>
        <v>Choose your growth rate to see this</v>
      </c>
    </row>
    <row r="59" customFormat="false" ht="15" hidden="false" customHeight="true" outlineLevel="0" collapsed="false">
      <c r="B59" s="52" t="s">
        <v>670</v>
      </c>
      <c r="C59" s="52" t="str">
        <f aca="false">IF(Growth_Rate="","Choose your growth rate to see this",IF(NOT(ISNUMBER(Used_Yearly_Fees)),IF(Used_Yearly_Fees="",IF(Yearly_Fees="","Choose your yearly fees to see this",""),Used_Yearly_Fees),""))</f>
        <v>Choose your growth rate to see this</v>
      </c>
    </row>
    <row r="60" customFormat="false" ht="15" hidden="false" customHeight="true" outlineLevel="0" collapsed="false">
      <c r="B60" s="52" t="s">
        <v>671</v>
      </c>
      <c r="C60"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61" customFormat="false" ht="15" hidden="false" customHeight="true" outlineLevel="0" collapsed="false">
      <c r="B61" s="52" t="s">
        <v>624</v>
      </c>
      <c r="C61" s="52" t="str">
        <f aca="false">IF(Years="","Choose your years to see this","")</f>
        <v>Choose your years to see this</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Usually between 0.5% and 1.5% a year for fund charges (provider charges; your statement shows yours). Enter your own figure.  Allowed: 0% to 3% · steps of 0.05%." promptTitle="Yearly fees" showDropDown="false" showErrorMessage="true" showInputMessage="true" sqref="C19" type="decimal">
      <formula1>0</formula1>
      <formula2>0.03</formula2>
    </dataValidation>
    <dataValidation allowBlank="true" error="Please enter 1 to 1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10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672</v>
      </c>
      <c r="E1" s="3" t="s">
        <v>673</v>
      </c>
    </row>
    <row r="2" customFormat="false" ht="15" hidden="false" customHeight="true" outlineLevel="0" collapsed="false">
      <c r="B2" s="21" t="s">
        <v>674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675</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676</v>
      </c>
      <c r="C6" s="26"/>
      <c r="D6" s="27" t="s">
        <v>217</v>
      </c>
      <c r="E6" s="28" t="s">
        <v>677</v>
      </c>
      <c r="F6" s="29" t="n">
        <v>2500</v>
      </c>
      <c r="G6" s="30" t="str">
        <f aca="false">IF(ISBLANK(C6),IF(Fill_Example="Yes",F6,""),C6)</f>
        <v/>
      </c>
    </row>
    <row r="7" customFormat="false" ht="21.75" hidden="false" customHeight="true" outlineLevel="0" collapsed="false">
      <c r="B7" s="25" t="s">
        <v>678</v>
      </c>
      <c r="C7" s="38"/>
      <c r="D7" s="27" t="s">
        <v>679</v>
      </c>
      <c r="E7" s="35" t="s">
        <v>680</v>
      </c>
      <c r="F7" s="39" t="n">
        <v>6</v>
      </c>
      <c r="G7" s="40" t="str">
        <f aca="false">IF(ISBLANK(C7),IF(Fill_Example="Yes",F7,""),C7)</f>
        <v/>
      </c>
    </row>
    <row r="8" customFormat="false" ht="15" hidden="false" customHeight="true" outlineLevel="0" collapsed="false">
      <c r="B8" s="25" t="s">
        <v>681</v>
      </c>
      <c r="C8" s="38"/>
      <c r="D8" s="27" t="s">
        <v>231</v>
      </c>
      <c r="E8" s="28" t="s">
        <v>682</v>
      </c>
      <c r="F8" s="39" t="n">
        <v>2</v>
      </c>
      <c r="G8" s="40" t="str">
        <f aca="false">IF(ISBLANK(C8),IF(Fill_Example="Yes",F8,""),C8)</f>
        <v/>
      </c>
    </row>
    <row r="9" customFormat="false" ht="21.75" hidden="false" customHeight="true" outlineLevel="0" collapsed="false">
      <c r="B9" s="25" t="s">
        <v>683</v>
      </c>
      <c r="C9" s="26"/>
      <c r="D9" s="27" t="s">
        <v>217</v>
      </c>
      <c r="E9" s="28" t="s">
        <v>684</v>
      </c>
      <c r="F9" s="29" t="n">
        <v>6250</v>
      </c>
      <c r="G9" s="30" t="str">
        <f aca="false">IF(ISBLANK(C9),IF(Fill_Example="Yes",F9,""),C9)</f>
        <v/>
      </c>
    </row>
    <row r="11" customFormat="false" ht="15" hidden="false" customHeight="true" outlineLevel="0" collapsed="false">
      <c r="B11" s="13" t="s">
        <v>239</v>
      </c>
      <c r="C11" s="24" t="s">
        <v>240</v>
      </c>
      <c r="D11" s="24" t="s">
        <v>241</v>
      </c>
      <c r="E11" s="24" t="s">
        <v>242</v>
      </c>
      <c r="F11" s="14"/>
      <c r="G11" s="14"/>
    </row>
    <row r="12" customFormat="false" ht="23.25" hidden="false" customHeight="true" outlineLevel="0" collapsed="false">
      <c r="B12" s="21" t="s">
        <v>685</v>
      </c>
      <c r="C12" s="70" t="str">
        <f aca="false">IF(Need_1&lt;&gt;"",Need_1,Savings/Essential_Spending)</f>
        <v>Choose your essential monthly spending to see this</v>
      </c>
      <c r="D12" s="63" t="str">
        <f aca="false">IF(Need_1&lt;&gt;"",Need_1,IF(ROUND(Months_Covered,1)=1,"1 month",FIXED(Months_Covered,1)&amp;" months"))</f>
        <v>Choose your essential monthly spending to see this</v>
      </c>
      <c r="E12" s="42" t="s">
        <v>686</v>
      </c>
    </row>
    <row r="13" customFormat="false" ht="17.25" hidden="false" customHeight="true" outlineLevel="0" collapsed="false">
      <c r="B13" s="21" t="s">
        <v>687</v>
      </c>
      <c r="C13" s="41" t="str">
        <f aca="false">IF(Need_2&lt;&gt;"",Need_2,Essential_Spending*Months_Wanted)</f>
        <v>Choose your essential monthly spending to see this</v>
      </c>
      <c r="D13" s="27" t="s">
        <v>217</v>
      </c>
      <c r="E13" s="42" t="s">
        <v>688</v>
      </c>
    </row>
    <row r="14" customFormat="false" ht="17.25" hidden="false" customHeight="true" outlineLevel="0" collapsed="false">
      <c r="B14" s="21" t="s">
        <v>689</v>
      </c>
      <c r="C14" s="41" t="str">
        <f aca="false">IF(Need_3&lt;&gt;"",Need_3,MAX(0,Target-Savings))</f>
        <v>Choose your essential monthly spending to see this</v>
      </c>
      <c r="D14" s="27" t="s">
        <v>217</v>
      </c>
      <c r="E14" s="42" t="s">
        <v>690</v>
      </c>
    </row>
    <row r="16" customFormat="false" ht="15" hidden="false" customHeight="true" outlineLevel="0" collapsed="false">
      <c r="B16" s="13" t="s">
        <v>272</v>
      </c>
      <c r="C16" s="14"/>
      <c r="D16" s="14"/>
      <c r="E16" s="14"/>
      <c r="F16" s="14"/>
      <c r="G16" s="14"/>
    </row>
    <row r="17" customFormat="false" ht="13.5" hidden="false" customHeight="true" outlineLevel="0" collapsed="false">
      <c r="B17" s="46" t="s">
        <v>691</v>
      </c>
      <c r="C17" s="46"/>
      <c r="D17" s="46"/>
      <c r="E17" s="46"/>
    </row>
    <row r="18" customFormat="false" ht="13.5" hidden="false" customHeight="true" outlineLevel="0" collapsed="false">
      <c r="B18" s="47" t="s">
        <v>276</v>
      </c>
      <c r="C18" s="47"/>
      <c r="D18" s="47"/>
      <c r="E18" s="47"/>
    </row>
    <row r="19" customFormat="false" ht="13.5" hidden="false" customHeight="true" outlineLevel="0" collapsed="false">
      <c r="B19" s="46" t="s">
        <v>692</v>
      </c>
      <c r="C19" s="46"/>
      <c r="D19" s="46"/>
      <c r="E19" s="46"/>
    </row>
    <row r="21" customFormat="false" ht="15" hidden="false" customHeight="true" outlineLevel="0" collapsed="false">
      <c r="B21" s="13" t="s">
        <v>281</v>
      </c>
      <c r="C21" s="14"/>
      <c r="D21" s="14"/>
      <c r="E21" s="14"/>
      <c r="F21" s="14"/>
      <c r="G21" s="14"/>
    </row>
    <row r="22" customFormat="false" ht="15" hidden="false" customHeight="true" outlineLevel="0" collapsed="false">
      <c r="B22" s="25" t="s">
        <v>282</v>
      </c>
      <c r="C22" s="48" t="str">
        <f aca="false">IF(Need_3&lt;&gt;"",Need_3,IF(Still_To_Build&gt;0,"Safety net (plan kind safety: a reserve, not a spend)","No goal (cushion already in place)"))</f>
        <v>Choose your essential monthly spending to see this</v>
      </c>
      <c r="E22" s="49" t="s">
        <v>693</v>
      </c>
    </row>
    <row r="23" customFormat="false" ht="15" hidden="false" customHeight="true" outlineLevel="0" collapsed="false">
      <c r="B23" s="25" t="s">
        <v>618</v>
      </c>
      <c r="C23" s="50" t="str">
        <f aca="false">IF(Need_3&lt;&gt;"",Need_3,IF(Still_To_Build&gt;0,ROUND(Target,0),"—"))</f>
        <v>Choose your essential monthly spending to see this</v>
      </c>
      <c r="E23" s="49" t="s">
        <v>694</v>
      </c>
    </row>
    <row r="24" customFormat="false" ht="15" hidden="false" customHeight="true" outlineLevel="0" collapsed="false">
      <c r="B24" s="25" t="s">
        <v>286</v>
      </c>
      <c r="C24" s="50" t="str">
        <f aca="false">IF(Need_4&lt;&gt;"",Need_4,Savings)</f>
        <v>Choose your easy-access savings to see this</v>
      </c>
      <c r="E24" s="49" t="s">
        <v>695</v>
      </c>
    </row>
    <row r="25" customFormat="false" ht="15" hidden="false" customHeight="true" outlineLevel="0" collapsed="false">
      <c r="B25" s="25" t="s">
        <v>288</v>
      </c>
      <c r="C25" s="51" t="str">
        <f aca="false">IF(Need_5&lt;&gt;"",Need_5,Safety_Goal_Years)</f>
        <v>Choose your years to build the safety net to see this</v>
      </c>
      <c r="E25" s="49" t="s">
        <v>696</v>
      </c>
    </row>
    <row r="27" customFormat="false" ht="15" hidden="false" customHeight="true" outlineLevel="0" collapsed="false">
      <c r="B27" s="13" t="s">
        <v>290</v>
      </c>
      <c r="C27" s="14"/>
      <c r="D27" s="14"/>
      <c r="E27" s="14"/>
      <c r="F27" s="14"/>
      <c r="G27" s="14"/>
    </row>
    <row r="28" customFormat="false" ht="15" hidden="false" customHeight="true" outlineLevel="0" collapsed="false">
      <c r="B28" s="52" t="s">
        <v>697</v>
      </c>
      <c r="C28" s="52"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2" t="s">
        <v>698</v>
      </c>
      <c r="C29" s="52" t="str">
        <f aca="false">IF(Essential_Spending="","Choose your essential monthly spending to see this",IF(Months_Wanted="","Choose your emergency months to see this",""))</f>
        <v>Choose your essential monthly spending to see this</v>
      </c>
    </row>
    <row r="30" customFormat="false" ht="15" hidden="false" customHeight="true" outlineLevel="0" collapsed="false">
      <c r="B30" s="52" t="s">
        <v>699</v>
      </c>
      <c r="C30" s="52" t="str">
        <f aca="false">IF(Essential_Spending="","Choose your essential monthly spending to see this",IF(Months_Wanted="","Choose your emergency months to see this",IF(Savings="","Choose your easy-access savings to see this","")))</f>
        <v>Choose your essential monthly spending to see this</v>
      </c>
    </row>
    <row r="31" customFormat="false" ht="15" hidden="false" customHeight="true" outlineLevel="0" collapsed="false">
      <c r="B31" s="52" t="s">
        <v>700</v>
      </c>
      <c r="C31" s="52" t="str">
        <f aca="false">IF(Savings="","Choose your easy-access savings to see this","")</f>
        <v>Choose your easy-access savings to see this</v>
      </c>
    </row>
    <row r="32" customFormat="false" ht="15" hidden="false" customHeight="true" outlineLevel="0" collapsed="false">
      <c r="B32" s="52" t="s">
        <v>701</v>
      </c>
      <c r="C32" s="52" t="str">
        <f aca="false">IF(Safety_Goal_Years="","Choose your years to build the safety net to see this","")</f>
        <v>Choose your years to build the safety net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3 to 12 · steps of 1." errorStyle="stop" errorTitle="Outside the allowed range" operator="between" prompt="Generally the standard is 6 months of essential spending (3 if you have two secure incomes). Choose what you want to use.  Allowed: 3 to 12 · steps of 1." promptTitle="Safety net: months of essential " showDropDown="false" showErrorMessage="true" showInputMessage="true" sqref="C7" type="whole">
      <formula1>3</formula1>
      <formula2>12</formula2>
    </dataValidation>
    <dataValidation allowBlank="true" error="Please enter 1 to 10 · steps of 1." errorStyle="stop" errorTitle="Outside the allowed range" operator="between" prompt="Your own figure.  Allowed: 1 to 10 · steps of 1." promptTitle="Build the safety net within (yea"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702</v>
      </c>
      <c r="E1" s="3" t="s">
        <v>703</v>
      </c>
    </row>
    <row r="2" customFormat="false" ht="15" hidden="false" customHeight="true" outlineLevel="0" collapsed="false">
      <c r="B2" s="21" t="s">
        <v>704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705</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706</v>
      </c>
      <c r="C10" s="53"/>
      <c r="D10" s="53"/>
      <c r="E10" s="53"/>
    </row>
    <row r="11" customFormat="false" ht="15" hidden="false" customHeight="true" outlineLevel="0" collapsed="false">
      <c r="B11" s="25" t="s">
        <v>707</v>
      </c>
      <c r="C11" s="54"/>
      <c r="D11" s="27" t="s">
        <v>217</v>
      </c>
      <c r="E11" s="28" t="s">
        <v>708</v>
      </c>
      <c r="G11" s="52" t="s">
        <v>306</v>
      </c>
    </row>
    <row r="12" customFormat="false" ht="15" hidden="false" customHeight="true" outlineLevel="0" collapsed="false">
      <c r="B12" s="25" t="s">
        <v>709</v>
      </c>
      <c r="C12" s="54"/>
      <c r="D12" s="27" t="s">
        <v>217</v>
      </c>
      <c r="E12" s="28" t="s">
        <v>312</v>
      </c>
      <c r="G12" s="52" t="s">
        <v>306</v>
      </c>
    </row>
    <row r="13" customFormat="false" ht="15" hidden="false" customHeight="true" outlineLevel="0" collapsed="false">
      <c r="B13" s="25" t="s">
        <v>710</v>
      </c>
      <c r="C13" s="54"/>
      <c r="D13" s="27" t="s">
        <v>217</v>
      </c>
      <c r="E13" s="28" t="s">
        <v>312</v>
      </c>
      <c r="G13" s="52" t="s">
        <v>306</v>
      </c>
    </row>
    <row r="14" customFormat="false" ht="15" hidden="false" customHeight="true" outlineLevel="0" collapsed="false">
      <c r="B14" s="25" t="s">
        <v>711</v>
      </c>
      <c r="C14" s="56"/>
      <c r="D14" s="27" t="s">
        <v>712</v>
      </c>
      <c r="E14" s="28" t="s">
        <v>713</v>
      </c>
      <c r="G14" s="52" t="s">
        <v>306</v>
      </c>
    </row>
    <row r="15" customFormat="false" ht="15" hidden="false" customHeight="true" outlineLevel="0" collapsed="false">
      <c r="B15" s="25" t="s">
        <v>714</v>
      </c>
      <c r="C15" s="54"/>
      <c r="D15" s="27" t="s">
        <v>217</v>
      </c>
      <c r="E15" s="28" t="s">
        <v>631</v>
      </c>
      <c r="G15" s="52" t="s">
        <v>306</v>
      </c>
    </row>
    <row r="16" customFormat="false" ht="15" hidden="false" customHeight="true" outlineLevel="0" collapsed="false">
      <c r="B16" s="25" t="s">
        <v>715</v>
      </c>
      <c r="C16" s="71"/>
      <c r="D16" s="27" t="s">
        <v>224</v>
      </c>
      <c r="E16" s="28" t="s">
        <v>716</v>
      </c>
      <c r="G16" s="52" t="s">
        <v>306</v>
      </c>
    </row>
    <row r="17" customFormat="false" ht="15" hidden="false" customHeight="true" outlineLevel="0" collapsed="false">
      <c r="B17" s="25" t="s">
        <v>632</v>
      </c>
      <c r="C17" s="55"/>
      <c r="D17" s="27" t="s">
        <v>228</v>
      </c>
      <c r="E17" s="28" t="s">
        <v>633</v>
      </c>
      <c r="G17" s="52" t="s">
        <v>306</v>
      </c>
    </row>
    <row r="18" customFormat="false" ht="15" hidden="false" customHeight="true" outlineLevel="0" collapsed="false">
      <c r="B18" s="25" t="s">
        <v>313</v>
      </c>
      <c r="C18" s="57"/>
      <c r="D18" s="27" t="s">
        <v>314</v>
      </c>
      <c r="E18" s="28" t="s">
        <v>315</v>
      </c>
      <c r="G18" s="52" t="s">
        <v>306</v>
      </c>
    </row>
    <row r="20" customFormat="false" ht="15" hidden="false" customHeight="true" outlineLevel="0" collapsed="false">
      <c r="B20" s="13" t="s">
        <v>316</v>
      </c>
      <c r="C20" s="24" t="s">
        <v>213</v>
      </c>
      <c r="D20" s="24" t="s">
        <v>214</v>
      </c>
      <c r="E20" s="24" t="s">
        <v>215</v>
      </c>
      <c r="F20" s="14"/>
      <c r="G20" s="14"/>
    </row>
    <row r="21" customFormat="false" ht="21.75" hidden="false" customHeight="true" outlineLevel="0" collapsed="false">
      <c r="B21" s="25" t="s">
        <v>717</v>
      </c>
      <c r="C21" s="38"/>
      <c r="D21" s="27" t="s">
        <v>712</v>
      </c>
      <c r="E21" s="28" t="s">
        <v>718</v>
      </c>
      <c r="F21" s="39" t="n">
        <v>40</v>
      </c>
      <c r="G21" s="40" t="str">
        <f aca="false">IF(ISBLANK(C21),IF(Fill_Example="Yes",F21,""),C21)</f>
        <v/>
      </c>
    </row>
    <row r="22" customFormat="false" ht="21.75" hidden="false" customHeight="true" outlineLevel="0" collapsed="false">
      <c r="B22" s="25" t="s">
        <v>719</v>
      </c>
      <c r="C22" s="38"/>
      <c r="D22" s="27" t="s">
        <v>712</v>
      </c>
      <c r="E22" s="35" t="s">
        <v>720</v>
      </c>
      <c r="F22" s="39" t="n">
        <v>65</v>
      </c>
      <c r="G22" s="40" t="str">
        <f aca="false">IF(ISBLANK(C22),IF(Fill_Example="Yes",F22,""),C22)</f>
        <v/>
      </c>
    </row>
    <row r="23" customFormat="false" ht="21.75" hidden="false" customHeight="true" outlineLevel="0" collapsed="false">
      <c r="B23" s="25" t="s">
        <v>721</v>
      </c>
      <c r="C23" s="26"/>
      <c r="D23" s="27" t="s">
        <v>217</v>
      </c>
      <c r="E23" s="28" t="s">
        <v>722</v>
      </c>
      <c r="F23" s="29" t="n">
        <v>60000</v>
      </c>
      <c r="G23" s="30" t="str">
        <f aca="false">IF(ISBLANK(C23),IF(Fill_Example="Yes",F23,""),C23)</f>
        <v/>
      </c>
    </row>
    <row r="24" customFormat="false" ht="21.75" hidden="false" customHeight="true" outlineLevel="0" collapsed="false">
      <c r="B24" s="25" t="s">
        <v>723</v>
      </c>
      <c r="C24" s="26"/>
      <c r="D24" s="27" t="s">
        <v>217</v>
      </c>
      <c r="E24" s="28" t="s">
        <v>724</v>
      </c>
      <c r="F24" s="29" t="n">
        <v>500</v>
      </c>
      <c r="G24" s="30" t="str">
        <f aca="false">IF(ISBLANK(C24),IF(Fill_Example="Yes",F24,""),C24)</f>
        <v/>
      </c>
    </row>
    <row r="25" customFormat="false" ht="21.75" hidden="false" customHeight="true" outlineLevel="0" collapsed="false">
      <c r="B25" s="25" t="s">
        <v>725</v>
      </c>
      <c r="C25" s="26"/>
      <c r="D25" s="27" t="s">
        <v>217</v>
      </c>
      <c r="E25" s="28" t="s">
        <v>726</v>
      </c>
      <c r="F25" s="29" t="n">
        <v>40000</v>
      </c>
      <c r="G25" s="30" t="str">
        <f aca="false">IF(ISBLANK(C25),IF(Fill_Example="Yes",F25,""),C25)</f>
        <v/>
      </c>
    </row>
    <row r="26" customFormat="false" ht="43.5" hidden="false" customHeight="true" outlineLevel="0" collapsed="false">
      <c r="B26" s="25" t="s">
        <v>727</v>
      </c>
      <c r="C26" s="26"/>
      <c r="D26" s="27" t="s">
        <v>217</v>
      </c>
      <c r="E26" s="35" t="s">
        <v>728</v>
      </c>
      <c r="F26" s="29" t="n">
        <f aca="false">ROUND(State_Pension_Year,0)</f>
        <v>15564</v>
      </c>
      <c r="G26" s="30" t="str">
        <f aca="false">IF(ISBLANK(C26),IF(Fill_Example="Yes",F26,""),C26)</f>
        <v/>
      </c>
    </row>
    <row r="27" customFormat="false" ht="21.75" hidden="false" customHeight="true" outlineLevel="0" collapsed="false">
      <c r="B27" s="25" t="s">
        <v>729</v>
      </c>
      <c r="C27" s="34"/>
      <c r="D27" s="27" t="s">
        <v>228</v>
      </c>
      <c r="E27" s="35" t="s">
        <v>730</v>
      </c>
      <c r="F27" s="36" t="n">
        <v>0.045</v>
      </c>
      <c r="G27" s="37" t="str">
        <f aca="false">IF(ISBLANK(C27),IF(Fill_Example="Yes",F27,""),C27)</f>
        <v/>
      </c>
    </row>
    <row r="28" customFormat="false" ht="21.75" hidden="false" customHeight="true" outlineLevel="0" collapsed="false">
      <c r="B28" s="25" t="s">
        <v>731</v>
      </c>
      <c r="C28" s="34"/>
      <c r="D28" s="27" t="s">
        <v>228</v>
      </c>
      <c r="E28" s="35" t="s">
        <v>732</v>
      </c>
      <c r="F28" s="36" t="n">
        <v>0.03</v>
      </c>
      <c r="G28" s="37" t="str">
        <f aca="false">IF(ISBLANK(C28),IF(Fill_Example="Yes",F28,""),C28)</f>
        <v/>
      </c>
    </row>
    <row r="29" customFormat="false" ht="21.75" hidden="false" customHeight="true" outlineLevel="0" collapsed="false">
      <c r="B29" s="25" t="s">
        <v>733</v>
      </c>
      <c r="C29" s="38"/>
      <c r="D29" s="27"/>
      <c r="E29" s="35" t="s">
        <v>734</v>
      </c>
      <c r="F29" s="39" t="n">
        <v>25</v>
      </c>
      <c r="G29" s="40" t="str">
        <f aca="false">IF(ISBLANK(C29),IF(Fill_Example="Yes",F29,""),C29)</f>
        <v/>
      </c>
    </row>
    <row r="30" customFormat="false" ht="21.75" hidden="false" customHeight="true" outlineLevel="0" collapsed="false">
      <c r="B30" s="25" t="s">
        <v>735</v>
      </c>
      <c r="C30" s="34"/>
      <c r="D30" s="27" t="s">
        <v>228</v>
      </c>
      <c r="E30" s="35" t="s">
        <v>736</v>
      </c>
      <c r="F30" s="36" t="n">
        <v>0.01</v>
      </c>
      <c r="G30" s="37" t="str">
        <f aca="false">IF(ISBLANK(C30),IF(Fill_Example="Yes",F30,""),C30)</f>
        <v/>
      </c>
    </row>
    <row r="31" customFormat="false" ht="21.75" hidden="false" customHeight="true" outlineLevel="0" collapsed="false">
      <c r="B31" s="25" t="s">
        <v>737</v>
      </c>
      <c r="C31" s="34"/>
      <c r="D31" s="27" t="s">
        <v>228</v>
      </c>
      <c r="E31" s="35" t="s">
        <v>738</v>
      </c>
      <c r="F31" s="36" t="n">
        <v>0.25</v>
      </c>
      <c r="G31" s="37" t="str">
        <f aca="false">IF(ISBLANK(C31),IF(Fill_Example="Yes",F31,""),C31)</f>
        <v/>
      </c>
    </row>
    <row r="32" customFormat="false" ht="15" hidden="false" customHeight="true" outlineLevel="0" collapsed="false">
      <c r="B32" s="25" t="s">
        <v>739</v>
      </c>
      <c r="C32" s="38"/>
      <c r="D32" s="27" t="s">
        <v>231</v>
      </c>
      <c r="E32" s="28" t="s">
        <v>740</v>
      </c>
      <c r="F32" s="39" t="n">
        <v>0</v>
      </c>
      <c r="G32" s="40" t="n">
        <f aca="false">IF(ISBLANK(C32),F32,C32)</f>
        <v>0</v>
      </c>
    </row>
    <row r="33" customFormat="false" ht="15" hidden="false" customHeight="true" outlineLevel="0" collapsed="false">
      <c r="B33" s="25" t="s">
        <v>741</v>
      </c>
      <c r="C33" s="26"/>
      <c r="D33" s="27" t="s">
        <v>217</v>
      </c>
      <c r="E33" s="28" t="s">
        <v>379</v>
      </c>
      <c r="F33" s="29" t="n">
        <v>0</v>
      </c>
      <c r="G33" s="30" t="n">
        <f aca="false">IF(ISBLANK(C33),F33,C33)</f>
        <v>0</v>
      </c>
    </row>
    <row r="34" customFormat="false" ht="15" hidden="false" customHeight="true" outlineLevel="0" collapsed="false">
      <c r="B34" s="25" t="s">
        <v>742</v>
      </c>
      <c r="C34" s="26"/>
      <c r="D34" s="27" t="s">
        <v>217</v>
      </c>
      <c r="E34" s="28" t="s">
        <v>743</v>
      </c>
      <c r="F34" s="29" t="n">
        <v>0</v>
      </c>
      <c r="G34" s="30" t="n">
        <f aca="false">IF(ISBLANK(C34),F34,C34)</f>
        <v>0</v>
      </c>
    </row>
    <row r="36" customFormat="false" ht="15" hidden="false" customHeight="true" outlineLevel="0" collapsed="false">
      <c r="B36" s="13" t="s">
        <v>326</v>
      </c>
      <c r="C36" s="14"/>
      <c r="D36" s="14"/>
      <c r="E36" s="14"/>
      <c r="F36" s="14"/>
      <c r="G36" s="14"/>
    </row>
    <row r="37" customFormat="false" ht="15" hidden="false" customHeight="true" outlineLevel="0" collapsed="false">
      <c r="B37" s="25" t="s">
        <v>721</v>
      </c>
      <c r="C37" s="58" t="str">
        <f aca="false">IF(ISBLANK(Stmt_Fund_Value),Pension_Today,Stmt_Fund_Value)</f>
        <v/>
      </c>
      <c r="D37" s="59" t="str">
        <f aca="false">IF(ISBLANK(Stmt_Fund_Value),"Your figure","From your statement")</f>
        <v>Your figure</v>
      </c>
      <c r="E37" s="49" t="s">
        <v>744</v>
      </c>
    </row>
    <row r="38" customFormat="false" ht="15" hidden="false" customHeight="true" outlineLevel="0" collapsed="false">
      <c r="B38" s="25" t="s">
        <v>723</v>
      </c>
      <c r="C38" s="58" t="str">
        <f aca="false">IF(COUNT(Stmt_You_Monthly,Stmt_Employer_Monthly)=0,Monthly_Contribution,SUM(Stmt_You_Monthly,Stmt_Employer_Monthly))</f>
        <v/>
      </c>
      <c r="D38" s="59" t="str">
        <f aca="false">IF(COUNT(Stmt_You_Monthly,Stmt_Employer_Monthly)=0,"Your figure","From your statement")</f>
        <v>Your figure</v>
      </c>
      <c r="E38" s="49" t="s">
        <v>745</v>
      </c>
    </row>
    <row r="39" customFormat="false" ht="15" hidden="false" customHeight="true" outlineLevel="0" collapsed="false">
      <c r="B39" s="25" t="s">
        <v>746</v>
      </c>
      <c r="C39" s="60" t="str">
        <f aca="false">IF(ISBLANK(Stmt_Charges),Growth_Rate,IF(OR(Growth_Rate="",Typical_Pension_Charges=""),"",Growth_Rate+Typical_Pension_Charges-Stmt_Charges))</f>
        <v/>
      </c>
      <c r="D39" s="59" t="str">
        <f aca="false">IF(ISBLANK(Stmt_Charges),"Your figure","Adjusted for your statement's charges")</f>
        <v>Your figure</v>
      </c>
      <c r="E39" s="49" t="s">
        <v>747</v>
      </c>
    </row>
    <row r="40" customFormat="false" ht="21.75" hidden="false" customHeight="true" outlineLevel="0" collapsed="false">
      <c r="B40" s="25" t="s">
        <v>748</v>
      </c>
      <c r="C40" s="45" t="str">
        <f aca="false">IF(Need_1&lt;&gt;"",Need_1,IF(AND(NOT(ISBLANK(Stmt_Projected_Fund)),Stmt_NRA=Retirement_Age+Retire_Later,Save_More=0),"Yes","No"))</f>
        <v>Choose your retirement age to see this</v>
      </c>
      <c r="D40" s="27"/>
      <c r="E40" s="42" t="s">
        <v>749</v>
      </c>
    </row>
    <row r="41" customFormat="false" ht="21.75" hidden="false" customHeight="true" outlineLevel="0" collapsed="false">
      <c r="B41" s="25" t="s">
        <v>332</v>
      </c>
      <c r="C41" s="45" t="str">
        <f aca="true">IF(ISBLANK(Stmt_Statement_Date),"",IF(TODAY()-Stmt_Statement_Date&gt;Statement_Max_Age_Days,"Needs a look: statement is more than 12 months old","Up to date"))</f>
        <v/>
      </c>
      <c r="D41" s="27"/>
      <c r="E41" s="42" t="s">
        <v>333</v>
      </c>
    </row>
    <row r="43" customFormat="false" ht="15" hidden="false" customHeight="true" outlineLevel="0" collapsed="false">
      <c r="B43" s="13" t="s">
        <v>239</v>
      </c>
      <c r="C43" s="24" t="s">
        <v>240</v>
      </c>
      <c r="D43" s="24" t="s">
        <v>241</v>
      </c>
      <c r="E43" s="24" t="s">
        <v>242</v>
      </c>
      <c r="F43" s="14"/>
      <c r="G43" s="14"/>
    </row>
    <row r="44" customFormat="false" ht="17.25" hidden="false" customHeight="true" outlineLevel="0" collapsed="false">
      <c r="B44" s="21" t="s">
        <v>750</v>
      </c>
      <c r="C44" s="41" t="str">
        <f aca="false">IF(Need_2&lt;&gt;"",Need_2,IF(ISNUMBER(Fund_Today),Target_Today-Fund_Today,Fund_Today))</f>
        <v>Choose your age to see this</v>
      </c>
      <c r="D44" s="63" t="str">
        <f aca="false">IF(Need_2&lt;&gt;"",Need_2,IF(ISNUMBER(Gap_Today),IF(Gap_Today&gt;0,"Gap of "&amp;TEXT(Gap_Today,"€#,##0")&amp;" in today's money","On track: no gap"),Gap_Today))</f>
        <v>Choose your age to see this</v>
      </c>
      <c r="E44" s="42" t="s">
        <v>751</v>
      </c>
    </row>
    <row r="45" customFormat="false" ht="17.25" hidden="false" customHeight="true" outlineLevel="0" collapsed="false">
      <c r="B45" s="21" t="s">
        <v>752</v>
      </c>
      <c r="C45" s="41" t="str">
        <f aca="false">IF(Need_3&lt;&gt;"",Need_3,IF(Use_Statement_Projection="Yes",Stmt_Projected_Fund,Calculated_Fund))</f>
        <v>Choose your age to see this</v>
      </c>
      <c r="D45" s="63" t="str">
        <f aca="false">IF(Need_3&lt;&gt;"",Need_3,IF(Use_Statement_Projection="Yes","From your statement","Calculated"))</f>
        <v>Choose your age to see this</v>
      </c>
      <c r="E45" s="42" t="s">
        <v>753</v>
      </c>
    </row>
    <row r="46" customFormat="false" ht="42.75" hidden="false" customHeight="true" outlineLevel="0" collapsed="false">
      <c r="B46" s="21" t="s">
        <v>754</v>
      </c>
      <c r="C46" s="41" t="str">
        <f aca="false">IF(Need_3&lt;&gt;"",Need_3,IF(AND(Use_Statement_Projection="Yes",Stmt_Projection_Today&lt;&gt;"No"),Stmt_Projected_Fund,IF(Inflation_Choice="","Choose your inflation rate to see this",Projected_Fund/(1+Inflation_Choice)^Years_To_Retirement)))</f>
        <v>Choose your age to see this</v>
      </c>
      <c r="D46" s="27" t="s">
        <v>217</v>
      </c>
      <c r="E46" s="42" t="s">
        <v>755</v>
      </c>
    </row>
    <row r="47" customFormat="false" ht="15" hidden="false" customHeight="true" outlineLevel="0" collapsed="false">
      <c r="B47" s="25" t="s">
        <v>756</v>
      </c>
      <c r="C47" s="43" t="str">
        <f aca="false">IF(Need_3&lt;&gt;"",Need_3,Used_Pension_Today*(1+Used_Growth_Rate)^Years_To_Retirement+Contributions_Grow_To)</f>
        <v>Choose your age to see this</v>
      </c>
      <c r="D47" s="27" t="s">
        <v>217</v>
      </c>
      <c r="E47" s="42" t="s">
        <v>757</v>
      </c>
    </row>
    <row r="48" customFormat="false" ht="17.25" hidden="false" customHeight="true" outlineLevel="0" collapsed="false">
      <c r="B48" s="21" t="s">
        <v>758</v>
      </c>
      <c r="C48" s="41" t="str">
        <f aca="false">IF(Need_4&lt;&gt;"",Need_4,MAX(0,Desired_Income-Spend_Less-Other_Income)*Retire_Multiple+Bridge_Years*Other_Income)</f>
        <v>Choose your retirement age to see this</v>
      </c>
      <c r="D48" s="27" t="s">
        <v>217</v>
      </c>
      <c r="E48" s="42" t="s">
        <v>759</v>
      </c>
    </row>
    <row r="49" customFormat="false" ht="15" hidden="false" customHeight="true" outlineLevel="0" collapsed="false">
      <c r="B49" s="25" t="s">
        <v>760</v>
      </c>
      <c r="C49" s="66" t="str">
        <f aca="false">IF(Need_1&lt;&gt;"",Need_1,MAX(0,State_Pension_Age-(Retirement_Age+Retire_Later)))</f>
        <v>Choose your retirement age to see this</v>
      </c>
      <c r="D49" s="27" t="s">
        <v>231</v>
      </c>
      <c r="E49" s="42" t="s">
        <v>761</v>
      </c>
    </row>
    <row r="50" customFormat="false" ht="15" hidden="false" customHeight="true" outlineLevel="0" collapsed="false">
      <c r="B50" s="25" t="s">
        <v>762</v>
      </c>
      <c r="C50" s="43" t="str">
        <f aca="false">IF(Need_5&lt;&gt;"",Need_5,MIN(Projected_Fund*Lump_Sum_Pct,Lump_Sum_Cap))</f>
        <v>Choose your age to see this</v>
      </c>
      <c r="D50" s="27" t="s">
        <v>217</v>
      </c>
      <c r="E50" s="42" t="s">
        <v>763</v>
      </c>
    </row>
    <row r="51" customFormat="false" ht="15" hidden="false" customHeight="true" outlineLevel="0" collapsed="false">
      <c r="B51" s="25" t="s">
        <v>764</v>
      </c>
      <c r="C51" s="43" t="str">
        <f aca="false">IF(Need_5&lt;&gt;"",Need_5,Lump_Sum_Rate*MAX(0,Lump_Sum-Lump_Sum_Tax_Free))</f>
        <v>Choose your age to see this</v>
      </c>
      <c r="D51" s="27" t="s">
        <v>217</v>
      </c>
      <c r="E51" s="42" t="s">
        <v>765</v>
      </c>
    </row>
    <row r="52" customFormat="false" ht="15" hidden="false" customHeight="true" outlineLevel="0" collapsed="false">
      <c r="B52" s="25" t="s">
        <v>766</v>
      </c>
      <c r="C52" s="43" t="str">
        <f aca="false">IF(Need_5&lt;&gt;"",Need_5,Lump_Sum-Lump_Sum_Tax)</f>
        <v>Choose your age to see this</v>
      </c>
      <c r="D52" s="27" t="s">
        <v>217</v>
      </c>
      <c r="E52" s="42" t="s">
        <v>767</v>
      </c>
    </row>
    <row r="53" customFormat="false" ht="15" hidden="false" customHeight="true" outlineLevel="0" collapsed="false">
      <c r="B53" s="72" t="s">
        <v>768</v>
      </c>
      <c r="C53" s="73" t="str">
        <f aca="false">IF(Need_1&lt;&gt;"","",IF(Retirement_Age+Retire_Later&lt;Pension_Earliest_Age,"Most pensions can't be taken before 60 (PRSA and personal pensions; occupational schemes from 50 only if you have left that job).",""))</f>
        <v/>
      </c>
      <c r="D53" s="73"/>
      <c r="E53" s="73"/>
    </row>
    <row r="54" customFormat="false" ht="15" hidden="false" customHeight="true" outlineLevel="0" collapsed="false">
      <c r="B54" s="72" t="s">
        <v>768</v>
      </c>
      <c r="C54" s="73" t="str">
        <f aca="false">IF(Need_3&lt;&gt;"","",IF(Projected_Fund&gt;SFT_2026,"Above the Standard Fund Threshold (€2.2m in 2026, rising to €2.8m by 2029): the excess is taxed at "&amp;TEXT(SFT_Tax,"0%")&amp;".",""))</f>
        <v/>
      </c>
      <c r="D54" s="73"/>
      <c r="E54" s="73"/>
    </row>
    <row r="55" customFormat="false" ht="15" hidden="false" customHeight="true" outlineLevel="0" collapsed="false">
      <c r="B55" s="25" t="s">
        <v>769</v>
      </c>
      <c r="C55" s="66" t="str">
        <f aca="false">IF(Need_6&lt;&gt;"",Need_6,MAX(1,Retirement_Age+Retire_Later-Age))</f>
        <v>Choose your age to see this</v>
      </c>
      <c r="D55" s="27" t="s">
        <v>231</v>
      </c>
      <c r="E55" s="42" t="s">
        <v>770</v>
      </c>
    </row>
    <row r="56" customFormat="false" ht="15" hidden="false" customHeight="true" outlineLevel="0" collapsed="false">
      <c r="B56" s="25" t="s">
        <v>771</v>
      </c>
      <c r="C56" s="43" t="str">
        <f aca="false">IF(Need_7&lt;&gt;"",Need_7,Used_Monthly_Contribution+Save_More)</f>
        <v>Choose your monthly contributions to see this</v>
      </c>
      <c r="D56" s="27" t="s">
        <v>217</v>
      </c>
      <c r="E56" s="42" t="s">
        <v>772</v>
      </c>
    </row>
    <row r="57" customFormat="false" ht="21.75" hidden="false" customHeight="true" outlineLevel="0" collapsed="false">
      <c r="B57" s="25" t="s">
        <v>773</v>
      </c>
      <c r="C57" s="43" t="str">
        <f aca="false">IF(Need_8&lt;&gt;"",Need_8,IF(Used_Growth_Rate=Wage,12*Contribution*Years_To_Retirement*(1+Used_Growth_Rate)^(Years_To_Retirement-1),12*Contribution*((1+Used_Growth_Rate)^Years_To_Retirement-(1+Wage)^Years_To_Retirement)/(Used_Growth_Rate-Wage)))</f>
        <v>Choose your age to see this</v>
      </c>
      <c r="D57" s="27" t="s">
        <v>217</v>
      </c>
      <c r="E57" s="42" t="s">
        <v>774</v>
      </c>
    </row>
    <row r="59" customFormat="false" ht="15" hidden="false" customHeight="true" outlineLevel="0" collapsed="false">
      <c r="B59" s="13" t="s">
        <v>272</v>
      </c>
      <c r="C59" s="14"/>
      <c r="D59" s="14"/>
      <c r="E59" s="14"/>
      <c r="F59" s="14"/>
      <c r="G59" s="14"/>
    </row>
    <row r="60" customFormat="false" ht="27.75" hidden="false" customHeight="true" outlineLevel="0" collapsed="false">
      <c r="B60" s="46" t="s">
        <v>775</v>
      </c>
      <c r="C60" s="46"/>
      <c r="D60" s="46"/>
      <c r="E60" s="46"/>
    </row>
    <row r="61" customFormat="false" ht="27.75" hidden="false" customHeight="true" outlineLevel="0" collapsed="false">
      <c r="B61" s="46" t="s">
        <v>776</v>
      </c>
      <c r="C61" s="46"/>
      <c r="D61" s="46"/>
      <c r="E61" s="46"/>
    </row>
    <row r="62" customFormat="false" ht="27.75" hidden="false" customHeight="true" outlineLevel="0" collapsed="false">
      <c r="B62" s="46" t="s">
        <v>777</v>
      </c>
      <c r="C62" s="46"/>
      <c r="D62" s="46"/>
      <c r="E62" s="46"/>
    </row>
    <row r="63" customFormat="false" ht="27.75" hidden="false" customHeight="true" outlineLevel="0" collapsed="false">
      <c r="B63" s="46" t="s">
        <v>778</v>
      </c>
      <c r="C63" s="46"/>
      <c r="D63" s="46"/>
      <c r="E63" s="46"/>
    </row>
    <row r="64" customFormat="false" ht="13.5" hidden="false" customHeight="true" outlineLevel="0" collapsed="false">
      <c r="B64" s="47" t="s">
        <v>276</v>
      </c>
      <c r="C64" s="47"/>
      <c r="D64" s="47"/>
      <c r="E64" s="47"/>
    </row>
    <row r="65" customFormat="false" ht="13.5" hidden="false" customHeight="true" outlineLevel="0" collapsed="false">
      <c r="B65" s="46" t="s">
        <v>779</v>
      </c>
      <c r="C65" s="46"/>
      <c r="D65" s="46"/>
      <c r="E65" s="46"/>
    </row>
    <row r="66" customFormat="false" ht="27.75" hidden="false" customHeight="true" outlineLevel="0" collapsed="false">
      <c r="B66" s="46" t="s">
        <v>780</v>
      </c>
      <c r="C66" s="46"/>
      <c r="D66" s="46"/>
      <c r="E66" s="46"/>
    </row>
    <row r="67" customFormat="false" ht="13.5" hidden="false" customHeight="true" outlineLevel="0" collapsed="false">
      <c r="B67" s="46" t="s">
        <v>781</v>
      </c>
      <c r="C67" s="46"/>
      <c r="D67" s="46"/>
      <c r="E67" s="46"/>
    </row>
    <row r="69" customFormat="false" ht="15" hidden="false" customHeight="true" outlineLevel="0" collapsed="false">
      <c r="B69" s="13" t="s">
        <v>281</v>
      </c>
      <c r="C69" s="14"/>
      <c r="D69" s="14"/>
      <c r="E69" s="14"/>
      <c r="F69" s="14"/>
      <c r="G69" s="14"/>
    </row>
    <row r="70" customFormat="false" ht="15" hidden="false" customHeight="true" outlineLevel="0" collapsed="false">
      <c r="B70" s="25" t="s">
        <v>282</v>
      </c>
      <c r="C70" s="48" t="str">
        <f aca="false">"Update your retirement goal (no new goal)"</f>
        <v>Update your retirement goal (no new goal)</v>
      </c>
      <c r="E70" s="49" t="s">
        <v>782</v>
      </c>
    </row>
    <row r="71" customFormat="false" ht="15" hidden="false" customHeight="true" outlineLevel="0" collapsed="false">
      <c r="B71" s="25" t="s">
        <v>783</v>
      </c>
      <c r="C71" s="50" t="str">
        <f aca="false">IF(Need_9&lt;&gt;"",Need_9,Desired_Income-Spend_Less)</f>
        <v>Choose your desired retirement income to see this</v>
      </c>
      <c r="E71" s="49" t="s">
        <v>784</v>
      </c>
    </row>
    <row r="72" customFormat="false" ht="15" hidden="false" customHeight="true" outlineLevel="0" collapsed="false">
      <c r="B72" s="25" t="s">
        <v>785</v>
      </c>
      <c r="C72" s="51" t="str">
        <f aca="false">IF(Need_1&lt;&gt;"",Need_1,Retirement_Age+Retire_Later)</f>
        <v>Choose your retirement age to see this</v>
      </c>
      <c r="E72" s="49" t="s">
        <v>786</v>
      </c>
    </row>
    <row r="73" customFormat="false" ht="15" hidden="false" customHeight="true" outlineLevel="0" collapsed="false">
      <c r="B73" s="25" t="s">
        <v>585</v>
      </c>
      <c r="C73" s="69" t="str">
        <f aca="false">IF(Inflation_Choice="","Choose an inflation rate first",Inflation_Choice)</f>
        <v>Choose an inflation rate first</v>
      </c>
      <c r="E73" s="49" t="s">
        <v>586</v>
      </c>
    </row>
    <row r="74" customFormat="false" ht="13.5" hidden="false" customHeight="true" outlineLevel="0" collapsed="false">
      <c r="B74" s="53" t="s">
        <v>787</v>
      </c>
      <c r="C74" s="53"/>
      <c r="D74" s="53"/>
      <c r="E74" s="53"/>
    </row>
    <row r="76" customFormat="false" ht="15" hidden="false" customHeight="true" outlineLevel="0" collapsed="false">
      <c r="B76" s="13" t="s">
        <v>290</v>
      </c>
      <c r="C76" s="14"/>
      <c r="D76" s="14"/>
      <c r="E76" s="14"/>
      <c r="F76" s="14"/>
      <c r="G76" s="14"/>
    </row>
    <row r="77" customFormat="false" ht="15" hidden="false" customHeight="true" outlineLevel="0" collapsed="false">
      <c r="B77" s="52" t="s">
        <v>788</v>
      </c>
      <c r="C77" s="52" t="str">
        <f aca="false">IF(Retirement_Age="","Choose your retirement age to see this","")</f>
        <v>Choose your retirement age to see this</v>
      </c>
    </row>
    <row r="78" customFormat="false" ht="15" hidden="false" customHeight="true" outlineLevel="0" collapsed="false">
      <c r="B78" s="52" t="s">
        <v>789</v>
      </c>
      <c r="C78" s="52" t="str">
        <f aca="false">IF(Age="","Choose your age to see this",IF(Retirement_Age="","Choose your retirement age to see this",IF(Desired_Income="","Choose your desired retirement income to see this",IF(Other_Income="","Choose your other income (State Pension) to see this",IF(Wage="","Choose your pay rise to see this",IF(Retire_Multiple="","Choose your retirement multiple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79" customFormat="false" ht="15" hidden="false" customHeight="true" outlineLevel="0" collapsed="false">
      <c r="B79" s="52" t="s">
        <v>790</v>
      </c>
      <c r="C79" s="52" t="str">
        <f aca="false">IF(Age="","Choose your age to see this",IF(Retirement_Age="","Choose your retirement age to see this",IF(Wage="","Choose your pay rise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0" customFormat="false" ht="15" hidden="false" customHeight="true" outlineLevel="0" collapsed="false">
      <c r="B80" s="52" t="s">
        <v>791</v>
      </c>
      <c r="C80" s="52" t="str">
        <f aca="false">IF(Retirement_Age="","Choose your retirement age to see this",IF(Desired_Income="","Choose your desired retirement income to see this",IF(Other_Income="","Choose your other income (State Pension) to see this",IF(Retire_Multiple="","Choose your retirement multiple to see this",""))))</f>
        <v>Choose your retirement age to see this</v>
      </c>
    </row>
    <row r="81" customFormat="false" ht="15" hidden="false" customHeight="true" outlineLevel="0" collapsed="false">
      <c r="B81" s="52" t="s">
        <v>792</v>
      </c>
      <c r="C81" s="52" t="str">
        <f aca="false">IF(Age="","Choose your age to see this",IF(Retirement_Age="","Choose your retirement age to see this",IF(Wage="","Choose your pay rise to see this",IF(Lump_Sum_Pct="","Choose your lump sum share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2" customFormat="false" ht="15" hidden="false" customHeight="true" outlineLevel="0" collapsed="false">
      <c r="B82" s="52" t="s">
        <v>793</v>
      </c>
      <c r="C82" s="52" t="str">
        <f aca="false">IF(Age="","Choose your age to see this",IF(Retirement_Age="","Choose your retirement age to see this",""))</f>
        <v>Choose your age to see this</v>
      </c>
    </row>
    <row r="83" customFormat="false" ht="15" hidden="false" customHeight="true" outlineLevel="0" collapsed="false">
      <c r="B83" s="52" t="s">
        <v>794</v>
      </c>
      <c r="C83" s="52" t="str">
        <f aca="false">IF(NOT(ISNUMBER(Used_Monthly_Contribution)),IF(Used_Monthly_Contribution="",IF(Monthly_Contribution="","Choose your monthly contributions to see this",""),Used_Monthly_Contribution),"")</f>
        <v>Choose your monthly contributions to see this</v>
      </c>
    </row>
    <row r="84" customFormat="false" ht="15" hidden="false" customHeight="true" outlineLevel="0" collapsed="false">
      <c r="B84" s="52" t="s">
        <v>795</v>
      </c>
      <c r="C84" s="52" t="str">
        <f aca="false">IF(Age="","Choose your age to see this",IF(Retirement_Age="","Choose your retirement age to see this",IF(Wage="","Choose your pay rise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5" customFormat="false" ht="15" hidden="false" customHeight="true" outlineLevel="0" collapsed="false">
      <c r="B85" s="52" t="s">
        <v>796</v>
      </c>
      <c r="C85" s="52" t="str">
        <f aca="false">IF(Desired_Income="","Choose your desired retirement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3">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50 to 75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50</formula1>
      <formula2>75</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Goals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Goals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0.05%." errorStyle="stop" errorTitle="Outside the allowed range" operator="between" prompt="Usually between 0.5% and 1.5% a year for pension charges (your statement shows yours). Enter your own figure.  Allowed: 0% to 2.5% · steps of 0.05%." promptTitle="Typical pension charges (if your" showDropDown="false" showErrorMessage="true" showInputMessage="true" sqref="C30" type="decimal">
      <formula1>0</formula1>
      <formula2>0.025</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200000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797</v>
      </c>
      <c r="E1" s="3" t="s">
        <v>798</v>
      </c>
    </row>
    <row r="2" customFormat="false" ht="15" hidden="false" customHeight="true" outlineLevel="0" collapsed="false">
      <c r="B2" s="21" t="s">
        <v>799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800</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801</v>
      </c>
      <c r="C10" s="53"/>
      <c r="D10" s="53"/>
      <c r="E10" s="53"/>
    </row>
    <row r="11" customFormat="false" ht="15" hidden="false" customHeight="true" outlineLevel="0" collapsed="false">
      <c r="B11" s="25" t="s">
        <v>632</v>
      </c>
      <c r="C11" s="55"/>
      <c r="D11" s="27" t="s">
        <v>228</v>
      </c>
      <c r="E11" s="28" t="s">
        <v>633</v>
      </c>
      <c r="G11" s="52" t="s">
        <v>306</v>
      </c>
    </row>
    <row r="12" customFormat="false" ht="15" hidden="false" customHeight="true" outlineLevel="0" collapsed="false">
      <c r="B12" s="25" t="s">
        <v>313</v>
      </c>
      <c r="C12" s="57"/>
      <c r="D12" s="27" t="s">
        <v>314</v>
      </c>
      <c r="E12" s="28" t="s">
        <v>315</v>
      </c>
      <c r="G12" s="52" t="s">
        <v>306</v>
      </c>
    </row>
    <row r="14" customFormat="false" ht="15" hidden="false" customHeight="true" outlineLevel="0" collapsed="false">
      <c r="B14" s="13" t="s">
        <v>316</v>
      </c>
      <c r="C14" s="24" t="s">
        <v>213</v>
      </c>
      <c r="D14" s="24" t="s">
        <v>214</v>
      </c>
      <c r="E14" s="24" t="s">
        <v>215</v>
      </c>
      <c r="F14" s="14"/>
      <c r="G14" s="14"/>
    </row>
    <row r="15" customFormat="false" ht="21.75" hidden="false" customHeight="true" outlineLevel="0" collapsed="false">
      <c r="B15" s="25" t="s">
        <v>802</v>
      </c>
      <c r="C15" s="26"/>
      <c r="D15" s="27" t="s">
        <v>217</v>
      </c>
      <c r="E15" s="28" t="s">
        <v>218</v>
      </c>
      <c r="F15" s="29" t="n">
        <v>60000</v>
      </c>
      <c r="G15" s="30" t="str">
        <f aca="false">IF(ISBLANK(C15),IF(Fill_Example="Yes",F15,""),C15)</f>
        <v/>
      </c>
    </row>
    <row r="16" customFormat="false" ht="15" hidden="false" customHeight="true" outlineLevel="0" collapsed="false">
      <c r="B16" s="25" t="s">
        <v>803</v>
      </c>
      <c r="C16" s="34"/>
      <c r="D16" s="27" t="s">
        <v>228</v>
      </c>
      <c r="E16" s="28" t="s">
        <v>804</v>
      </c>
      <c r="F16" s="36" t="n">
        <v>0.02</v>
      </c>
      <c r="G16" s="37" t="str">
        <f aca="false">IF(ISBLANK(C16),IF(Fill_Example="Yes",F16,""),C16)</f>
        <v/>
      </c>
    </row>
    <row r="17" customFormat="false" ht="21.75" hidden="false" customHeight="true" outlineLevel="0" collapsed="false">
      <c r="B17" s="25" t="s">
        <v>769</v>
      </c>
      <c r="C17" s="38"/>
      <c r="D17" s="27" t="s">
        <v>231</v>
      </c>
      <c r="E17" s="28" t="s">
        <v>805</v>
      </c>
      <c r="F17" s="39" t="n">
        <v>25</v>
      </c>
      <c r="G17" s="40" t="str">
        <f aca="false">IF(ISBLANK(C17),IF(Fill_Example="Yes",F17,""),C17)</f>
        <v/>
      </c>
    </row>
    <row r="18" customFormat="false" ht="21.75" hidden="false" customHeight="true" outlineLevel="0" collapsed="false">
      <c r="B18" s="25" t="s">
        <v>806</v>
      </c>
      <c r="C18" s="34"/>
      <c r="D18" s="27" t="s">
        <v>228</v>
      </c>
      <c r="E18" s="35" t="s">
        <v>807</v>
      </c>
      <c r="F18" s="36" t="n">
        <v>0.045</v>
      </c>
      <c r="G18" s="37" t="str">
        <f aca="false">IF(ISBLANK(C18),IF(Fill_Example="Yes",F18,""),C18)</f>
        <v/>
      </c>
    </row>
    <row r="19" customFormat="false" ht="21.75" hidden="false" customHeight="true" outlineLevel="0" collapsed="false">
      <c r="B19" s="25" t="s">
        <v>735</v>
      </c>
      <c r="C19" s="34"/>
      <c r="D19" s="27" t="s">
        <v>228</v>
      </c>
      <c r="E19" s="35" t="s">
        <v>736</v>
      </c>
      <c r="F19" s="36" t="n">
        <v>0.01</v>
      </c>
      <c r="G19" s="37" t="str">
        <f aca="false">IF(ISBLANK(C19),IF(Fill_Example="Yes",F19,""),C19)</f>
        <v/>
      </c>
    </row>
    <row r="20" customFormat="false" ht="33" hidden="false" customHeight="true" outlineLevel="0" collapsed="false">
      <c r="B20" s="25" t="s">
        <v>808</v>
      </c>
      <c r="C20" s="74"/>
      <c r="D20" s="27" t="s">
        <v>809</v>
      </c>
      <c r="E20" s="35" t="s">
        <v>810</v>
      </c>
      <c r="F20" s="75" t="str">
        <f aca="false">TE_Marginal_Rate</f>
        <v>Choose your tax status to see this</v>
      </c>
      <c r="G20" s="76" t="str">
        <f aca="false">IF(ISBLANK(C20),IF(Fill_Example="Yes",F20,""),C20)</f>
        <v/>
      </c>
    </row>
    <row r="21" customFormat="false" ht="21.75" hidden="false" customHeight="true" outlineLevel="0" collapsed="false">
      <c r="B21" s="25" t="s">
        <v>811</v>
      </c>
      <c r="C21" s="38"/>
      <c r="D21" s="27" t="s">
        <v>712</v>
      </c>
      <c r="E21" s="28" t="s">
        <v>812</v>
      </c>
      <c r="F21" s="39" t="n">
        <v>40</v>
      </c>
      <c r="G21" s="40" t="str">
        <f aca="false">IF(ISBLANK(C21),IF(Fill_Example="Yes",F21,""),C21)</f>
        <v/>
      </c>
    </row>
    <row r="22" customFormat="false" ht="15" hidden="false" customHeight="true" outlineLevel="0" collapsed="false">
      <c r="B22" s="25" t="s">
        <v>813</v>
      </c>
      <c r="C22" s="26"/>
      <c r="D22" s="27" t="s">
        <v>217</v>
      </c>
      <c r="E22" s="28" t="s">
        <v>814</v>
      </c>
      <c r="F22" s="29" t="n">
        <v>0</v>
      </c>
      <c r="G22" s="30" t="n">
        <f aca="false">IF(ISBLANK(C22),F22,C22)</f>
        <v>0</v>
      </c>
    </row>
    <row r="24" customFormat="false" ht="15" hidden="false" customHeight="true" outlineLevel="0" collapsed="false">
      <c r="B24" s="13" t="s">
        <v>326</v>
      </c>
      <c r="C24" s="14"/>
      <c r="D24" s="14"/>
      <c r="E24" s="14"/>
      <c r="F24" s="14"/>
      <c r="G24" s="14"/>
    </row>
    <row r="25" customFormat="false" ht="15" hidden="false" customHeight="true" outlineLevel="0" collapsed="false">
      <c r="B25" s="25" t="s">
        <v>815</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747</v>
      </c>
    </row>
    <row r="26" customFormat="false" ht="21.75" hidden="false" customHeight="true" outlineLevel="0" collapsed="false">
      <c r="B26" s="25" t="s">
        <v>332</v>
      </c>
      <c r="C26" s="45" t="str">
        <f aca="true">IF(ISBLANK(Stmt_Statement_Date),"",IF(TODAY()-Stmt_Statement_Date&gt;Statement_Max_Age_Days,"Needs a look: statement is more than 12 months old","Up to date"))</f>
        <v/>
      </c>
      <c r="D26" s="27"/>
      <c r="E26" s="42" t="s">
        <v>333</v>
      </c>
    </row>
    <row r="28" customFormat="false" ht="15" hidden="false" customHeight="true" outlineLevel="0" collapsed="false">
      <c r="B28" s="13" t="s">
        <v>239</v>
      </c>
      <c r="C28" s="24" t="s">
        <v>240</v>
      </c>
      <c r="D28" s="24" t="s">
        <v>241</v>
      </c>
      <c r="E28" s="24" t="s">
        <v>242</v>
      </c>
      <c r="F28" s="14"/>
      <c r="G28" s="14"/>
    </row>
    <row r="29" customFormat="false" ht="17.25" hidden="false" customHeight="true" outlineLevel="0" collapsed="false">
      <c r="B29" s="21" t="s">
        <v>816</v>
      </c>
      <c r="C29" s="41" t="str">
        <f aca="false">IF(Need_1&lt;&gt;"",Need_1,FV((1+Used_Growth_Rate)^(1/12)-1,Years*12,-Extra_Per_Month))</f>
        <v>Choose your salary to see this</v>
      </c>
      <c r="D29" s="27" t="s">
        <v>217</v>
      </c>
      <c r="E29" s="42" t="s">
        <v>817</v>
      </c>
    </row>
    <row r="30" customFormat="false" ht="17.25" hidden="false" customHeight="true" outlineLevel="0" collapsed="false">
      <c r="B30" s="21" t="s">
        <v>607</v>
      </c>
      <c r="C30" s="41" t="str">
        <f aca="false">IF(Need_2&lt;&gt;"",Need_2,IF(Inflation_Choice="","Choose your inflation rate to see this",Grows_To/(1+Inflation_Choice)^Years))</f>
        <v>Choose your inflation rate to see this</v>
      </c>
      <c r="D30" s="27" t="s">
        <v>217</v>
      </c>
      <c r="E30" s="42" t="s">
        <v>608</v>
      </c>
    </row>
    <row r="31" customFormat="false" ht="15" hidden="false" customHeight="true" outlineLevel="0" collapsed="false">
      <c r="B31" s="25" t="s">
        <v>818</v>
      </c>
      <c r="C31" s="43" t="str">
        <f aca="false">IF(Need_3&lt;&gt;"",Need_3,Salary*Increase_Pct/12)</f>
        <v>Choose your salary to see this</v>
      </c>
      <c r="D31" s="27" t="s">
        <v>217</v>
      </c>
      <c r="E31" s="42" t="s">
        <v>819</v>
      </c>
    </row>
    <row r="32" customFormat="false" ht="15" hidden="false" customHeight="true" outlineLevel="0" collapsed="false">
      <c r="B32" s="25" t="s">
        <v>820</v>
      </c>
      <c r="C32" s="43" t="str">
        <f aca="false">IF(Need_4&lt;&gt;"",Need_4,Extra_Per_Month-Relief_Per_Month)</f>
        <v>Choose your salary to see this</v>
      </c>
      <c r="D32" s="27" t="s">
        <v>217</v>
      </c>
      <c r="E32" s="42" t="s">
        <v>821</v>
      </c>
    </row>
    <row r="33" customFormat="false" ht="15" hidden="false" customHeight="true" outlineLevel="0" collapsed="false">
      <c r="B33" s="25" t="s">
        <v>822</v>
      </c>
      <c r="C33" s="43" t="str">
        <f aca="false">IF(Need_5&lt;&gt;"",Need_5,LOOKUP(Age,Relief_Age_From,Relief_Age_Pct)*MIN(Salary,Relief_Earnings_Cap))</f>
        <v>Choose your salary to see this</v>
      </c>
      <c r="D33" s="27" t="s">
        <v>217</v>
      </c>
      <c r="E33" s="42" t="s">
        <v>823</v>
      </c>
    </row>
    <row r="34" customFormat="false" ht="15" hidden="false" customHeight="true" outlineLevel="0" collapsed="false">
      <c r="B34" s="25" t="s">
        <v>824</v>
      </c>
      <c r="C34" s="43" t="str">
        <f aca="false">IF(Need_5&lt;&gt;"",Need_5,MAX(0,Relief_Limit_Year-Existing_Pension_Year))</f>
        <v>Choose your salary to see this</v>
      </c>
      <c r="D34" s="27" t="s">
        <v>217</v>
      </c>
      <c r="E34" s="42" t="s">
        <v>825</v>
      </c>
    </row>
    <row r="35" customFormat="false" ht="15" hidden="false" customHeight="true" outlineLevel="0" collapsed="false">
      <c r="B35" s="25" t="s">
        <v>826</v>
      </c>
      <c r="C35" s="43" t="str">
        <f aca="false">IF(Need_6&lt;&gt;"",Need_6,MIN(Extra_Per_Month*12,Relief_Room_Year))</f>
        <v>Choose your salary to see this</v>
      </c>
      <c r="D35" s="27" t="s">
        <v>217</v>
      </c>
      <c r="E35" s="42" t="s">
        <v>827</v>
      </c>
    </row>
    <row r="36" customFormat="false" ht="15" hidden="false" customHeight="true" outlineLevel="0" collapsed="false">
      <c r="B36" s="25" t="s">
        <v>828</v>
      </c>
      <c r="C36" s="43" t="str">
        <f aca="false">IF(Need_4&lt;&gt;"",Need_4,Relieved_Year*Tax_Rate/12)</f>
        <v>Choose your salary to see this</v>
      </c>
      <c r="D36" s="27" t="s">
        <v>217</v>
      </c>
      <c r="E36" s="42" t="s">
        <v>829</v>
      </c>
    </row>
    <row r="38" customFormat="false" ht="15" hidden="false" customHeight="true" outlineLevel="0" collapsed="false">
      <c r="B38" s="13" t="s">
        <v>272</v>
      </c>
      <c r="C38" s="14"/>
      <c r="D38" s="14"/>
      <c r="E38" s="14"/>
      <c r="F38" s="14"/>
      <c r="G38" s="14"/>
    </row>
    <row r="39" customFormat="false" ht="13.5" hidden="false" customHeight="true" outlineLevel="0" collapsed="false">
      <c r="B39" s="46" t="s">
        <v>830</v>
      </c>
      <c r="C39" s="46"/>
      <c r="D39" s="46"/>
      <c r="E39" s="46"/>
    </row>
    <row r="40" customFormat="false" ht="13.5" hidden="false" customHeight="true" outlineLevel="0" collapsed="false">
      <c r="B40" s="46" t="s">
        <v>831</v>
      </c>
      <c r="C40" s="46"/>
      <c r="D40" s="46"/>
      <c r="E40" s="46"/>
    </row>
    <row r="41" customFormat="false" ht="13.5" hidden="false" customHeight="true" outlineLevel="0" collapsed="false">
      <c r="B41" s="47" t="s">
        <v>276</v>
      </c>
      <c r="C41" s="47"/>
      <c r="D41" s="47"/>
      <c r="E41" s="47"/>
    </row>
    <row r="42" customFormat="false" ht="13.5" hidden="false" customHeight="true" outlineLevel="0" collapsed="false">
      <c r="B42" s="46" t="s">
        <v>832</v>
      </c>
      <c r="C42" s="46"/>
      <c r="D42" s="46"/>
      <c r="E42" s="46"/>
    </row>
    <row r="43" customFormat="false" ht="13.5" hidden="false" customHeight="true" outlineLevel="0" collapsed="false">
      <c r="B43" s="46" t="s">
        <v>833</v>
      </c>
      <c r="C43" s="46"/>
      <c r="D43" s="46"/>
      <c r="E43" s="46"/>
    </row>
    <row r="45" customFormat="false" ht="15" hidden="false" customHeight="true" outlineLevel="0" collapsed="false">
      <c r="B45" s="13" t="s">
        <v>281</v>
      </c>
      <c r="C45" s="14"/>
      <c r="D45" s="14"/>
      <c r="E45" s="14"/>
      <c r="F45" s="14"/>
      <c r="G45" s="14"/>
    </row>
    <row r="46" customFormat="false" ht="15" hidden="false" customHeight="true" outlineLevel="0" collapsed="false">
      <c r="B46" s="25" t="s">
        <v>282</v>
      </c>
      <c r="C46" s="48" t="str">
        <f aca="false">"No goal: raise the plan's pension contribution instead"</f>
        <v>No goal: raise the plan's pension contribution instead</v>
      </c>
      <c r="E46" s="49" t="s">
        <v>834</v>
      </c>
    </row>
    <row r="47" customFormat="false" ht="15" hidden="false" customHeight="true" outlineLevel="0" collapsed="false">
      <c r="B47" s="25" t="s">
        <v>835</v>
      </c>
      <c r="C47" s="50" t="str">
        <f aca="false">IF(Need_3&lt;&gt;"",Need_3,Extra_Per_Month)</f>
        <v>Choose your salary to see this</v>
      </c>
      <c r="E47" s="49" t="s">
        <v>836</v>
      </c>
    </row>
    <row r="48" customFormat="false" ht="13.5" hidden="false" customHeight="true" outlineLevel="0" collapsed="false">
      <c r="B48" s="53" t="s">
        <v>837</v>
      </c>
      <c r="C48" s="53"/>
      <c r="D48" s="53"/>
      <c r="E48" s="53"/>
    </row>
    <row r="50" customFormat="false" ht="15" hidden="false" customHeight="true" outlineLevel="0" collapsed="false">
      <c r="B50" s="13" t="s">
        <v>290</v>
      </c>
      <c r="C50" s="14"/>
      <c r="D50" s="14"/>
      <c r="E50" s="14"/>
      <c r="F50" s="14"/>
      <c r="G50" s="14"/>
    </row>
    <row r="51" customFormat="false" ht="15" hidden="false" customHeight="true" outlineLevel="0" collapsed="false">
      <c r="B51" s="52" t="s">
        <v>838</v>
      </c>
      <c r="C51" s="52"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2" t="s">
        <v>839</v>
      </c>
      <c r="C52" s="52" t="str">
        <f aca="false">IF(Inflation_Choice="","Choose your inflation rate to see this",IF(Salary="","Choose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3" customFormat="false" ht="15" hidden="false" customHeight="true" outlineLevel="0" collapsed="false">
      <c r="B53" s="52" t="s">
        <v>840</v>
      </c>
      <c r="C53" s="52" t="str">
        <f aca="false">IF(Salary="","Choose your salary to see this",IF(Increase_Pct="","Choose your contribution increase to see this",""))</f>
        <v>Choose your salary to see this</v>
      </c>
    </row>
    <row r="54" customFormat="false" ht="15" hidden="false" customHeight="true" outlineLevel="0" collapsed="false">
      <c r="B54" s="52" t="s">
        <v>841</v>
      </c>
      <c r="C54" s="52"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2" t="s">
        <v>842</v>
      </c>
      <c r="C55" s="52" t="str">
        <f aca="false">IF(Salary="","Choose your salary to see this",IF(Age="","Choose your age to see this",""))</f>
        <v>Choose your salary to see this</v>
      </c>
    </row>
    <row r="56" customFormat="false" ht="15" hidden="false" customHeight="true" outlineLevel="0" collapsed="false">
      <c r="B56" s="52" t="s">
        <v>843</v>
      </c>
      <c r="C56" s="52" t="str">
        <f aca="false">IF(Salary="","Choose your salary to see this",IF(Increase_Pct="","Choose your contribution increase to see this",IF(Age="","Choose your age to see this","")))</f>
        <v>Choose your salary to see this</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Usually between 0.5% and 1.5% a year for pension charges (your statement shows yours). Enter your own figure.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Goals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844</v>
      </c>
      <c r="E1" s="3" t="s">
        <v>845</v>
      </c>
    </row>
    <row r="2" customFormat="false" ht="15" hidden="false" customHeight="true" outlineLevel="0" collapsed="false">
      <c r="B2" s="21" t="s">
        <v>846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847</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848</v>
      </c>
      <c r="C10" s="53"/>
      <c r="D10" s="53"/>
      <c r="E10" s="53"/>
    </row>
    <row r="11" customFormat="false" ht="15" hidden="false" customHeight="true" outlineLevel="0" collapsed="false">
      <c r="B11" s="25" t="s">
        <v>632</v>
      </c>
      <c r="C11" s="55"/>
      <c r="D11" s="27" t="s">
        <v>228</v>
      </c>
      <c r="E11" s="28" t="s">
        <v>633</v>
      </c>
      <c r="G11" s="52" t="s">
        <v>306</v>
      </c>
    </row>
    <row r="12" customFormat="false" ht="15" hidden="false" customHeight="true" outlineLevel="0" collapsed="false">
      <c r="B12" s="25" t="s">
        <v>313</v>
      </c>
      <c r="C12" s="57"/>
      <c r="D12" s="27" t="s">
        <v>314</v>
      </c>
      <c r="E12" s="28" t="s">
        <v>315</v>
      </c>
      <c r="G12" s="52" t="s">
        <v>306</v>
      </c>
    </row>
    <row r="14" customFormat="false" ht="15" hidden="false" customHeight="true" outlineLevel="0" collapsed="false">
      <c r="B14" s="13" t="s">
        <v>316</v>
      </c>
      <c r="C14" s="24" t="s">
        <v>213</v>
      </c>
      <c r="D14" s="24" t="s">
        <v>214</v>
      </c>
      <c r="E14" s="24" t="s">
        <v>215</v>
      </c>
      <c r="F14" s="14"/>
      <c r="G14" s="14"/>
    </row>
    <row r="15" customFormat="false" ht="15" hidden="false" customHeight="true" outlineLevel="0" collapsed="false">
      <c r="B15" s="25" t="s">
        <v>849</v>
      </c>
      <c r="C15" s="26"/>
      <c r="D15" s="27" t="s">
        <v>217</v>
      </c>
      <c r="E15" s="28" t="s">
        <v>850</v>
      </c>
      <c r="F15" s="29" t="n">
        <v>200</v>
      </c>
      <c r="G15" s="30" t="str">
        <f aca="false">IF(ISBLANK(C15),IF(Fill_Example="Yes",F15,""),C15)</f>
        <v/>
      </c>
    </row>
    <row r="16" customFormat="false" ht="21.75" hidden="false" customHeight="true" outlineLevel="0" collapsed="false">
      <c r="B16" s="25" t="s">
        <v>851</v>
      </c>
      <c r="C16" s="26"/>
      <c r="D16" s="27" t="s">
        <v>217</v>
      </c>
      <c r="E16" s="28" t="s">
        <v>218</v>
      </c>
      <c r="F16" s="29" t="n">
        <v>60000</v>
      </c>
      <c r="G16" s="30" t="str">
        <f aca="false">IF(ISBLANK(C16),IF(Fill_Example="Yes",F16,""),C16)</f>
        <v/>
      </c>
    </row>
    <row r="17" customFormat="false" ht="21.75" hidden="false" customHeight="true" outlineLevel="0" collapsed="false">
      <c r="B17" s="25" t="s">
        <v>769</v>
      </c>
      <c r="C17" s="38"/>
      <c r="D17" s="27" t="s">
        <v>231</v>
      </c>
      <c r="E17" s="28" t="s">
        <v>852</v>
      </c>
      <c r="F17" s="39" t="n">
        <v>15</v>
      </c>
      <c r="G17" s="40" t="str">
        <f aca="false">IF(ISBLANK(C17),IF(Fill_Example="Yes",F17,""),C17)</f>
        <v/>
      </c>
    </row>
    <row r="18" customFormat="false" ht="21.75" hidden="false" customHeight="true" outlineLevel="0" collapsed="false">
      <c r="B18" s="25" t="s">
        <v>806</v>
      </c>
      <c r="C18" s="34"/>
      <c r="D18" s="27" t="s">
        <v>228</v>
      </c>
      <c r="E18" s="35" t="s">
        <v>807</v>
      </c>
      <c r="F18" s="36" t="n">
        <v>0.045</v>
      </c>
      <c r="G18" s="37" t="str">
        <f aca="false">IF(ISBLANK(C18),IF(Fill_Example="Yes",F18,""),C18)</f>
        <v/>
      </c>
    </row>
    <row r="19" customFormat="false" ht="21.75" hidden="false" customHeight="true" outlineLevel="0" collapsed="false">
      <c r="B19" s="25" t="s">
        <v>735</v>
      </c>
      <c r="C19" s="34"/>
      <c r="D19" s="27" t="s">
        <v>228</v>
      </c>
      <c r="E19" s="35" t="s">
        <v>736</v>
      </c>
      <c r="F19" s="36" t="n">
        <v>0.01</v>
      </c>
      <c r="G19" s="37" t="str">
        <f aca="false">IF(ISBLANK(C19),IF(Fill_Example="Yes",F19,""),C19)</f>
        <v/>
      </c>
    </row>
    <row r="20" customFormat="false" ht="33" hidden="false" customHeight="true" outlineLevel="0" collapsed="false">
      <c r="B20" s="25" t="s">
        <v>808</v>
      </c>
      <c r="C20" s="74"/>
      <c r="D20" s="27" t="s">
        <v>809</v>
      </c>
      <c r="E20" s="35" t="s">
        <v>810</v>
      </c>
      <c r="F20" s="75" t="str">
        <f aca="false">TE_Marginal_Rate</f>
        <v>Choose your tax status to see this</v>
      </c>
      <c r="G20" s="76" t="str">
        <f aca="false">IF(ISBLANK(C20),IF(Fill_Example="Yes",F20,""),C20)</f>
        <v/>
      </c>
    </row>
    <row r="21" customFormat="false" ht="21.75" hidden="false" customHeight="true" outlineLevel="0" collapsed="false">
      <c r="B21" s="25" t="s">
        <v>811</v>
      </c>
      <c r="C21" s="38"/>
      <c r="D21" s="27" t="s">
        <v>712</v>
      </c>
      <c r="E21" s="28" t="s">
        <v>812</v>
      </c>
      <c r="F21" s="39" t="n">
        <v>40</v>
      </c>
      <c r="G21" s="40" t="str">
        <f aca="false">IF(ISBLANK(C21),IF(Fill_Example="Yes",F21,""),C21)</f>
        <v/>
      </c>
    </row>
    <row r="22" customFormat="false" ht="15" hidden="false" customHeight="true" outlineLevel="0" collapsed="false">
      <c r="B22" s="25" t="s">
        <v>813</v>
      </c>
      <c r="C22" s="26"/>
      <c r="D22" s="27" t="s">
        <v>217</v>
      </c>
      <c r="E22" s="28" t="s">
        <v>814</v>
      </c>
      <c r="F22" s="29" t="n">
        <v>0</v>
      </c>
      <c r="G22" s="30" t="n">
        <f aca="false">IF(ISBLANK(C22),F22,C22)</f>
        <v>0</v>
      </c>
    </row>
    <row r="24" customFormat="false" ht="15" hidden="false" customHeight="true" outlineLevel="0" collapsed="false">
      <c r="B24" s="13" t="s">
        <v>326</v>
      </c>
      <c r="C24" s="14"/>
      <c r="D24" s="14"/>
      <c r="E24" s="14"/>
      <c r="F24" s="14"/>
      <c r="G24" s="14"/>
    </row>
    <row r="25" customFormat="false" ht="15" hidden="false" customHeight="true" outlineLevel="0" collapsed="false">
      <c r="B25" s="25" t="s">
        <v>815</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747</v>
      </c>
    </row>
    <row r="26" customFormat="false" ht="21.75" hidden="false" customHeight="true" outlineLevel="0" collapsed="false">
      <c r="B26" s="25" t="s">
        <v>332</v>
      </c>
      <c r="C26" s="45" t="str">
        <f aca="true">IF(ISBLANK(Stmt_Statement_Date),"",IF(TODAY()-Stmt_Statement_Date&gt;Statement_Max_Age_Days,"Needs a look: statement is more than 12 months old","Up to date"))</f>
        <v/>
      </c>
      <c r="D26" s="27"/>
      <c r="E26" s="42" t="s">
        <v>333</v>
      </c>
    </row>
    <row r="28" customFormat="false" ht="15" hidden="false" customHeight="true" outlineLevel="0" collapsed="false">
      <c r="B28" s="13" t="s">
        <v>239</v>
      </c>
      <c r="C28" s="24" t="s">
        <v>240</v>
      </c>
      <c r="D28" s="24" t="s">
        <v>241</v>
      </c>
      <c r="E28" s="24" t="s">
        <v>242</v>
      </c>
      <c r="F28" s="14"/>
      <c r="G28" s="14"/>
    </row>
    <row r="29" customFormat="false" ht="17.25" hidden="false" customHeight="true" outlineLevel="0" collapsed="false">
      <c r="B29" s="21" t="s">
        <v>853</v>
      </c>
      <c r="C29" s="41" t="str">
        <f aca="false">IF(Need_1&lt;&gt;"",Need_1,FV((1+Used_Growth_Rate)^(1/12)-1,Years*12,-AVC_Per_Month))</f>
        <v>Choose your AVC per month to see this</v>
      </c>
      <c r="D29" s="27" t="s">
        <v>217</v>
      </c>
      <c r="E29" s="42" t="s">
        <v>854</v>
      </c>
    </row>
    <row r="30" customFormat="false" ht="17.25" hidden="false" customHeight="true" outlineLevel="0" collapsed="false">
      <c r="B30" s="21" t="s">
        <v>607</v>
      </c>
      <c r="C30" s="41" t="str">
        <f aca="false">IF(Need_2&lt;&gt;"",Need_2,IF(Inflation_Choice="","Choose your inflation rate to see this",Grows_To/(1+Inflation_Choice)^Years))</f>
        <v>Choose your inflation rate to see this</v>
      </c>
      <c r="D30" s="27" t="s">
        <v>217</v>
      </c>
      <c r="E30" s="42" t="s">
        <v>608</v>
      </c>
    </row>
    <row r="31" customFormat="false" ht="15" hidden="false" customHeight="true" outlineLevel="0" collapsed="false">
      <c r="B31" s="25" t="s">
        <v>609</v>
      </c>
      <c r="C31" s="43" t="str">
        <f aca="false">IF(Need_3&lt;&gt;"",Need_3,AVC_Per_Month*12*Years)</f>
        <v>Choose your AVC per month to see this</v>
      </c>
      <c r="D31" s="27" t="s">
        <v>217</v>
      </c>
      <c r="E31" s="42" t="s">
        <v>855</v>
      </c>
    </row>
    <row r="32" customFormat="false" ht="15" hidden="false" customHeight="true" outlineLevel="0" collapsed="false">
      <c r="B32" s="25" t="s">
        <v>856</v>
      </c>
      <c r="C32" s="43" t="str">
        <f aca="false">IF(Need_4&lt;&gt;"",Need_4,Net_Cost_Per_Month*12*Years)</f>
        <v>Choose your AVC per month to see this</v>
      </c>
      <c r="D32" s="27" t="s">
        <v>217</v>
      </c>
      <c r="E32" s="42" t="s">
        <v>857</v>
      </c>
    </row>
    <row r="33" customFormat="false" ht="15" hidden="false" customHeight="true" outlineLevel="0" collapsed="false">
      <c r="B33" s="25" t="s">
        <v>858</v>
      </c>
      <c r="C33" s="43" t="str">
        <f aca="false">IF(Need_5&lt;&gt;"",Need_5,AVC_Per_Month-Relief_Per_Month)</f>
        <v>Choose your AVC per month to see this</v>
      </c>
      <c r="D33" s="27" t="s">
        <v>217</v>
      </c>
      <c r="E33" s="42" t="s">
        <v>859</v>
      </c>
    </row>
    <row r="34" customFormat="false" ht="15" hidden="false" customHeight="true" outlineLevel="0" collapsed="false">
      <c r="B34" s="25" t="s">
        <v>822</v>
      </c>
      <c r="C34" s="43" t="str">
        <f aca="false">IF(Need_6&lt;&gt;"",Need_6,LOOKUP(Age,Relief_Age_From,Relief_Age_Pct)*MIN(Salary,Relief_Earnings_Cap))</f>
        <v>Choose your salary to see this</v>
      </c>
      <c r="D34" s="27" t="s">
        <v>217</v>
      </c>
      <c r="E34" s="42" t="s">
        <v>823</v>
      </c>
    </row>
    <row r="35" customFormat="false" ht="15" hidden="false" customHeight="true" outlineLevel="0" collapsed="false">
      <c r="B35" s="25" t="s">
        <v>824</v>
      </c>
      <c r="C35" s="43" t="str">
        <f aca="false">IF(Need_6&lt;&gt;"",Need_6,MAX(0,Relief_Limit_Year-Existing_Pension_Year))</f>
        <v>Choose your salary to see this</v>
      </c>
      <c r="D35" s="27" t="s">
        <v>217</v>
      </c>
      <c r="E35" s="42" t="s">
        <v>825</v>
      </c>
    </row>
    <row r="36" customFormat="false" ht="15" hidden="false" customHeight="true" outlineLevel="0" collapsed="false">
      <c r="B36" s="25" t="s">
        <v>860</v>
      </c>
      <c r="C36" s="43" t="str">
        <f aca="false">IF(Need_7&lt;&gt;"",Need_7,MIN(AVC_Per_Month*12,Relief_Room_Year))</f>
        <v>Choose your AVC per month to see this</v>
      </c>
      <c r="D36" s="27" t="s">
        <v>217</v>
      </c>
      <c r="E36" s="42" t="s">
        <v>861</v>
      </c>
    </row>
    <row r="37" customFormat="false" ht="15" hidden="false" customHeight="true" outlineLevel="0" collapsed="false">
      <c r="B37" s="25" t="s">
        <v>828</v>
      </c>
      <c r="C37" s="43" t="str">
        <f aca="false">IF(Need_5&lt;&gt;"",Need_5,Relieved_Year*Tax_Rate/12)</f>
        <v>Choose your AVC per month to see this</v>
      </c>
      <c r="D37" s="27" t="s">
        <v>217</v>
      </c>
      <c r="E37" s="42" t="s">
        <v>829</v>
      </c>
    </row>
    <row r="39" customFormat="false" ht="15" hidden="false" customHeight="true" outlineLevel="0" collapsed="false">
      <c r="B39" s="13" t="s">
        <v>272</v>
      </c>
      <c r="C39" s="14"/>
      <c r="D39" s="14"/>
      <c r="E39" s="14"/>
      <c r="F39" s="14"/>
      <c r="G39" s="14"/>
    </row>
    <row r="40" customFormat="false" ht="27.75" hidden="false" customHeight="true" outlineLevel="0" collapsed="false">
      <c r="B40" s="46" t="s">
        <v>862</v>
      </c>
      <c r="C40" s="46"/>
      <c r="D40" s="46"/>
      <c r="E40" s="46"/>
    </row>
    <row r="41" customFormat="false" ht="13.5" hidden="false" customHeight="true" outlineLevel="0" collapsed="false">
      <c r="B41" s="47" t="s">
        <v>276</v>
      </c>
      <c r="C41" s="47"/>
      <c r="D41" s="47"/>
      <c r="E41" s="47"/>
    </row>
    <row r="42" customFormat="false" ht="13.5" hidden="false" customHeight="true" outlineLevel="0" collapsed="false">
      <c r="B42" s="46" t="s">
        <v>832</v>
      </c>
      <c r="C42" s="46"/>
      <c r="D42" s="46"/>
      <c r="E42" s="46"/>
    </row>
    <row r="43" customFormat="false" ht="13.5" hidden="false" customHeight="true" outlineLevel="0" collapsed="false">
      <c r="B43" s="46" t="s">
        <v>863</v>
      </c>
      <c r="C43" s="46"/>
      <c r="D43" s="46"/>
      <c r="E43" s="46"/>
    </row>
    <row r="45" customFormat="false" ht="15" hidden="false" customHeight="true" outlineLevel="0" collapsed="false">
      <c r="B45" s="13" t="s">
        <v>281</v>
      </c>
      <c r="C45" s="14"/>
      <c r="D45" s="14"/>
      <c r="E45" s="14"/>
      <c r="F45" s="14"/>
      <c r="G45" s="14"/>
    </row>
    <row r="46" customFormat="false" ht="15" hidden="false" customHeight="true" outlineLevel="0" collapsed="false">
      <c r="B46" s="25" t="s">
        <v>282</v>
      </c>
      <c r="C46" s="48" t="str">
        <f aca="false">"No goal: raise the plan's pension contribution instead"</f>
        <v>No goal: raise the plan's pension contribution instead</v>
      </c>
      <c r="E46" s="49" t="s">
        <v>834</v>
      </c>
    </row>
    <row r="47" customFormat="false" ht="15" hidden="false" customHeight="true" outlineLevel="0" collapsed="false">
      <c r="B47" s="25" t="s">
        <v>835</v>
      </c>
      <c r="C47" s="50" t="str">
        <f aca="false">IF(Need_8&lt;&gt;"",Need_8,AVC_Per_Month)</f>
        <v>Choose your AVC per month to see this</v>
      </c>
      <c r="E47" s="49" t="s">
        <v>864</v>
      </c>
    </row>
    <row r="49" customFormat="false" ht="15" hidden="false" customHeight="true" outlineLevel="0" collapsed="false">
      <c r="B49" s="13" t="s">
        <v>290</v>
      </c>
      <c r="C49" s="14"/>
      <c r="D49" s="14"/>
      <c r="E49" s="14"/>
      <c r="F49" s="14"/>
      <c r="G49" s="14"/>
    </row>
    <row r="50" customFormat="false" ht="15" hidden="false" customHeight="true" outlineLevel="0" collapsed="false">
      <c r="B50" s="52" t="s">
        <v>865</v>
      </c>
      <c r="C50" s="52"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2" t="s">
        <v>866</v>
      </c>
      <c r="C51" s="52" t="str">
        <f aca="false">IF(Inflation_Choice="","Choose your inflation rate to see this",IF(AVC_Per_Month="","Choose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2" customFormat="false" ht="15" hidden="false" customHeight="true" outlineLevel="0" collapsed="false">
      <c r="B52" s="52" t="s">
        <v>867</v>
      </c>
      <c r="C52" s="52" t="str">
        <f aca="false">IF(AVC_Per_Month="","Choose your AVC per month to see this",IF(Years="","Choose your years to retirement to see this",""))</f>
        <v>Choose your AVC per month to see this</v>
      </c>
    </row>
    <row r="53" customFormat="false" ht="15" hidden="false" customHeight="true" outlineLevel="0" collapsed="false">
      <c r="B53" s="52" t="s">
        <v>868</v>
      </c>
      <c r="C53" s="52"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2" t="s">
        <v>869</v>
      </c>
      <c r="C54" s="52"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2" t="s">
        <v>842</v>
      </c>
      <c r="C55" s="52" t="str">
        <f aca="false">IF(Salary="","Choose your salary to see this",IF(Age="","Choose your age to see this",""))</f>
        <v>Choose your salary to see this</v>
      </c>
    </row>
    <row r="56" customFormat="false" ht="15" hidden="false" customHeight="true" outlineLevel="0" collapsed="false">
      <c r="B56" s="52" t="s">
        <v>870</v>
      </c>
      <c r="C56" s="52"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2" t="s">
        <v>871</v>
      </c>
      <c r="C57" s="52"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Usually between 0.5% and 1.5% a year for pension charges (your statement shows yours). Enter your own figure.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Goals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872</v>
      </c>
      <c r="E1" s="3" t="s">
        <v>873</v>
      </c>
    </row>
    <row r="2" customFormat="false" ht="15" hidden="false" customHeight="true" outlineLevel="0" collapsed="false">
      <c r="B2" s="21" t="s">
        <v>874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875</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876</v>
      </c>
      <c r="C10" s="53"/>
      <c r="D10" s="53"/>
      <c r="E10" s="53"/>
    </row>
    <row r="11" customFormat="false" ht="15" hidden="false" customHeight="true" outlineLevel="0" collapsed="false">
      <c r="B11" s="25" t="s">
        <v>714</v>
      </c>
      <c r="C11" s="54"/>
      <c r="D11" s="27" t="s">
        <v>217</v>
      </c>
      <c r="E11" s="28" t="s">
        <v>631</v>
      </c>
      <c r="G11" s="52" t="s">
        <v>306</v>
      </c>
    </row>
    <row r="12" customFormat="false" ht="15" hidden="false" customHeight="true" outlineLevel="0" collapsed="false">
      <c r="B12" s="25" t="s">
        <v>707</v>
      </c>
      <c r="C12" s="54"/>
      <c r="D12" s="27" t="s">
        <v>217</v>
      </c>
      <c r="E12" s="28" t="s">
        <v>708</v>
      </c>
      <c r="G12" s="52" t="s">
        <v>306</v>
      </c>
    </row>
    <row r="13" customFormat="false" ht="15" hidden="false" customHeight="true" outlineLevel="0" collapsed="false">
      <c r="B13" s="25" t="s">
        <v>313</v>
      </c>
      <c r="C13" s="57"/>
      <c r="D13" s="27" t="s">
        <v>314</v>
      </c>
      <c r="E13" s="28" t="s">
        <v>315</v>
      </c>
      <c r="G13" s="52" t="s">
        <v>306</v>
      </c>
    </row>
    <row r="15" customFormat="false" ht="15" hidden="false" customHeight="true" outlineLevel="0" collapsed="false">
      <c r="B15" s="13" t="s">
        <v>316</v>
      </c>
      <c r="C15" s="24" t="s">
        <v>213</v>
      </c>
      <c r="D15" s="24" t="s">
        <v>214</v>
      </c>
      <c r="E15" s="24" t="s">
        <v>215</v>
      </c>
      <c r="F15" s="14"/>
      <c r="G15" s="14"/>
    </row>
    <row r="16" customFormat="false" ht="21.75" hidden="false" customHeight="true" outlineLevel="0" collapsed="false">
      <c r="B16" s="25" t="s">
        <v>877</v>
      </c>
      <c r="C16" s="26"/>
      <c r="D16" s="27" t="s">
        <v>217</v>
      </c>
      <c r="E16" s="28" t="s">
        <v>878</v>
      </c>
      <c r="F16" s="29" t="n">
        <v>400000</v>
      </c>
      <c r="G16" s="30" t="str">
        <f aca="false">IF(ISBLANK(C16),IF(Fill_Example="Yes",F16,""),C16)</f>
        <v/>
      </c>
    </row>
    <row r="17" customFormat="false" ht="15" hidden="false" customHeight="true" outlineLevel="0" collapsed="false">
      <c r="B17" s="25" t="s">
        <v>879</v>
      </c>
      <c r="C17" s="26"/>
      <c r="D17" s="27" t="s">
        <v>217</v>
      </c>
      <c r="E17" s="28" t="s">
        <v>880</v>
      </c>
      <c r="F17" s="29" t="n">
        <v>24000</v>
      </c>
      <c r="G17" s="30" t="str">
        <f aca="false">IF(ISBLANK(C17),IF(Fill_Example="Yes",F17,""),C17)</f>
        <v/>
      </c>
    </row>
    <row r="18" customFormat="false" ht="21.75" hidden="false" customHeight="true" outlineLevel="0" collapsed="false">
      <c r="B18" s="25" t="s">
        <v>881</v>
      </c>
      <c r="C18" s="34"/>
      <c r="D18" s="27" t="s">
        <v>228</v>
      </c>
      <c r="E18" s="35" t="s">
        <v>882</v>
      </c>
      <c r="F18" s="36" t="n">
        <v>0.0315</v>
      </c>
      <c r="G18" s="37" t="str">
        <f aca="false">IF(ISBLANK(C18),IF(Fill_Example="Yes",F18,""),C18)</f>
        <v/>
      </c>
    </row>
    <row r="19" customFormat="false" ht="21.75" hidden="false" customHeight="true" outlineLevel="0" collapsed="false">
      <c r="B19" s="25" t="s">
        <v>883</v>
      </c>
      <c r="C19" s="31"/>
      <c r="D19" s="27"/>
      <c r="E19" s="35" t="s">
        <v>884</v>
      </c>
      <c r="F19" s="32" t="s">
        <v>885</v>
      </c>
      <c r="G19" s="33" t="str">
        <f aca="false">IF(ISBLANK(C19),IF(Fill_Example="Yes",F19,""),C19)</f>
        <v/>
      </c>
    </row>
    <row r="20" customFormat="false" ht="21.75" hidden="false" customHeight="true" outlineLevel="0" collapsed="false">
      <c r="B20" s="25" t="s">
        <v>886</v>
      </c>
      <c r="C20" s="38"/>
      <c r="D20" s="27" t="s">
        <v>712</v>
      </c>
      <c r="E20" s="35" t="s">
        <v>887</v>
      </c>
      <c r="F20" s="39" t="n">
        <v>66</v>
      </c>
      <c r="G20" s="40" t="str">
        <f aca="false">IF(ISBLANK(C20),IF(Fill_Example="Yes",F20,""),C20)</f>
        <v/>
      </c>
    </row>
    <row r="21" customFormat="false" ht="21.75" hidden="false" customHeight="true" outlineLevel="0" collapsed="false">
      <c r="B21" s="25" t="s">
        <v>888</v>
      </c>
      <c r="C21" s="38"/>
      <c r="D21" s="27" t="s">
        <v>712</v>
      </c>
      <c r="E21" s="35" t="s">
        <v>889</v>
      </c>
      <c r="F21" s="39" t="n">
        <v>90</v>
      </c>
      <c r="G21" s="40" t="str">
        <f aca="false">IF(ISBLANK(C21),IF(Fill_Example="Yes",F21,""),C21)</f>
        <v/>
      </c>
    </row>
    <row r="23" customFormat="false" ht="15" hidden="false" customHeight="true" outlineLevel="0" collapsed="false">
      <c r="B23" s="13" t="s">
        <v>326</v>
      </c>
      <c r="C23" s="14"/>
      <c r="D23" s="14"/>
      <c r="E23" s="14"/>
      <c r="F23" s="14"/>
      <c r="G23" s="14"/>
    </row>
    <row r="24" customFormat="false" ht="15" hidden="false" customHeight="true" outlineLevel="0" collapsed="false">
      <c r="B24" s="25" t="s">
        <v>877</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890</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23.25" hidden="false" customHeight="true" outlineLevel="0" collapsed="false">
      <c r="B28" s="21" t="s">
        <v>891</v>
      </c>
      <c r="C28" s="62" t="str">
        <f aca="false">IF(Need_1&lt;&gt;"",Need_1,IF(Inflation_Choice="","Choose your inflation rate to see this",SUM(W_paid)))</f>
        <v>Choose your inflation rate to see this</v>
      </c>
      <c r="D28" s="63" t="str">
        <f aca="false">IF(Need_1&lt;&gt;"",Need_1,IF(ISNUMBER(Years_Lasting),IF(Years_Lasting&gt;=Cap_Years,Cap_Years&amp;"+ years",Years_Lasting&amp;IF(Years_Lasting=1," year"," years")),"Choose your inflation rate to see this"))</f>
        <v>Choose your inflation rate to see this</v>
      </c>
      <c r="E28" s="42" t="s">
        <v>892</v>
      </c>
    </row>
    <row r="29" customFormat="false" ht="23.25" hidden="false" customHeight="true" outlineLevel="0" collapsed="false">
      <c r="B29" s="21" t="s">
        <v>893</v>
      </c>
      <c r="C29" s="62" t="str">
        <f aca="false">IF(Need_2&lt;&gt;"",Need_2,IF(ISNUMBER(Years_Lasting),IF(Years_Lasting&gt;=Cap_Years,"Beyond "&amp;Plan_To_Age,Age_At_Start+Years_Lasting),"Choose your inflation rate to see this"))</f>
        <v>Choose your inflation rate to see this</v>
      </c>
      <c r="D29" s="63" t="str">
        <f aca="false">IF(Need_2&lt;&gt;"",Need_2,IF(ISNUMBER(Years_Lasting),IF(Years_Lasting&gt;=Cap_Years,"Beyond "&amp;Plan_To_Age&amp;" (your plan-until age)",IF(Age_At_Start+Years_Lasting&gt;=Plan_To_Age,"Lasts to your plan age ("&amp;Plan_To_Age&amp;")","Runs out "&amp;(Plan_To_Age-Age_At_Start-Years_Lasting)&amp;" years before your plan age")),"Choose your inflation rate to see this"))</f>
        <v>Choose your inflation rate to see this</v>
      </c>
      <c r="E29" s="42" t="s">
        <v>894</v>
      </c>
    </row>
    <row r="30" customFormat="false" ht="15" hidden="false" customHeight="true" outlineLevel="0" collapsed="false">
      <c r="B30" s="25" t="s">
        <v>895</v>
      </c>
      <c r="C30" s="77" t="str">
        <f aca="false">IF(Need_3&lt;&gt;"",Need_3,Yearly_Withdrawal/Used_Retirement_Savings)</f>
        <v>Choose your yearly withdrawal to see this</v>
      </c>
      <c r="D30" s="27" t="s">
        <v>228</v>
      </c>
      <c r="E30" s="42" t="s">
        <v>896</v>
      </c>
    </row>
    <row r="31" customFormat="false" ht="15" hidden="false" customHeight="true" outlineLevel="0" collapsed="false">
      <c r="B31" s="13" t="s">
        <v>897</v>
      </c>
      <c r="C31" s="14"/>
      <c r="D31" s="14"/>
      <c r="E31" s="14"/>
      <c r="F31" s="14"/>
      <c r="G31" s="14"/>
    </row>
    <row r="32" customFormat="false" ht="27.75" hidden="false" customHeight="true" outlineLevel="0" collapsed="false">
      <c r="B32" s="78" t="s">
        <v>898</v>
      </c>
      <c r="C32" s="78" t="s">
        <v>899</v>
      </c>
      <c r="D32" s="78" t="s">
        <v>900</v>
      </c>
      <c r="E32" s="78" t="s">
        <v>901</v>
      </c>
      <c r="F32" s="78" t="s">
        <v>902</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year",IF(D33&gt;=C33,1,0),IF(D33*(1+Growth_Rate)&gt;=C33,1,0)))</f>
        <v/>
      </c>
      <c r="F33" s="80" t="str">
        <f aca="false">IF(Need_1&lt;&gt;"","",IF(E33=1,IF(Withdrawal_Timing="Start of year",(D33-C33)*(1+Growth_Rate),D33*(1+Growth_Rate)-C33),0))</f>
        <v/>
      </c>
    </row>
    <row r="34" customFormat="false" ht="15" hidden="false" customHeight="true" outlineLevel="0" collapsed="false">
      <c r="B34" s="79" t="n">
        <v>2</v>
      </c>
      <c r="C34" s="80" t="str">
        <f aca="false">IF(Need_1&lt;&gt;"","",C33*(1+Inflation_Choice))</f>
        <v/>
      </c>
      <c r="D34" s="80" t="str">
        <f aca="false">IF(Need_1&lt;&gt;"","",F33)</f>
        <v/>
      </c>
      <c r="E34" s="79" t="str">
        <f aca="false">IF(Need_1&lt;&gt;"","",IF(Withdrawal_Timing="Start of year",IF(D34&gt;=C34,1,0),IF(D34*(1+Growth_Rate)&gt;=C34,1,0)))</f>
        <v/>
      </c>
      <c r="F34" s="80" t="str">
        <f aca="false">IF(Need_1&lt;&gt;"","",IF(E34=1,IF(Withdrawal_Timing="Start of year",(D34-C34)*(1+Growth_Rate),D34*(1+Growth_Rate)-C34),0))</f>
        <v/>
      </c>
    </row>
    <row r="35" customFormat="false" ht="15" hidden="false" customHeight="true" outlineLevel="0" collapsed="false">
      <c r="B35" s="79" t="n">
        <v>3</v>
      </c>
      <c r="C35" s="80" t="str">
        <f aca="false">IF(Need_1&lt;&gt;"","",C34*(1+Inflation_Choice))</f>
        <v/>
      </c>
      <c r="D35" s="80" t="str">
        <f aca="false">IF(Need_1&lt;&gt;"","",F34)</f>
        <v/>
      </c>
      <c r="E35" s="79" t="str">
        <f aca="false">IF(Need_1&lt;&gt;"","",IF(Withdrawal_Timing="Start of year",IF(D35&gt;=C35,1,0),IF(D35*(1+Growth_Rate)&gt;=C35,1,0)))</f>
        <v/>
      </c>
      <c r="F35" s="80" t="str">
        <f aca="false">IF(Need_1&lt;&gt;"","",IF(E35=1,IF(Withdrawal_Timing="Start of year",(D35-C35)*(1+Growth_Rate),D35*(1+Growth_Rate)-C35),0))</f>
        <v/>
      </c>
    </row>
    <row r="36" customFormat="false" ht="15" hidden="false" customHeight="true" outlineLevel="0" collapsed="false">
      <c r="B36" s="79" t="n">
        <v>4</v>
      </c>
      <c r="C36" s="80" t="str">
        <f aca="false">IF(Need_1&lt;&gt;"","",C35*(1+Inflation_Choice))</f>
        <v/>
      </c>
      <c r="D36" s="80" t="str">
        <f aca="false">IF(Need_1&lt;&gt;"","",F35)</f>
        <v/>
      </c>
      <c r="E36" s="79" t="str">
        <f aca="false">IF(Need_1&lt;&gt;"","",IF(Withdrawal_Timing="Start of year",IF(D36&gt;=C36,1,0),IF(D36*(1+Growth_Rate)&gt;=C36,1,0)))</f>
        <v/>
      </c>
      <c r="F36" s="80" t="str">
        <f aca="false">IF(Need_1&lt;&gt;"","",IF(E36=1,IF(Withdrawal_Timing="Start of year",(D36-C36)*(1+Growth_Rate),D36*(1+Growth_Rate)-C36),0))</f>
        <v/>
      </c>
    </row>
    <row r="37" customFormat="false" ht="15" hidden="false" customHeight="true" outlineLevel="0" collapsed="false">
      <c r="B37" s="79" t="n">
        <v>5</v>
      </c>
      <c r="C37" s="80" t="str">
        <f aca="false">IF(Need_1&lt;&gt;"","",C36*(1+Inflation_Choice))</f>
        <v/>
      </c>
      <c r="D37" s="80" t="str">
        <f aca="false">IF(Need_1&lt;&gt;"","",F36)</f>
        <v/>
      </c>
      <c r="E37" s="79" t="str">
        <f aca="false">IF(Need_1&lt;&gt;"","",IF(Withdrawal_Timing="Start of year",IF(D37&gt;=C37,1,0),IF(D37*(1+Growth_Rate)&gt;=C37,1,0)))</f>
        <v/>
      </c>
      <c r="F37" s="80" t="str">
        <f aca="false">IF(Need_1&lt;&gt;"","",IF(E37=1,IF(Withdrawal_Timing="Start of year",(D37-C37)*(1+Growth_Rate),D37*(1+Growth_Rate)-C37),0))</f>
        <v/>
      </c>
    </row>
    <row r="38" customFormat="false" ht="15" hidden="false" customHeight="true" outlineLevel="0" collapsed="false">
      <c r="B38" s="79" t="n">
        <v>6</v>
      </c>
      <c r="C38" s="80" t="str">
        <f aca="false">IF(Need_1&lt;&gt;"","",C37*(1+Inflation_Choice))</f>
        <v/>
      </c>
      <c r="D38" s="80" t="str">
        <f aca="false">IF(Need_1&lt;&gt;"","",F37)</f>
        <v/>
      </c>
      <c r="E38" s="79" t="str">
        <f aca="false">IF(Need_1&lt;&gt;"","",IF(Withdrawal_Timing="Start of year",IF(D38&gt;=C38,1,0),IF(D38*(1+Growth_Rate)&gt;=C38,1,0)))</f>
        <v/>
      </c>
      <c r="F38" s="80" t="str">
        <f aca="false">IF(Need_1&lt;&gt;"","",IF(E38=1,IF(Withdrawal_Timing="Start of year",(D38-C38)*(1+Growth_Rate),D38*(1+Growth_Rate)-C38),0))</f>
        <v/>
      </c>
    </row>
    <row r="39" customFormat="false" ht="15" hidden="false" customHeight="true" outlineLevel="0" collapsed="false">
      <c r="B39" s="79" t="n">
        <v>7</v>
      </c>
      <c r="C39" s="80" t="str">
        <f aca="false">IF(Need_1&lt;&gt;"","",C38*(1+Inflation_Choice))</f>
        <v/>
      </c>
      <c r="D39" s="80" t="str">
        <f aca="false">IF(Need_1&lt;&gt;"","",F38)</f>
        <v/>
      </c>
      <c r="E39" s="79" t="str">
        <f aca="false">IF(Need_1&lt;&gt;"","",IF(Withdrawal_Timing="Start of year",IF(D39&gt;=C39,1,0),IF(D39*(1+Growth_Rate)&gt;=C39,1,0)))</f>
        <v/>
      </c>
      <c r="F39" s="80" t="str">
        <f aca="false">IF(Need_1&lt;&gt;"","",IF(E39=1,IF(Withdrawal_Timing="Start of year",(D39-C39)*(1+Growth_Rate),D39*(1+Growth_Rate)-C39),0))</f>
        <v/>
      </c>
    </row>
    <row r="40" customFormat="false" ht="15" hidden="false" customHeight="true" outlineLevel="0" collapsed="false">
      <c r="B40" s="79" t="n">
        <v>8</v>
      </c>
      <c r="C40" s="80" t="str">
        <f aca="false">IF(Need_1&lt;&gt;"","",C39*(1+Inflation_Choice))</f>
        <v/>
      </c>
      <c r="D40" s="80" t="str">
        <f aca="false">IF(Need_1&lt;&gt;"","",F39)</f>
        <v/>
      </c>
      <c r="E40" s="79" t="str">
        <f aca="false">IF(Need_1&lt;&gt;"","",IF(Withdrawal_Timing="Start of year",IF(D40&gt;=C40,1,0),IF(D40*(1+Growth_Rate)&gt;=C40,1,0)))</f>
        <v/>
      </c>
      <c r="F40" s="80" t="str">
        <f aca="false">IF(Need_1&lt;&gt;"","",IF(E40=1,IF(Withdrawal_Timing="Start of year",(D40-C40)*(1+Growth_Rate),D40*(1+Growth_Rate)-C40),0))</f>
        <v/>
      </c>
    </row>
    <row r="41" customFormat="false" ht="15" hidden="false" customHeight="true" outlineLevel="0" collapsed="false">
      <c r="B41" s="79" t="n">
        <v>9</v>
      </c>
      <c r="C41" s="80" t="str">
        <f aca="false">IF(Need_1&lt;&gt;"","",C40*(1+Inflation_Choice))</f>
        <v/>
      </c>
      <c r="D41" s="80" t="str">
        <f aca="false">IF(Need_1&lt;&gt;"","",F40)</f>
        <v/>
      </c>
      <c r="E41" s="79" t="str">
        <f aca="false">IF(Need_1&lt;&gt;"","",IF(Withdrawal_Timing="Start of year",IF(D41&gt;=C41,1,0),IF(D41*(1+Growth_Rate)&gt;=C41,1,0)))</f>
        <v/>
      </c>
      <c r="F41" s="80" t="str">
        <f aca="false">IF(Need_1&lt;&gt;"","",IF(E41=1,IF(Withdrawal_Timing="Start of year",(D41-C41)*(1+Growth_Rate),D41*(1+Growth_Rate)-C41),0))</f>
        <v/>
      </c>
    </row>
    <row r="42" customFormat="false" ht="15" hidden="false" customHeight="true" outlineLevel="0" collapsed="false">
      <c r="B42" s="79" t="n">
        <v>10</v>
      </c>
      <c r="C42" s="80" t="str">
        <f aca="false">IF(Need_1&lt;&gt;"","",C41*(1+Inflation_Choice))</f>
        <v/>
      </c>
      <c r="D42" s="80" t="str">
        <f aca="false">IF(Need_1&lt;&gt;"","",F41)</f>
        <v/>
      </c>
      <c r="E42" s="79" t="str">
        <f aca="false">IF(Need_1&lt;&gt;"","",IF(Withdrawal_Timing="Start of year",IF(D42&gt;=C42,1,0),IF(D42*(1+Growth_Rate)&gt;=C42,1,0)))</f>
        <v/>
      </c>
      <c r="F42" s="80" t="str">
        <f aca="false">IF(Need_1&lt;&gt;"","",IF(E42=1,IF(Withdrawal_Timing="Start of year",(D42-C42)*(1+Growth_Rate),D42*(1+Growth_Rate)-C42),0))</f>
        <v/>
      </c>
    </row>
    <row r="43" customFormat="false" ht="15" hidden="false" customHeight="true" outlineLevel="0" collapsed="false">
      <c r="B43" s="79" t="n">
        <v>11</v>
      </c>
      <c r="C43" s="80" t="str">
        <f aca="false">IF(Need_1&lt;&gt;"","",C42*(1+Inflation_Choice))</f>
        <v/>
      </c>
      <c r="D43" s="80" t="str">
        <f aca="false">IF(Need_1&lt;&gt;"","",F42)</f>
        <v/>
      </c>
      <c r="E43" s="79" t="str">
        <f aca="false">IF(Need_1&lt;&gt;"","",IF(Withdrawal_Timing="Start of year",IF(D43&gt;=C43,1,0),IF(D43*(1+Growth_Rate)&gt;=C43,1,0)))</f>
        <v/>
      </c>
      <c r="F43" s="80" t="str">
        <f aca="false">IF(Need_1&lt;&gt;"","",IF(E43=1,IF(Withdrawal_Timing="Start of year",(D43-C43)*(1+Growth_Rate),D43*(1+Growth_Rate)-C43),0))</f>
        <v/>
      </c>
    </row>
    <row r="44" customFormat="false" ht="15" hidden="false" customHeight="true" outlineLevel="0" collapsed="false">
      <c r="B44" s="79" t="n">
        <v>12</v>
      </c>
      <c r="C44" s="80" t="str">
        <f aca="false">IF(Need_1&lt;&gt;"","",C43*(1+Inflation_Choice))</f>
        <v/>
      </c>
      <c r="D44" s="80" t="str">
        <f aca="false">IF(Need_1&lt;&gt;"","",F43)</f>
        <v/>
      </c>
      <c r="E44" s="79" t="str">
        <f aca="false">IF(Need_1&lt;&gt;"","",IF(Withdrawal_Timing="Start of year",IF(D44&gt;=C44,1,0),IF(D44*(1+Growth_Rate)&gt;=C44,1,0)))</f>
        <v/>
      </c>
      <c r="F44" s="80" t="str">
        <f aca="false">IF(Need_1&lt;&gt;"","",IF(E44=1,IF(Withdrawal_Timing="Start of year",(D44-C44)*(1+Growth_Rate),D44*(1+Growth_Rate)-C44),0))</f>
        <v/>
      </c>
    </row>
    <row r="45" customFormat="false" ht="15" hidden="false" customHeight="true" outlineLevel="0" collapsed="false">
      <c r="B45" s="79" t="n">
        <v>13</v>
      </c>
      <c r="C45" s="80" t="str">
        <f aca="false">IF(Need_1&lt;&gt;"","",C44*(1+Inflation_Choice))</f>
        <v/>
      </c>
      <c r="D45" s="80" t="str">
        <f aca="false">IF(Need_1&lt;&gt;"","",F44)</f>
        <v/>
      </c>
      <c r="E45" s="79" t="str">
        <f aca="false">IF(Need_1&lt;&gt;"","",IF(Withdrawal_Timing="Start of year",IF(D45&gt;=C45,1,0),IF(D45*(1+Growth_Rate)&gt;=C45,1,0)))</f>
        <v/>
      </c>
      <c r="F45" s="80" t="str">
        <f aca="false">IF(Need_1&lt;&gt;"","",IF(E45=1,IF(Withdrawal_Timing="Start of year",(D45-C45)*(1+Growth_Rate),D45*(1+Growth_Rate)-C45),0))</f>
        <v/>
      </c>
    </row>
    <row r="46" customFormat="false" ht="15" hidden="false" customHeight="true" outlineLevel="0" collapsed="false">
      <c r="B46" s="79" t="n">
        <v>14</v>
      </c>
      <c r="C46" s="80" t="str">
        <f aca="false">IF(Need_1&lt;&gt;"","",C45*(1+Inflation_Choice))</f>
        <v/>
      </c>
      <c r="D46" s="80" t="str">
        <f aca="false">IF(Need_1&lt;&gt;"","",F45)</f>
        <v/>
      </c>
      <c r="E46" s="79" t="str">
        <f aca="false">IF(Need_1&lt;&gt;"","",IF(Withdrawal_Timing="Start of year",IF(D46&gt;=C46,1,0),IF(D46*(1+Growth_Rate)&gt;=C46,1,0)))</f>
        <v/>
      </c>
      <c r="F46" s="80" t="str">
        <f aca="false">IF(Need_1&lt;&gt;"","",IF(E46=1,IF(Withdrawal_Timing="Start of year",(D46-C46)*(1+Growth_Rate),D46*(1+Growth_Rate)-C46),0))</f>
        <v/>
      </c>
    </row>
    <row r="47" customFormat="false" ht="15" hidden="false" customHeight="true" outlineLevel="0" collapsed="false">
      <c r="B47" s="79" t="n">
        <v>15</v>
      </c>
      <c r="C47" s="80" t="str">
        <f aca="false">IF(Need_1&lt;&gt;"","",C46*(1+Inflation_Choice))</f>
        <v/>
      </c>
      <c r="D47" s="80" t="str">
        <f aca="false">IF(Need_1&lt;&gt;"","",F46)</f>
        <v/>
      </c>
      <c r="E47" s="79" t="str">
        <f aca="false">IF(Need_1&lt;&gt;"","",IF(Withdrawal_Timing="Start of year",IF(D47&gt;=C47,1,0),IF(D47*(1+Growth_Rate)&gt;=C47,1,0)))</f>
        <v/>
      </c>
      <c r="F47" s="80" t="str">
        <f aca="false">IF(Need_1&lt;&gt;"","",IF(E47=1,IF(Withdrawal_Timing="Start of year",(D47-C47)*(1+Growth_Rate),D47*(1+Growth_Rate)-C47),0))</f>
        <v/>
      </c>
    </row>
    <row r="48" customFormat="false" ht="15" hidden="false" customHeight="true" outlineLevel="0" collapsed="false">
      <c r="B48" s="79" t="n">
        <v>16</v>
      </c>
      <c r="C48" s="80" t="str">
        <f aca="false">IF(Need_1&lt;&gt;"","",C47*(1+Inflation_Choice))</f>
        <v/>
      </c>
      <c r="D48" s="80" t="str">
        <f aca="false">IF(Need_1&lt;&gt;"","",F47)</f>
        <v/>
      </c>
      <c r="E48" s="79" t="str">
        <f aca="false">IF(Need_1&lt;&gt;"","",IF(Withdrawal_Timing="Start of year",IF(D48&gt;=C48,1,0),IF(D48*(1+Growth_Rate)&gt;=C48,1,0)))</f>
        <v/>
      </c>
      <c r="F48" s="80" t="str">
        <f aca="false">IF(Need_1&lt;&gt;"","",IF(E48=1,IF(Withdrawal_Timing="Start of year",(D48-C48)*(1+Growth_Rate),D48*(1+Growth_Rate)-C48),0))</f>
        <v/>
      </c>
    </row>
    <row r="49" customFormat="false" ht="15" hidden="false" customHeight="true" outlineLevel="0" collapsed="false">
      <c r="B49" s="79" t="n">
        <v>17</v>
      </c>
      <c r="C49" s="80" t="str">
        <f aca="false">IF(Need_1&lt;&gt;"","",C48*(1+Inflation_Choice))</f>
        <v/>
      </c>
      <c r="D49" s="80" t="str">
        <f aca="false">IF(Need_1&lt;&gt;"","",F48)</f>
        <v/>
      </c>
      <c r="E49" s="79" t="str">
        <f aca="false">IF(Need_1&lt;&gt;"","",IF(Withdrawal_Timing="Start of year",IF(D49&gt;=C49,1,0),IF(D49*(1+Growth_Rate)&gt;=C49,1,0)))</f>
        <v/>
      </c>
      <c r="F49" s="80" t="str">
        <f aca="false">IF(Need_1&lt;&gt;"","",IF(E49=1,IF(Withdrawal_Timing="Start of year",(D49-C49)*(1+Growth_Rate),D49*(1+Growth_Rate)-C49),0))</f>
        <v/>
      </c>
    </row>
    <row r="50" customFormat="false" ht="15" hidden="false" customHeight="true" outlineLevel="0" collapsed="false">
      <c r="B50" s="79" t="n">
        <v>18</v>
      </c>
      <c r="C50" s="80" t="str">
        <f aca="false">IF(Need_1&lt;&gt;"","",C49*(1+Inflation_Choice))</f>
        <v/>
      </c>
      <c r="D50" s="80" t="str">
        <f aca="false">IF(Need_1&lt;&gt;"","",F49)</f>
        <v/>
      </c>
      <c r="E50" s="79" t="str">
        <f aca="false">IF(Need_1&lt;&gt;"","",IF(Withdrawal_Timing="Start of year",IF(D50&gt;=C50,1,0),IF(D50*(1+Growth_Rate)&gt;=C50,1,0)))</f>
        <v/>
      </c>
      <c r="F50" s="80" t="str">
        <f aca="false">IF(Need_1&lt;&gt;"","",IF(E50=1,IF(Withdrawal_Timing="Start of year",(D50-C50)*(1+Growth_Rate),D50*(1+Growth_Rate)-C50),0))</f>
        <v/>
      </c>
    </row>
    <row r="51" customFormat="false" ht="15" hidden="false" customHeight="true" outlineLevel="0" collapsed="false">
      <c r="B51" s="79" t="n">
        <v>19</v>
      </c>
      <c r="C51" s="80" t="str">
        <f aca="false">IF(Need_1&lt;&gt;"","",C50*(1+Inflation_Choice))</f>
        <v/>
      </c>
      <c r="D51" s="80" t="str">
        <f aca="false">IF(Need_1&lt;&gt;"","",F50)</f>
        <v/>
      </c>
      <c r="E51" s="79" t="str">
        <f aca="false">IF(Need_1&lt;&gt;"","",IF(Withdrawal_Timing="Start of year",IF(D51&gt;=C51,1,0),IF(D51*(1+Growth_Rate)&gt;=C51,1,0)))</f>
        <v/>
      </c>
      <c r="F51" s="80" t="str">
        <f aca="false">IF(Need_1&lt;&gt;"","",IF(E51=1,IF(Withdrawal_Timing="Start of year",(D51-C51)*(1+Growth_Rate),D51*(1+Growth_Rate)-C51),0))</f>
        <v/>
      </c>
    </row>
    <row r="52" customFormat="false" ht="15" hidden="false" customHeight="true" outlineLevel="0" collapsed="false">
      <c r="B52" s="79" t="n">
        <v>20</v>
      </c>
      <c r="C52" s="80" t="str">
        <f aca="false">IF(Need_1&lt;&gt;"","",C51*(1+Inflation_Choice))</f>
        <v/>
      </c>
      <c r="D52" s="80" t="str">
        <f aca="false">IF(Need_1&lt;&gt;"","",F51)</f>
        <v/>
      </c>
      <c r="E52" s="79" t="str">
        <f aca="false">IF(Need_1&lt;&gt;"","",IF(Withdrawal_Timing="Start of year",IF(D52&gt;=C52,1,0),IF(D52*(1+Growth_Rate)&gt;=C52,1,0)))</f>
        <v/>
      </c>
      <c r="F52" s="80" t="str">
        <f aca="false">IF(Need_1&lt;&gt;"","",IF(E52=1,IF(Withdrawal_Timing="Start of year",(D52-C52)*(1+Growth_Rate),D52*(1+Growth_Rate)-C52),0))</f>
        <v/>
      </c>
    </row>
    <row r="53" customFormat="false" ht="15" hidden="false" customHeight="true" outlineLevel="0" collapsed="false">
      <c r="B53" s="79" t="n">
        <v>21</v>
      </c>
      <c r="C53" s="80" t="str">
        <f aca="false">IF(Need_1&lt;&gt;"","",C52*(1+Inflation_Choice))</f>
        <v/>
      </c>
      <c r="D53" s="80" t="str">
        <f aca="false">IF(Need_1&lt;&gt;"","",F52)</f>
        <v/>
      </c>
      <c r="E53" s="79" t="str">
        <f aca="false">IF(Need_1&lt;&gt;"","",IF(Withdrawal_Timing="Start of year",IF(D53&gt;=C53,1,0),IF(D53*(1+Growth_Rate)&gt;=C53,1,0)))</f>
        <v/>
      </c>
      <c r="F53" s="80" t="str">
        <f aca="false">IF(Need_1&lt;&gt;"","",IF(E53=1,IF(Withdrawal_Timing="Start of year",(D53-C53)*(1+Growth_Rate),D53*(1+Growth_Rate)-C53),0))</f>
        <v/>
      </c>
    </row>
    <row r="54" customFormat="false" ht="15" hidden="false" customHeight="true" outlineLevel="0" collapsed="false">
      <c r="B54" s="79" t="n">
        <v>22</v>
      </c>
      <c r="C54" s="80" t="str">
        <f aca="false">IF(Need_1&lt;&gt;"","",C53*(1+Inflation_Choice))</f>
        <v/>
      </c>
      <c r="D54" s="80" t="str">
        <f aca="false">IF(Need_1&lt;&gt;"","",F53)</f>
        <v/>
      </c>
      <c r="E54" s="79" t="str">
        <f aca="false">IF(Need_1&lt;&gt;"","",IF(Withdrawal_Timing="Start of year",IF(D54&gt;=C54,1,0),IF(D54*(1+Growth_Rate)&gt;=C54,1,0)))</f>
        <v/>
      </c>
      <c r="F54" s="80" t="str">
        <f aca="false">IF(Need_1&lt;&gt;"","",IF(E54=1,IF(Withdrawal_Timing="Start of year",(D54-C54)*(1+Growth_Rate),D54*(1+Growth_Rate)-C54),0))</f>
        <v/>
      </c>
    </row>
    <row r="55" customFormat="false" ht="15" hidden="false" customHeight="true" outlineLevel="0" collapsed="false">
      <c r="B55" s="79" t="n">
        <v>23</v>
      </c>
      <c r="C55" s="80" t="str">
        <f aca="false">IF(Need_1&lt;&gt;"","",C54*(1+Inflation_Choice))</f>
        <v/>
      </c>
      <c r="D55" s="80" t="str">
        <f aca="false">IF(Need_1&lt;&gt;"","",F54)</f>
        <v/>
      </c>
      <c r="E55" s="79" t="str">
        <f aca="false">IF(Need_1&lt;&gt;"","",IF(Withdrawal_Timing="Start of year",IF(D55&gt;=C55,1,0),IF(D55*(1+Growth_Rate)&gt;=C55,1,0)))</f>
        <v/>
      </c>
      <c r="F55" s="80" t="str">
        <f aca="false">IF(Need_1&lt;&gt;"","",IF(E55=1,IF(Withdrawal_Timing="Start of year",(D55-C55)*(1+Growth_Rate),D55*(1+Growth_Rate)-C55),0))</f>
        <v/>
      </c>
    </row>
    <row r="56" customFormat="false" ht="15" hidden="false" customHeight="true" outlineLevel="0" collapsed="false">
      <c r="B56" s="79" t="n">
        <v>24</v>
      </c>
      <c r="C56" s="80" t="str">
        <f aca="false">IF(Need_1&lt;&gt;"","",C55*(1+Inflation_Choice))</f>
        <v/>
      </c>
      <c r="D56" s="80" t="str">
        <f aca="false">IF(Need_1&lt;&gt;"","",F55)</f>
        <v/>
      </c>
      <c r="E56" s="79" t="str">
        <f aca="false">IF(Need_1&lt;&gt;"","",IF(Withdrawal_Timing="Start of year",IF(D56&gt;=C56,1,0),IF(D56*(1+Growth_Rate)&gt;=C56,1,0)))</f>
        <v/>
      </c>
      <c r="F56" s="80" t="str">
        <f aca="false">IF(Need_1&lt;&gt;"","",IF(E56=1,IF(Withdrawal_Timing="Start of year",(D56-C56)*(1+Growth_Rate),D56*(1+Growth_Rate)-C56),0))</f>
        <v/>
      </c>
    </row>
    <row r="57" customFormat="false" ht="15" hidden="false" customHeight="true" outlineLevel="0" collapsed="false">
      <c r="B57" s="79" t="n">
        <v>25</v>
      </c>
      <c r="C57" s="80" t="str">
        <f aca="false">IF(Need_1&lt;&gt;"","",C56*(1+Inflation_Choice))</f>
        <v/>
      </c>
      <c r="D57" s="80" t="str">
        <f aca="false">IF(Need_1&lt;&gt;"","",F56)</f>
        <v/>
      </c>
      <c r="E57" s="79" t="str">
        <f aca="false">IF(Need_1&lt;&gt;"","",IF(Withdrawal_Timing="Start of year",IF(D57&gt;=C57,1,0),IF(D57*(1+Growth_Rate)&gt;=C57,1,0)))</f>
        <v/>
      </c>
      <c r="F57" s="80" t="str">
        <f aca="false">IF(Need_1&lt;&gt;"","",IF(E57=1,IF(Withdrawal_Timing="Start of year",(D57-C57)*(1+Growth_Rate),D57*(1+Growth_Rate)-C57),0))</f>
        <v/>
      </c>
    </row>
    <row r="58" customFormat="false" ht="15" hidden="false" customHeight="true" outlineLevel="0" collapsed="false">
      <c r="B58" s="79" t="n">
        <v>26</v>
      </c>
      <c r="C58" s="80" t="str">
        <f aca="false">IF(Need_1&lt;&gt;"","",C57*(1+Inflation_Choice))</f>
        <v/>
      </c>
      <c r="D58" s="80" t="str">
        <f aca="false">IF(Need_1&lt;&gt;"","",F57)</f>
        <v/>
      </c>
      <c r="E58" s="79" t="str">
        <f aca="false">IF(Need_1&lt;&gt;"","",IF(Withdrawal_Timing="Start of year",IF(D58&gt;=C58,1,0),IF(D58*(1+Growth_Rate)&gt;=C58,1,0)))</f>
        <v/>
      </c>
      <c r="F58" s="80" t="str">
        <f aca="false">IF(Need_1&lt;&gt;"","",IF(E58=1,IF(Withdrawal_Timing="Start of year",(D58-C58)*(1+Growth_Rate),D58*(1+Growth_Rate)-C58),0))</f>
        <v/>
      </c>
    </row>
    <row r="59" customFormat="false" ht="15" hidden="false" customHeight="true" outlineLevel="0" collapsed="false">
      <c r="B59" s="79" t="n">
        <v>27</v>
      </c>
      <c r="C59" s="80" t="str">
        <f aca="false">IF(Need_1&lt;&gt;"","",C58*(1+Inflation_Choice))</f>
        <v/>
      </c>
      <c r="D59" s="80" t="str">
        <f aca="false">IF(Need_1&lt;&gt;"","",F58)</f>
        <v/>
      </c>
      <c r="E59" s="79" t="str">
        <f aca="false">IF(Need_1&lt;&gt;"","",IF(Withdrawal_Timing="Start of year",IF(D59&gt;=C59,1,0),IF(D59*(1+Growth_Rate)&gt;=C59,1,0)))</f>
        <v/>
      </c>
      <c r="F59" s="80" t="str">
        <f aca="false">IF(Need_1&lt;&gt;"","",IF(E59=1,IF(Withdrawal_Timing="Start of year",(D59-C59)*(1+Growth_Rate),D59*(1+Growth_Rate)-C59),0))</f>
        <v/>
      </c>
    </row>
    <row r="60" customFormat="false" ht="15" hidden="false" customHeight="true" outlineLevel="0" collapsed="false">
      <c r="B60" s="79" t="n">
        <v>28</v>
      </c>
      <c r="C60" s="80" t="str">
        <f aca="false">IF(Need_1&lt;&gt;"","",C59*(1+Inflation_Choice))</f>
        <v/>
      </c>
      <c r="D60" s="80" t="str">
        <f aca="false">IF(Need_1&lt;&gt;"","",F59)</f>
        <v/>
      </c>
      <c r="E60" s="79" t="str">
        <f aca="false">IF(Need_1&lt;&gt;"","",IF(Withdrawal_Timing="Start of year",IF(D60&gt;=C60,1,0),IF(D60*(1+Growth_Rate)&gt;=C60,1,0)))</f>
        <v/>
      </c>
      <c r="F60" s="80" t="str">
        <f aca="false">IF(Need_1&lt;&gt;"","",IF(E60=1,IF(Withdrawal_Timing="Start of year",(D60-C60)*(1+Growth_Rate),D60*(1+Growth_Rate)-C60),0))</f>
        <v/>
      </c>
    </row>
    <row r="61" customFormat="false" ht="15" hidden="false" customHeight="true" outlineLevel="0" collapsed="false">
      <c r="B61" s="79" t="n">
        <v>29</v>
      </c>
      <c r="C61" s="80" t="str">
        <f aca="false">IF(Need_1&lt;&gt;"","",C60*(1+Inflation_Choice))</f>
        <v/>
      </c>
      <c r="D61" s="80" t="str">
        <f aca="false">IF(Need_1&lt;&gt;"","",F60)</f>
        <v/>
      </c>
      <c r="E61" s="79" t="str">
        <f aca="false">IF(Need_1&lt;&gt;"","",IF(Withdrawal_Timing="Start of year",IF(D61&gt;=C61,1,0),IF(D61*(1+Growth_Rate)&gt;=C61,1,0)))</f>
        <v/>
      </c>
      <c r="F61" s="80" t="str">
        <f aca="false">IF(Need_1&lt;&gt;"","",IF(E61=1,IF(Withdrawal_Timing="Start of year",(D61-C61)*(1+Growth_Rate),D61*(1+Growth_Rate)-C61),0))</f>
        <v/>
      </c>
    </row>
    <row r="62" customFormat="false" ht="15" hidden="false" customHeight="true" outlineLevel="0" collapsed="false">
      <c r="B62" s="79" t="n">
        <v>30</v>
      </c>
      <c r="C62" s="80" t="str">
        <f aca="false">IF(Need_1&lt;&gt;"","",C61*(1+Inflation_Choice))</f>
        <v/>
      </c>
      <c r="D62" s="80" t="str">
        <f aca="false">IF(Need_1&lt;&gt;"","",F61)</f>
        <v/>
      </c>
      <c r="E62" s="79" t="str">
        <f aca="false">IF(Need_1&lt;&gt;"","",IF(Withdrawal_Timing="Start of year",IF(D62&gt;=C62,1,0),IF(D62*(1+Growth_Rate)&gt;=C62,1,0)))</f>
        <v/>
      </c>
      <c r="F62" s="80" t="str">
        <f aca="false">IF(Need_1&lt;&gt;"","",IF(E62=1,IF(Withdrawal_Timing="Start of year",(D62-C62)*(1+Growth_Rate),D62*(1+Growth_Rate)-C62),0))</f>
        <v/>
      </c>
    </row>
    <row r="63" customFormat="false" ht="15" hidden="false" customHeight="true" outlineLevel="0" collapsed="false">
      <c r="B63" s="79" t="n">
        <v>31</v>
      </c>
      <c r="C63" s="80" t="str">
        <f aca="false">IF(Need_1&lt;&gt;"","",C62*(1+Inflation_Choice))</f>
        <v/>
      </c>
      <c r="D63" s="80" t="str">
        <f aca="false">IF(Need_1&lt;&gt;"","",F62)</f>
        <v/>
      </c>
      <c r="E63" s="79" t="str">
        <f aca="false">IF(Need_1&lt;&gt;"","",IF(Withdrawal_Timing="Start of year",IF(D63&gt;=C63,1,0),IF(D63*(1+Growth_Rate)&gt;=C63,1,0)))</f>
        <v/>
      </c>
      <c r="F63" s="80" t="str">
        <f aca="false">IF(Need_1&lt;&gt;"","",IF(E63=1,IF(Withdrawal_Timing="Start of year",(D63-C63)*(1+Growth_Rate),D63*(1+Growth_Rate)-C63),0))</f>
        <v/>
      </c>
    </row>
    <row r="64" customFormat="false" ht="15" hidden="false" customHeight="true" outlineLevel="0" collapsed="false">
      <c r="B64" s="79" t="n">
        <v>32</v>
      </c>
      <c r="C64" s="80" t="str">
        <f aca="false">IF(Need_1&lt;&gt;"","",C63*(1+Inflation_Choice))</f>
        <v/>
      </c>
      <c r="D64" s="80" t="str">
        <f aca="false">IF(Need_1&lt;&gt;"","",F63)</f>
        <v/>
      </c>
      <c r="E64" s="79" t="str">
        <f aca="false">IF(Need_1&lt;&gt;"","",IF(Withdrawal_Timing="Start of year",IF(D64&gt;=C64,1,0),IF(D64*(1+Growth_Rate)&gt;=C64,1,0)))</f>
        <v/>
      </c>
      <c r="F64" s="80" t="str">
        <f aca="false">IF(Need_1&lt;&gt;"","",IF(E64=1,IF(Withdrawal_Timing="Start of year",(D64-C64)*(1+Growth_Rate),D64*(1+Growth_Rate)-C64),0))</f>
        <v/>
      </c>
    </row>
    <row r="65" customFormat="false" ht="15" hidden="false" customHeight="true" outlineLevel="0" collapsed="false">
      <c r="B65" s="79" t="n">
        <v>33</v>
      </c>
      <c r="C65" s="80" t="str">
        <f aca="false">IF(Need_1&lt;&gt;"","",C64*(1+Inflation_Choice))</f>
        <v/>
      </c>
      <c r="D65" s="80" t="str">
        <f aca="false">IF(Need_1&lt;&gt;"","",F64)</f>
        <v/>
      </c>
      <c r="E65" s="79" t="str">
        <f aca="false">IF(Need_1&lt;&gt;"","",IF(Withdrawal_Timing="Start of year",IF(D65&gt;=C65,1,0),IF(D65*(1+Growth_Rate)&gt;=C65,1,0)))</f>
        <v/>
      </c>
      <c r="F65" s="80" t="str">
        <f aca="false">IF(Need_1&lt;&gt;"","",IF(E65=1,IF(Withdrawal_Timing="Start of year",(D65-C65)*(1+Growth_Rate),D65*(1+Growth_Rate)-C65),0))</f>
        <v/>
      </c>
    </row>
    <row r="66" customFormat="false" ht="15" hidden="false" customHeight="true" outlineLevel="0" collapsed="false">
      <c r="B66" s="79" t="n">
        <v>34</v>
      </c>
      <c r="C66" s="80" t="str">
        <f aca="false">IF(Need_1&lt;&gt;"","",C65*(1+Inflation_Choice))</f>
        <v/>
      </c>
      <c r="D66" s="80" t="str">
        <f aca="false">IF(Need_1&lt;&gt;"","",F65)</f>
        <v/>
      </c>
      <c r="E66" s="79" t="str">
        <f aca="false">IF(Need_1&lt;&gt;"","",IF(Withdrawal_Timing="Start of year",IF(D66&gt;=C66,1,0),IF(D66*(1+Growth_Rate)&gt;=C66,1,0)))</f>
        <v/>
      </c>
      <c r="F66" s="80" t="str">
        <f aca="false">IF(Need_1&lt;&gt;"","",IF(E66=1,IF(Withdrawal_Timing="Start of year",(D66-C66)*(1+Growth_Rate),D66*(1+Growth_Rate)-C66),0))</f>
        <v/>
      </c>
    </row>
    <row r="67" customFormat="false" ht="15" hidden="false" customHeight="true" outlineLevel="0" collapsed="false">
      <c r="B67" s="79" t="n">
        <v>35</v>
      </c>
      <c r="C67" s="80" t="str">
        <f aca="false">IF(Need_1&lt;&gt;"","",C66*(1+Inflation_Choice))</f>
        <v/>
      </c>
      <c r="D67" s="80" t="str">
        <f aca="false">IF(Need_1&lt;&gt;"","",F66)</f>
        <v/>
      </c>
      <c r="E67" s="79" t="str">
        <f aca="false">IF(Need_1&lt;&gt;"","",IF(Withdrawal_Timing="Start of year",IF(D67&gt;=C67,1,0),IF(D67*(1+Growth_Rate)&gt;=C67,1,0)))</f>
        <v/>
      </c>
      <c r="F67" s="80" t="str">
        <f aca="false">IF(Need_1&lt;&gt;"","",IF(E67=1,IF(Withdrawal_Timing="Start of year",(D67-C67)*(1+Growth_Rate),D67*(1+Growth_Rate)-C67),0))</f>
        <v/>
      </c>
    </row>
    <row r="68" customFormat="false" ht="15" hidden="false" customHeight="true" outlineLevel="0" collapsed="false">
      <c r="B68" s="79" t="n">
        <v>36</v>
      </c>
      <c r="C68" s="80" t="str">
        <f aca="false">IF(Need_1&lt;&gt;"","",C67*(1+Inflation_Choice))</f>
        <v/>
      </c>
      <c r="D68" s="80" t="str">
        <f aca="false">IF(Need_1&lt;&gt;"","",F67)</f>
        <v/>
      </c>
      <c r="E68" s="79" t="str">
        <f aca="false">IF(Need_1&lt;&gt;"","",IF(Withdrawal_Timing="Start of year",IF(D68&gt;=C68,1,0),IF(D68*(1+Growth_Rate)&gt;=C68,1,0)))</f>
        <v/>
      </c>
      <c r="F68" s="80" t="str">
        <f aca="false">IF(Need_1&lt;&gt;"","",IF(E68=1,IF(Withdrawal_Timing="Start of year",(D68-C68)*(1+Growth_Rate),D68*(1+Growth_Rate)-C68),0))</f>
        <v/>
      </c>
    </row>
    <row r="69" customFormat="false" ht="15" hidden="false" customHeight="true" outlineLevel="0" collapsed="false">
      <c r="B69" s="79" t="n">
        <v>37</v>
      </c>
      <c r="C69" s="80" t="str">
        <f aca="false">IF(Need_1&lt;&gt;"","",C68*(1+Inflation_Choice))</f>
        <v/>
      </c>
      <c r="D69" s="80" t="str">
        <f aca="false">IF(Need_1&lt;&gt;"","",F68)</f>
        <v/>
      </c>
      <c r="E69" s="79" t="str">
        <f aca="false">IF(Need_1&lt;&gt;"","",IF(Withdrawal_Timing="Start of year",IF(D69&gt;=C69,1,0),IF(D69*(1+Growth_Rate)&gt;=C69,1,0)))</f>
        <v/>
      </c>
      <c r="F69" s="80" t="str">
        <f aca="false">IF(Need_1&lt;&gt;"","",IF(E69=1,IF(Withdrawal_Timing="Start of year",(D69-C69)*(1+Growth_Rate),D69*(1+Growth_Rate)-C69),0))</f>
        <v/>
      </c>
    </row>
    <row r="70" customFormat="false" ht="15" hidden="false" customHeight="true" outlineLevel="0" collapsed="false">
      <c r="B70" s="79" t="n">
        <v>38</v>
      </c>
      <c r="C70" s="80" t="str">
        <f aca="false">IF(Need_1&lt;&gt;"","",C69*(1+Inflation_Choice))</f>
        <v/>
      </c>
      <c r="D70" s="80" t="str">
        <f aca="false">IF(Need_1&lt;&gt;"","",F69)</f>
        <v/>
      </c>
      <c r="E70" s="79" t="str">
        <f aca="false">IF(Need_1&lt;&gt;"","",IF(Withdrawal_Timing="Start of year",IF(D70&gt;=C70,1,0),IF(D70*(1+Growth_Rate)&gt;=C70,1,0)))</f>
        <v/>
      </c>
      <c r="F70" s="80" t="str">
        <f aca="false">IF(Need_1&lt;&gt;"","",IF(E70=1,IF(Withdrawal_Timing="Start of year",(D70-C70)*(1+Growth_Rate),D70*(1+Growth_Rate)-C70),0))</f>
        <v/>
      </c>
    </row>
    <row r="71" customFormat="false" ht="15" hidden="false" customHeight="true" outlineLevel="0" collapsed="false">
      <c r="B71" s="79" t="n">
        <v>39</v>
      </c>
      <c r="C71" s="80" t="str">
        <f aca="false">IF(Need_1&lt;&gt;"","",C70*(1+Inflation_Choice))</f>
        <v/>
      </c>
      <c r="D71" s="80" t="str">
        <f aca="false">IF(Need_1&lt;&gt;"","",F70)</f>
        <v/>
      </c>
      <c r="E71" s="79" t="str">
        <f aca="false">IF(Need_1&lt;&gt;"","",IF(Withdrawal_Timing="Start of year",IF(D71&gt;=C71,1,0),IF(D71*(1+Growth_Rate)&gt;=C71,1,0)))</f>
        <v/>
      </c>
      <c r="F71" s="80" t="str">
        <f aca="false">IF(Need_1&lt;&gt;"","",IF(E71=1,IF(Withdrawal_Timing="Start of year",(D71-C71)*(1+Growth_Rate),D71*(1+Growth_Rate)-C71),0))</f>
        <v/>
      </c>
    </row>
    <row r="72" customFormat="false" ht="15" hidden="false" customHeight="true" outlineLevel="0" collapsed="false">
      <c r="B72" s="79" t="n">
        <v>40</v>
      </c>
      <c r="C72" s="80" t="str">
        <f aca="false">IF(Need_1&lt;&gt;"","",C71*(1+Inflation_Choice))</f>
        <v/>
      </c>
      <c r="D72" s="80" t="str">
        <f aca="false">IF(Need_1&lt;&gt;"","",F71)</f>
        <v/>
      </c>
      <c r="E72" s="79" t="str">
        <f aca="false">IF(Need_1&lt;&gt;"","",IF(Withdrawal_Timing="Start of year",IF(D72&gt;=C72,1,0),IF(D72*(1+Growth_Rate)&gt;=C72,1,0)))</f>
        <v/>
      </c>
      <c r="F72" s="80" t="str">
        <f aca="false">IF(Need_1&lt;&gt;"","",IF(E72=1,IF(Withdrawal_Timing="Start of year",(D72-C72)*(1+Growth_Rate),D72*(1+Growth_Rate)-C72),0))</f>
        <v/>
      </c>
    </row>
    <row r="73" customFormat="false" ht="15" hidden="false" customHeight="true" outlineLevel="0" collapsed="false">
      <c r="B73" s="79" t="n">
        <v>41</v>
      </c>
      <c r="C73" s="80" t="str">
        <f aca="false">IF(Need_1&lt;&gt;"","",C72*(1+Inflation_Choice))</f>
        <v/>
      </c>
      <c r="D73" s="80" t="str">
        <f aca="false">IF(Need_1&lt;&gt;"","",F72)</f>
        <v/>
      </c>
      <c r="E73" s="79" t="str">
        <f aca="false">IF(Need_1&lt;&gt;"","",IF(Withdrawal_Timing="Start of year",IF(D73&gt;=C73,1,0),IF(D73*(1+Growth_Rate)&gt;=C73,1,0)))</f>
        <v/>
      </c>
      <c r="F73" s="80" t="str">
        <f aca="false">IF(Need_1&lt;&gt;"","",IF(E73=1,IF(Withdrawal_Timing="Start of year",(D73-C73)*(1+Growth_Rate),D73*(1+Growth_Rate)-C73),0))</f>
        <v/>
      </c>
    </row>
    <row r="74" customFormat="false" ht="15" hidden="false" customHeight="true" outlineLevel="0" collapsed="false">
      <c r="B74" s="79" t="n">
        <v>42</v>
      </c>
      <c r="C74" s="80" t="str">
        <f aca="false">IF(Need_1&lt;&gt;"","",C73*(1+Inflation_Choice))</f>
        <v/>
      </c>
      <c r="D74" s="80" t="str">
        <f aca="false">IF(Need_1&lt;&gt;"","",F73)</f>
        <v/>
      </c>
      <c r="E74" s="79" t="str">
        <f aca="false">IF(Need_1&lt;&gt;"","",IF(Withdrawal_Timing="Start of year",IF(D74&gt;=C74,1,0),IF(D74*(1+Growth_Rate)&gt;=C74,1,0)))</f>
        <v/>
      </c>
      <c r="F74" s="80" t="str">
        <f aca="false">IF(Need_1&lt;&gt;"","",IF(E74=1,IF(Withdrawal_Timing="Start of year",(D74-C74)*(1+Growth_Rate),D74*(1+Growth_Rate)-C74),0))</f>
        <v/>
      </c>
    </row>
    <row r="75" customFormat="false" ht="15" hidden="false" customHeight="true" outlineLevel="0" collapsed="false">
      <c r="B75" s="79" t="n">
        <v>43</v>
      </c>
      <c r="C75" s="80" t="str">
        <f aca="false">IF(Need_1&lt;&gt;"","",C74*(1+Inflation_Choice))</f>
        <v/>
      </c>
      <c r="D75" s="80" t="str">
        <f aca="false">IF(Need_1&lt;&gt;"","",F74)</f>
        <v/>
      </c>
      <c r="E75" s="79" t="str">
        <f aca="false">IF(Need_1&lt;&gt;"","",IF(Withdrawal_Timing="Start of year",IF(D75&gt;=C75,1,0),IF(D75*(1+Growth_Rate)&gt;=C75,1,0)))</f>
        <v/>
      </c>
      <c r="F75" s="80" t="str">
        <f aca="false">IF(Need_1&lt;&gt;"","",IF(E75=1,IF(Withdrawal_Timing="Start of year",(D75-C75)*(1+Growth_Rate),D75*(1+Growth_Rate)-C75),0))</f>
        <v/>
      </c>
    </row>
    <row r="76" customFormat="false" ht="15" hidden="false" customHeight="true" outlineLevel="0" collapsed="false">
      <c r="B76" s="79" t="n">
        <v>44</v>
      </c>
      <c r="C76" s="80" t="str">
        <f aca="false">IF(Need_1&lt;&gt;"","",C75*(1+Inflation_Choice))</f>
        <v/>
      </c>
      <c r="D76" s="80" t="str">
        <f aca="false">IF(Need_1&lt;&gt;"","",F75)</f>
        <v/>
      </c>
      <c r="E76" s="79" t="str">
        <f aca="false">IF(Need_1&lt;&gt;"","",IF(Withdrawal_Timing="Start of year",IF(D76&gt;=C76,1,0),IF(D76*(1+Growth_Rate)&gt;=C76,1,0)))</f>
        <v/>
      </c>
      <c r="F76" s="80" t="str">
        <f aca="false">IF(Need_1&lt;&gt;"","",IF(E76=1,IF(Withdrawal_Timing="Start of year",(D76-C76)*(1+Growth_Rate),D76*(1+Growth_Rate)-C76),0))</f>
        <v/>
      </c>
    </row>
    <row r="77" customFormat="false" ht="15" hidden="false" customHeight="true" outlineLevel="0" collapsed="false">
      <c r="B77" s="79" t="n">
        <v>45</v>
      </c>
      <c r="C77" s="80" t="str">
        <f aca="false">IF(Need_1&lt;&gt;"","",C76*(1+Inflation_Choice))</f>
        <v/>
      </c>
      <c r="D77" s="80" t="str">
        <f aca="false">IF(Need_1&lt;&gt;"","",F76)</f>
        <v/>
      </c>
      <c r="E77" s="79" t="str">
        <f aca="false">IF(Need_1&lt;&gt;"","",IF(Withdrawal_Timing="Start of year",IF(D77&gt;=C77,1,0),IF(D77*(1+Growth_Rate)&gt;=C77,1,0)))</f>
        <v/>
      </c>
      <c r="F77" s="80" t="str">
        <f aca="false">IF(Need_1&lt;&gt;"","",IF(E77=1,IF(Withdrawal_Timing="Start of year",(D77-C77)*(1+Growth_Rate),D77*(1+Growth_Rate)-C77),0))</f>
        <v/>
      </c>
    </row>
    <row r="78" customFormat="false" ht="15" hidden="false" customHeight="true" outlineLevel="0" collapsed="false">
      <c r="B78" s="79" t="n">
        <v>46</v>
      </c>
      <c r="C78" s="80" t="str">
        <f aca="false">IF(Need_1&lt;&gt;"","",C77*(1+Inflation_Choice))</f>
        <v/>
      </c>
      <c r="D78" s="80" t="str">
        <f aca="false">IF(Need_1&lt;&gt;"","",F77)</f>
        <v/>
      </c>
      <c r="E78" s="79" t="str">
        <f aca="false">IF(Need_1&lt;&gt;"","",IF(Withdrawal_Timing="Start of year",IF(D78&gt;=C78,1,0),IF(D78*(1+Growth_Rate)&gt;=C78,1,0)))</f>
        <v/>
      </c>
      <c r="F78" s="80" t="str">
        <f aca="false">IF(Need_1&lt;&gt;"","",IF(E78=1,IF(Withdrawal_Timing="Start of year",(D78-C78)*(1+Growth_Rate),D78*(1+Growth_Rate)-C78),0))</f>
        <v/>
      </c>
    </row>
    <row r="79" customFormat="false" ht="15" hidden="false" customHeight="true" outlineLevel="0" collapsed="false">
      <c r="B79" s="79" t="n">
        <v>47</v>
      </c>
      <c r="C79" s="80" t="str">
        <f aca="false">IF(Need_1&lt;&gt;"","",C78*(1+Inflation_Choice))</f>
        <v/>
      </c>
      <c r="D79" s="80" t="str">
        <f aca="false">IF(Need_1&lt;&gt;"","",F78)</f>
        <v/>
      </c>
      <c r="E79" s="79" t="str">
        <f aca="false">IF(Need_1&lt;&gt;"","",IF(Withdrawal_Timing="Start of year",IF(D79&gt;=C79,1,0),IF(D79*(1+Growth_Rate)&gt;=C79,1,0)))</f>
        <v/>
      </c>
      <c r="F79" s="80" t="str">
        <f aca="false">IF(Need_1&lt;&gt;"","",IF(E79=1,IF(Withdrawal_Timing="Start of year",(D79-C79)*(1+Growth_Rate),D79*(1+Growth_Rate)-C79),0))</f>
        <v/>
      </c>
    </row>
    <row r="80" customFormat="false" ht="15" hidden="false" customHeight="true" outlineLevel="0" collapsed="false">
      <c r="B80" s="79" t="n">
        <v>48</v>
      </c>
      <c r="C80" s="80" t="str">
        <f aca="false">IF(Need_1&lt;&gt;"","",C79*(1+Inflation_Choice))</f>
        <v/>
      </c>
      <c r="D80" s="80" t="str">
        <f aca="false">IF(Need_1&lt;&gt;"","",F79)</f>
        <v/>
      </c>
      <c r="E80" s="79" t="str">
        <f aca="false">IF(Need_1&lt;&gt;"","",IF(Withdrawal_Timing="Start of year",IF(D80&gt;=C80,1,0),IF(D80*(1+Growth_Rate)&gt;=C80,1,0)))</f>
        <v/>
      </c>
      <c r="F80" s="80" t="str">
        <f aca="false">IF(Need_1&lt;&gt;"","",IF(E80=1,IF(Withdrawal_Timing="Start of year",(D80-C80)*(1+Growth_Rate),D80*(1+Growth_Rate)-C80),0))</f>
        <v/>
      </c>
    </row>
    <row r="81" customFormat="false" ht="15" hidden="false" customHeight="true" outlineLevel="0" collapsed="false">
      <c r="B81" s="79" t="n">
        <v>49</v>
      </c>
      <c r="C81" s="80" t="str">
        <f aca="false">IF(Need_1&lt;&gt;"","",C80*(1+Inflation_Choice))</f>
        <v/>
      </c>
      <c r="D81" s="80" t="str">
        <f aca="false">IF(Need_1&lt;&gt;"","",F80)</f>
        <v/>
      </c>
      <c r="E81" s="79" t="str">
        <f aca="false">IF(Need_1&lt;&gt;"","",IF(Withdrawal_Timing="Start of year",IF(D81&gt;=C81,1,0),IF(D81*(1+Growth_Rate)&gt;=C81,1,0)))</f>
        <v/>
      </c>
      <c r="F81" s="80" t="str">
        <f aca="false">IF(Need_1&lt;&gt;"","",IF(E81=1,IF(Withdrawal_Timing="Start of year",(D81-C81)*(1+Growth_Rate),D81*(1+Growth_Rate)-C81),0))</f>
        <v/>
      </c>
    </row>
    <row r="82" customFormat="false" ht="15" hidden="false" customHeight="true" outlineLevel="0" collapsed="false">
      <c r="B82" s="79" t="n">
        <v>50</v>
      </c>
      <c r="C82" s="80" t="str">
        <f aca="false">IF(Need_1&lt;&gt;"","",C81*(1+Inflation_Choice))</f>
        <v/>
      </c>
      <c r="D82" s="80" t="str">
        <f aca="false">IF(Need_1&lt;&gt;"","",F81)</f>
        <v/>
      </c>
      <c r="E82" s="79" t="str">
        <f aca="false">IF(Need_1&lt;&gt;"","",IF(Withdrawal_Timing="Start of year",IF(D82&gt;=C82,1,0),IF(D82*(1+Growth_Rate)&gt;=C82,1,0)))</f>
        <v/>
      </c>
      <c r="F82" s="80" t="str">
        <f aca="false">IF(Need_1&lt;&gt;"","",IF(E82=1,IF(Withdrawal_Timing="Start of year",(D82-C82)*(1+Growth_Rate),D82*(1+Growth_Rate)-C82),0))</f>
        <v/>
      </c>
    </row>
    <row r="83" customFormat="false" ht="15" hidden="false" customHeight="true" outlineLevel="0" collapsed="false">
      <c r="B83" s="79" t="n">
        <v>51</v>
      </c>
      <c r="C83" s="80" t="str">
        <f aca="false">IF(Need_1&lt;&gt;"","",C82*(1+Inflation_Choice))</f>
        <v/>
      </c>
      <c r="D83" s="80" t="str">
        <f aca="false">IF(Need_1&lt;&gt;"","",F82)</f>
        <v/>
      </c>
      <c r="E83" s="79" t="str">
        <f aca="false">IF(Need_1&lt;&gt;"","",IF(Withdrawal_Timing="Start of year",IF(D83&gt;=C83,1,0),IF(D83*(1+Growth_Rate)&gt;=C83,1,0)))</f>
        <v/>
      </c>
      <c r="F83" s="80" t="str">
        <f aca="false">IF(Need_1&lt;&gt;"","",IF(E83=1,IF(Withdrawal_Timing="Start of year",(D83-C83)*(1+Growth_Rate),D83*(1+Growth_Rate)-C83),0))</f>
        <v/>
      </c>
    </row>
    <row r="84" customFormat="false" ht="15" hidden="false" customHeight="true" outlineLevel="0" collapsed="false">
      <c r="B84" s="79" t="n">
        <v>52</v>
      </c>
      <c r="C84" s="80" t="str">
        <f aca="false">IF(Need_1&lt;&gt;"","",C83*(1+Inflation_Choice))</f>
        <v/>
      </c>
      <c r="D84" s="80" t="str">
        <f aca="false">IF(Need_1&lt;&gt;"","",F83)</f>
        <v/>
      </c>
      <c r="E84" s="79" t="str">
        <f aca="false">IF(Need_1&lt;&gt;"","",IF(Withdrawal_Timing="Start of year",IF(D84&gt;=C84,1,0),IF(D84*(1+Growth_Rate)&gt;=C84,1,0)))</f>
        <v/>
      </c>
      <c r="F84" s="80" t="str">
        <f aca="false">IF(Need_1&lt;&gt;"","",IF(E84=1,IF(Withdrawal_Timing="Start of year",(D84-C84)*(1+Growth_Rate),D84*(1+Growth_Rate)-C84),0))</f>
        <v/>
      </c>
    </row>
    <row r="85" customFormat="false" ht="15" hidden="false" customHeight="true" outlineLevel="0" collapsed="false">
      <c r="B85" s="79" t="n">
        <v>53</v>
      </c>
      <c r="C85" s="80" t="str">
        <f aca="false">IF(Need_1&lt;&gt;"","",C84*(1+Inflation_Choice))</f>
        <v/>
      </c>
      <c r="D85" s="80" t="str">
        <f aca="false">IF(Need_1&lt;&gt;"","",F84)</f>
        <v/>
      </c>
      <c r="E85" s="79" t="str">
        <f aca="false">IF(Need_1&lt;&gt;"","",IF(Withdrawal_Timing="Start of year",IF(D85&gt;=C85,1,0),IF(D85*(1+Growth_Rate)&gt;=C85,1,0)))</f>
        <v/>
      </c>
      <c r="F85" s="80" t="str">
        <f aca="false">IF(Need_1&lt;&gt;"","",IF(E85=1,IF(Withdrawal_Timing="Start of year",(D85-C85)*(1+Growth_Rate),D85*(1+Growth_Rate)-C85),0))</f>
        <v/>
      </c>
    </row>
    <row r="86" customFormat="false" ht="15" hidden="false" customHeight="true" outlineLevel="0" collapsed="false">
      <c r="B86" s="79" t="n">
        <v>54</v>
      </c>
      <c r="C86" s="80" t="str">
        <f aca="false">IF(Need_1&lt;&gt;"","",C85*(1+Inflation_Choice))</f>
        <v/>
      </c>
      <c r="D86" s="80" t="str">
        <f aca="false">IF(Need_1&lt;&gt;"","",F85)</f>
        <v/>
      </c>
      <c r="E86" s="79" t="str">
        <f aca="false">IF(Need_1&lt;&gt;"","",IF(Withdrawal_Timing="Start of year",IF(D86&gt;=C86,1,0),IF(D86*(1+Growth_Rate)&gt;=C86,1,0)))</f>
        <v/>
      </c>
      <c r="F86" s="80" t="str">
        <f aca="false">IF(Need_1&lt;&gt;"","",IF(E86=1,IF(Withdrawal_Timing="Start of year",(D86-C86)*(1+Growth_Rate),D86*(1+Growth_Rate)-C86),0))</f>
        <v/>
      </c>
    </row>
    <row r="87" customFormat="false" ht="15" hidden="false" customHeight="true" outlineLevel="0" collapsed="false">
      <c r="B87" s="79" t="n">
        <v>55</v>
      </c>
      <c r="C87" s="80" t="str">
        <f aca="false">IF(Need_1&lt;&gt;"","",C86*(1+Inflation_Choice))</f>
        <v/>
      </c>
      <c r="D87" s="80" t="str">
        <f aca="false">IF(Need_1&lt;&gt;"","",F86)</f>
        <v/>
      </c>
      <c r="E87" s="79" t="str">
        <f aca="false">IF(Need_1&lt;&gt;"","",IF(Withdrawal_Timing="Start of year",IF(D87&gt;=C87,1,0),IF(D87*(1+Growth_Rate)&gt;=C87,1,0)))</f>
        <v/>
      </c>
      <c r="F87" s="80" t="str">
        <f aca="false">IF(Need_1&lt;&gt;"","",IF(E87=1,IF(Withdrawal_Timing="Start of year",(D87-C87)*(1+Growth_Rate),D87*(1+Growth_Rate)-C87),0))</f>
        <v/>
      </c>
    </row>
    <row r="88" customFormat="false" ht="15" hidden="false" customHeight="true" outlineLevel="0" collapsed="false">
      <c r="B88" s="79" t="n">
        <v>56</v>
      </c>
      <c r="C88" s="80" t="str">
        <f aca="false">IF(Need_1&lt;&gt;"","",C87*(1+Inflation_Choice))</f>
        <v/>
      </c>
      <c r="D88" s="80" t="str">
        <f aca="false">IF(Need_1&lt;&gt;"","",F87)</f>
        <v/>
      </c>
      <c r="E88" s="79" t="str">
        <f aca="false">IF(Need_1&lt;&gt;"","",IF(Withdrawal_Timing="Start of year",IF(D88&gt;=C88,1,0),IF(D88*(1+Growth_Rate)&gt;=C88,1,0)))</f>
        <v/>
      </c>
      <c r="F88" s="80" t="str">
        <f aca="false">IF(Need_1&lt;&gt;"","",IF(E88=1,IF(Withdrawal_Timing="Start of year",(D88-C88)*(1+Growth_Rate),D88*(1+Growth_Rate)-C88),0))</f>
        <v/>
      </c>
    </row>
    <row r="89" customFormat="false" ht="15" hidden="false" customHeight="true" outlineLevel="0" collapsed="false">
      <c r="B89" s="79" t="n">
        <v>57</v>
      </c>
      <c r="C89" s="80" t="str">
        <f aca="false">IF(Need_1&lt;&gt;"","",C88*(1+Inflation_Choice))</f>
        <v/>
      </c>
      <c r="D89" s="80" t="str">
        <f aca="false">IF(Need_1&lt;&gt;"","",F88)</f>
        <v/>
      </c>
      <c r="E89" s="79" t="str">
        <f aca="false">IF(Need_1&lt;&gt;"","",IF(Withdrawal_Timing="Start of year",IF(D89&gt;=C89,1,0),IF(D89*(1+Growth_Rate)&gt;=C89,1,0)))</f>
        <v/>
      </c>
      <c r="F89" s="80" t="str">
        <f aca="false">IF(Need_1&lt;&gt;"","",IF(E89=1,IF(Withdrawal_Timing="Start of year",(D89-C89)*(1+Growth_Rate),D89*(1+Growth_Rate)-C89),0))</f>
        <v/>
      </c>
    </row>
    <row r="90" customFormat="false" ht="15" hidden="false" customHeight="true" outlineLevel="0" collapsed="false">
      <c r="B90" s="79" t="n">
        <v>58</v>
      </c>
      <c r="C90" s="80" t="str">
        <f aca="false">IF(Need_1&lt;&gt;"","",C89*(1+Inflation_Choice))</f>
        <v/>
      </c>
      <c r="D90" s="80" t="str">
        <f aca="false">IF(Need_1&lt;&gt;"","",F89)</f>
        <v/>
      </c>
      <c r="E90" s="79" t="str">
        <f aca="false">IF(Need_1&lt;&gt;"","",IF(Withdrawal_Timing="Start of year",IF(D90&gt;=C90,1,0),IF(D90*(1+Growth_Rate)&gt;=C90,1,0)))</f>
        <v/>
      </c>
      <c r="F90" s="80" t="str">
        <f aca="false">IF(Need_1&lt;&gt;"","",IF(E90=1,IF(Withdrawal_Timing="Start of year",(D90-C90)*(1+Growth_Rate),D90*(1+Growth_Rate)-C90),0))</f>
        <v/>
      </c>
    </row>
    <row r="91" customFormat="false" ht="15" hidden="false" customHeight="true" outlineLevel="0" collapsed="false">
      <c r="B91" s="79" t="n">
        <v>59</v>
      </c>
      <c r="C91" s="80" t="str">
        <f aca="false">IF(Need_1&lt;&gt;"","",C90*(1+Inflation_Choice))</f>
        <v/>
      </c>
      <c r="D91" s="80" t="str">
        <f aca="false">IF(Need_1&lt;&gt;"","",F90)</f>
        <v/>
      </c>
      <c r="E91" s="79" t="str">
        <f aca="false">IF(Need_1&lt;&gt;"","",IF(Withdrawal_Timing="Start of year",IF(D91&gt;=C91,1,0),IF(D91*(1+Growth_Rate)&gt;=C91,1,0)))</f>
        <v/>
      </c>
      <c r="F91" s="80" t="str">
        <f aca="false">IF(Need_1&lt;&gt;"","",IF(E91=1,IF(Withdrawal_Timing="Start of year",(D91-C91)*(1+Growth_Rate),D91*(1+Growth_Rate)-C91),0))</f>
        <v/>
      </c>
    </row>
    <row r="92" customFormat="false" ht="15" hidden="false" customHeight="true" outlineLevel="0" collapsed="false">
      <c r="B92" s="79" t="n">
        <v>60</v>
      </c>
      <c r="C92" s="80" t="str">
        <f aca="false">IF(Need_1&lt;&gt;"","",C91*(1+Inflation_Choice))</f>
        <v/>
      </c>
      <c r="D92" s="80" t="str">
        <f aca="false">IF(Need_1&lt;&gt;"","",F91)</f>
        <v/>
      </c>
      <c r="E92" s="79" t="str">
        <f aca="false">IF(Need_1&lt;&gt;"","",IF(Withdrawal_Timing="Start of year",IF(D92&gt;=C92,1,0),IF(D92*(1+Growth_Rate)&gt;=C92,1,0)))</f>
        <v/>
      </c>
      <c r="F92" s="80" t="str">
        <f aca="false">IF(Need_1&lt;&gt;"","",IF(E92=1,IF(Withdrawal_Timing="Start of year",(D92-C92)*(1+Growth_Rate),D92*(1+Growth_Rate)-C92),0))</f>
        <v/>
      </c>
    </row>
    <row r="95" customFormat="false" ht="15" hidden="false" customHeight="true" outlineLevel="0" collapsed="false">
      <c r="B95" s="13" t="s">
        <v>272</v>
      </c>
      <c r="C95" s="14"/>
      <c r="D95" s="14"/>
      <c r="E95" s="14"/>
      <c r="F95" s="14"/>
      <c r="G95" s="14"/>
    </row>
    <row r="96" customFormat="false" ht="27.75" hidden="false" customHeight="true" outlineLevel="0" collapsed="false">
      <c r="B96" s="46" t="s">
        <v>903</v>
      </c>
      <c r="C96" s="46"/>
      <c r="D96" s="46"/>
      <c r="E96" s="46"/>
    </row>
    <row r="97" customFormat="false" ht="13.5" hidden="false" customHeight="true" outlineLevel="0" collapsed="false">
      <c r="B97" s="46" t="s">
        <v>904</v>
      </c>
      <c r="C97" s="46"/>
      <c r="D97" s="46"/>
      <c r="E97" s="46"/>
    </row>
    <row r="98" customFormat="false" ht="13.5" hidden="false" customHeight="true" outlineLevel="0" collapsed="false">
      <c r="B98" s="47" t="s">
        <v>276</v>
      </c>
      <c r="C98" s="47"/>
      <c r="D98" s="47"/>
      <c r="E98" s="47"/>
    </row>
    <row r="99" customFormat="false" ht="13.5" hidden="false" customHeight="true" outlineLevel="0" collapsed="false">
      <c r="B99" s="46" t="s">
        <v>905</v>
      </c>
      <c r="C99" s="46"/>
      <c r="D99" s="46"/>
      <c r="E99" s="46"/>
    </row>
    <row r="100" customFormat="false" ht="13.5" hidden="false" customHeight="true" outlineLevel="0" collapsed="false">
      <c r="B100" s="46" t="s">
        <v>906</v>
      </c>
      <c r="C100" s="46"/>
      <c r="D100" s="46"/>
      <c r="E100" s="46"/>
    </row>
    <row r="101" customFormat="false" ht="13.5" hidden="false" customHeight="true" outlineLevel="0" collapsed="false">
      <c r="B101" s="46" t="s">
        <v>907</v>
      </c>
      <c r="C101" s="46"/>
      <c r="D101" s="46"/>
      <c r="E101" s="46"/>
    </row>
    <row r="103" customFormat="false" ht="15" hidden="false" customHeight="true" outlineLevel="0" collapsed="false">
      <c r="B103" s="13" t="s">
        <v>281</v>
      </c>
      <c r="C103" s="14"/>
      <c r="D103" s="14"/>
      <c r="E103" s="14"/>
      <c r="F103" s="14"/>
      <c r="G103" s="14"/>
    </row>
    <row r="104" customFormat="false" ht="15" hidden="false" customHeight="true" outlineLevel="0" collapsed="false">
      <c r="B104" s="25" t="s">
        <v>282</v>
      </c>
      <c r="C104" s="48" t="str">
        <f aca="false">"No goal"</f>
        <v>No goal</v>
      </c>
      <c r="E104" s="49" t="s">
        <v>471</v>
      </c>
    </row>
    <row r="106" customFormat="false" ht="15" hidden="false" customHeight="true" outlineLevel="0" collapsed="false">
      <c r="B106" s="13" t="s">
        <v>290</v>
      </c>
      <c r="C106" s="14"/>
      <c r="D106" s="14"/>
      <c r="E106" s="14"/>
      <c r="F106" s="14"/>
      <c r="G106" s="14"/>
    </row>
    <row r="107" customFormat="false" ht="15" hidden="false" customHeight="true" outlineLevel="0" collapsed="false">
      <c r="B107" s="52" t="s">
        <v>908</v>
      </c>
      <c r="C107" s="52" t="str">
        <f aca="false">IF(Inflation_Choice="","Choose your inflation rate to see this",IF(Yearly_Withdrawal="","Choose your yearly withdrawal to see this",IF(Growth_Rate="","Choose your growth rate to see this",IF(Withdrawal_Timing="","Choose your withdrawal timing to see this",IF(NOT(ISNUMBER(Used_Retirement_Savings)),IF(Used_Retirement_Savings="",IF(Retirement_Savings="","Choose your retirement savings to see this",""),Used_Retirement_Savings),"")))))</f>
        <v>Choose your inflation rate to see this</v>
      </c>
    </row>
    <row r="108" customFormat="false" ht="15" hidden="false" customHeight="true" outlineLevel="0" collapsed="false">
      <c r="B108" s="52" t="s">
        <v>909</v>
      </c>
      <c r="C108" s="52" t="str">
        <f aca="false">IF(Inflation_Choice="","Choose your inflation rate to see this",IF(Yearly_Withdrawal="","Choose your yearly withdrawal to see this",IF(Growth_Rate="","Choose your growth rate to see this",IF(Withdrawal_Timing="","Choose your withdrawal timing to see this",IF(Age_At_Start="","Choose your retirement age to see this",IF(Plan_To_Age="","Choose your plan-to age to see this",IF(NOT(ISNUMBER(Used_Retirement_Savings)),IF(Used_Retirement_Savings="",IF(Retirement_Savings="","Choose your retirement savings to see this",""),Used_Retirement_Savings),"")))))))</f>
        <v>Choose your inflation rate to see this</v>
      </c>
    </row>
    <row r="109" customFormat="false" ht="15" hidden="false" customHeight="true" outlineLevel="0" collapsed="false">
      <c r="B109" s="52" t="s">
        <v>910</v>
      </c>
      <c r="C109" s="52" t="str">
        <f aca="false">IF(Yearly_Withdrawal="","Choose your yearly withdrawal to see this",IF(NOT(ISNUMBER(Used_Retirement_Savings)),IF(Used_Retirement_Savings="",IF(Retirement_Savings="","Choose your retirement savings to see this",""),Used_Retirement_Savings),""))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Goals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many people plan to 90–95.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911</v>
      </c>
      <c r="E1" s="3" t="s">
        <v>912</v>
      </c>
    </row>
    <row r="2" customFormat="false" ht="15" hidden="false" customHeight="true" outlineLevel="0" collapsed="false">
      <c r="B2" s="21" t="s">
        <v>913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914</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876</v>
      </c>
      <c r="C10" s="53"/>
      <c r="D10" s="53"/>
      <c r="E10" s="53"/>
    </row>
    <row r="11" customFormat="false" ht="15" hidden="false" customHeight="true" outlineLevel="0" collapsed="false">
      <c r="B11" s="25" t="s">
        <v>714</v>
      </c>
      <c r="C11" s="54"/>
      <c r="D11" s="27" t="s">
        <v>217</v>
      </c>
      <c r="E11" s="28" t="s">
        <v>631</v>
      </c>
      <c r="G11" s="52" t="s">
        <v>306</v>
      </c>
    </row>
    <row r="12" customFormat="false" ht="15" hidden="false" customHeight="true" outlineLevel="0" collapsed="false">
      <c r="B12" s="25" t="s">
        <v>707</v>
      </c>
      <c r="C12" s="54"/>
      <c r="D12" s="27" t="s">
        <v>217</v>
      </c>
      <c r="E12" s="28" t="s">
        <v>708</v>
      </c>
      <c r="G12" s="52" t="s">
        <v>306</v>
      </c>
    </row>
    <row r="13" customFormat="false" ht="15" hidden="false" customHeight="true" outlineLevel="0" collapsed="false">
      <c r="B13" s="25" t="s">
        <v>313</v>
      </c>
      <c r="C13" s="57"/>
      <c r="D13" s="27" t="s">
        <v>314</v>
      </c>
      <c r="E13" s="28" t="s">
        <v>315</v>
      </c>
      <c r="G13" s="52" t="s">
        <v>306</v>
      </c>
    </row>
    <row r="15" customFormat="false" ht="15" hidden="false" customHeight="true" outlineLevel="0" collapsed="false">
      <c r="B15" s="13" t="s">
        <v>316</v>
      </c>
      <c r="C15" s="24" t="s">
        <v>213</v>
      </c>
      <c r="D15" s="24" t="s">
        <v>214</v>
      </c>
      <c r="E15" s="24" t="s">
        <v>215</v>
      </c>
      <c r="F15" s="14"/>
      <c r="G15" s="14"/>
    </row>
    <row r="16" customFormat="false" ht="21.75" hidden="false" customHeight="true" outlineLevel="0" collapsed="false">
      <c r="B16" s="25" t="s">
        <v>877</v>
      </c>
      <c r="C16" s="26"/>
      <c r="D16" s="27" t="s">
        <v>217</v>
      </c>
      <c r="E16" s="28" t="s">
        <v>878</v>
      </c>
      <c r="F16" s="29" t="n">
        <v>400000</v>
      </c>
      <c r="G16" s="30" t="str">
        <f aca="false">IF(ISBLANK(C16),IF(Fill_Example="Yes",F16,""),C16)</f>
        <v/>
      </c>
    </row>
    <row r="17" customFormat="false" ht="15" hidden="false" customHeight="true" outlineLevel="0" collapsed="false">
      <c r="B17" s="25" t="s">
        <v>879</v>
      </c>
      <c r="C17" s="26"/>
      <c r="D17" s="27" t="s">
        <v>217</v>
      </c>
      <c r="E17" s="28" t="s">
        <v>880</v>
      </c>
      <c r="F17" s="29" t="n">
        <v>20000</v>
      </c>
      <c r="G17" s="30" t="str">
        <f aca="false">IF(ISBLANK(C17),IF(Fill_Example="Yes",F17,""),C17)</f>
        <v/>
      </c>
    </row>
    <row r="18" customFormat="false" ht="21.75" hidden="false" customHeight="true" outlineLevel="0" collapsed="false">
      <c r="B18" s="25" t="s">
        <v>915</v>
      </c>
      <c r="C18" s="34"/>
      <c r="D18" s="27" t="s">
        <v>228</v>
      </c>
      <c r="E18" s="35" t="s">
        <v>916</v>
      </c>
      <c r="F18" s="36" t="n">
        <v>0.02</v>
      </c>
      <c r="G18" s="37" t="str">
        <f aca="false">IF(ISBLANK(C18),IF(Fill_Example="Yes",F18,""),C18)</f>
        <v/>
      </c>
    </row>
    <row r="19" customFormat="false" ht="21.75" hidden="false" customHeight="true" outlineLevel="0" collapsed="false">
      <c r="B19" s="25" t="s">
        <v>917</v>
      </c>
      <c r="C19" s="34"/>
      <c r="D19" s="27" t="s">
        <v>228</v>
      </c>
      <c r="E19" s="35" t="s">
        <v>918</v>
      </c>
      <c r="F19" s="36" t="n">
        <v>0.04</v>
      </c>
      <c r="G19" s="37" t="str">
        <f aca="false">IF(ISBLANK(C19),IF(Fill_Example="Yes",F19,""),C19)</f>
        <v/>
      </c>
    </row>
    <row r="20" customFormat="false" ht="21.75" hidden="false" customHeight="true" outlineLevel="0" collapsed="false">
      <c r="B20" s="25" t="s">
        <v>919</v>
      </c>
      <c r="C20" s="34"/>
      <c r="D20" s="27" t="s">
        <v>228</v>
      </c>
      <c r="E20" s="35" t="s">
        <v>920</v>
      </c>
      <c r="F20" s="36" t="n">
        <v>0.06</v>
      </c>
      <c r="G20" s="37" t="str">
        <f aca="false">IF(ISBLANK(C20),IF(Fill_Example="Yes",F20,""),C20)</f>
        <v/>
      </c>
    </row>
    <row r="21" customFormat="false" ht="21.75" hidden="false" customHeight="true" outlineLevel="0" collapsed="false">
      <c r="B21" s="25" t="s">
        <v>883</v>
      </c>
      <c r="C21" s="31"/>
      <c r="D21" s="27"/>
      <c r="E21" s="35" t="s">
        <v>884</v>
      </c>
      <c r="F21" s="32" t="s">
        <v>885</v>
      </c>
      <c r="G21" s="33" t="str">
        <f aca="false">IF(ISBLANK(C21),IF(Fill_Example="Yes",F21,""),C21)</f>
        <v/>
      </c>
    </row>
    <row r="23" customFormat="false" ht="15" hidden="false" customHeight="true" outlineLevel="0" collapsed="false">
      <c r="B23" s="13" t="s">
        <v>326</v>
      </c>
      <c r="C23" s="14"/>
      <c r="D23" s="14"/>
      <c r="E23" s="14"/>
      <c r="F23" s="14"/>
      <c r="G23" s="14"/>
    </row>
    <row r="24" customFormat="false" ht="15" hidden="false" customHeight="true" outlineLevel="0" collapsed="false">
      <c r="B24" s="25" t="s">
        <v>877</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890</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23.25" hidden="false" customHeight="true" outlineLevel="0" collapsed="false">
      <c r="B28" s="21" t="s">
        <v>921</v>
      </c>
      <c r="C28" s="62" t="str">
        <f aca="false">IF(Need_1&lt;&gt;"",Need_1,IF(Inflation_Choice="","Choose your inflation rate to see this",SUM(W_b_paid)))</f>
        <v>Choose your inflation rate to see this</v>
      </c>
      <c r="D28" s="63" t="str">
        <f aca="false">IF(Need_1&lt;&gt;"",Need_1,IF(ISNUMBER(Years_Balanced),IF(Years_Balanced&gt;=Cap_Years,Cap_Years&amp;"+ years",Years_Balanced&amp;IF(Years_Balanced=1," year"," years")),"Choose your inflation rate to see this"))</f>
        <v>Choose your inflation rate to see this</v>
      </c>
      <c r="E28" s="42" t="s">
        <v>922</v>
      </c>
    </row>
    <row r="29" customFormat="false" ht="15" hidden="false" customHeight="true" outlineLevel="0" collapsed="false">
      <c r="B29" s="25" t="s">
        <v>923</v>
      </c>
      <c r="C29" s="66" t="str">
        <f aca="false">IF(Need_1&lt;&gt;"",Need_1,IF(Inflation_Choice="","Choose your inflation rate to see this",SUM(W_c_paid)))</f>
        <v>Choose your inflation rate to see this</v>
      </c>
      <c r="D29" s="67" t="str">
        <f aca="false">IF(Need_1&lt;&gt;"",Need_1,IF(ISNUMBER(Years_Cautious),IF(Years_Cautious&gt;=Cap_Years,Cap_Years&amp;"+ years",Years_Cautious&amp;IF(Years_Cautious=1," year"," years")),"Choose your inflation rate to see this"))</f>
        <v>Choose your inflation rate to see this</v>
      </c>
      <c r="E29" s="42" t="s">
        <v>924</v>
      </c>
    </row>
    <row r="30" customFormat="false" ht="15" hidden="false" customHeight="true" outlineLevel="0" collapsed="false">
      <c r="B30" s="25" t="s">
        <v>925</v>
      </c>
      <c r="C30" s="66" t="str">
        <f aca="false">IF(Need_1&lt;&gt;"",Need_1,IF(Inflation_Choice="","Choose your inflation rate to see this",SUM(W_g_paid)))</f>
        <v>Choose your inflation rate to see this</v>
      </c>
      <c r="D30" s="67" t="str">
        <f aca="false">IF(Need_1&lt;&gt;"",Need_1,IF(ISNUMBER(Years_Growth),IF(Years_Growth&gt;=Cap_Years,Cap_Years&amp;"+ years",Years_Growth&amp;IF(Years_Growth=1," year"," years")),"Choose your inflation rate to see this"))</f>
        <v>Choose your inflation rate to see this</v>
      </c>
      <c r="E30" s="42" t="s">
        <v>926</v>
      </c>
    </row>
    <row r="31" customFormat="false" ht="15" hidden="false" customHeight="true" outlineLevel="0" collapsed="false">
      <c r="B31" s="13" t="s">
        <v>927</v>
      </c>
      <c r="C31" s="14"/>
      <c r="D31" s="14"/>
      <c r="E31" s="14"/>
      <c r="F31" s="14"/>
      <c r="G31" s="14"/>
    </row>
    <row r="32" customFormat="false" ht="27.75" hidden="false" customHeight="true" outlineLevel="0" collapsed="false">
      <c r="B32" s="78" t="s">
        <v>898</v>
      </c>
      <c r="C32" s="78" t="s">
        <v>928</v>
      </c>
      <c r="D32" s="78" t="s">
        <v>929</v>
      </c>
      <c r="E32" s="78" t="s">
        <v>930</v>
      </c>
      <c r="F32" s="78" t="s">
        <v>931</v>
      </c>
      <c r="G32" s="78" t="s">
        <v>932</v>
      </c>
      <c r="H32" s="78" t="s">
        <v>933</v>
      </c>
      <c r="I32" s="78" t="s">
        <v>934</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year",IF(D33&gt;=C33,1,0),IF(D33*(1+DD_Cautious)&gt;=C33,1,0)))</f>
        <v/>
      </c>
      <c r="F33" s="80" t="str">
        <f aca="false">IF(Need_1&lt;&gt;"","",Used_Retirement_Savings)</f>
        <v/>
      </c>
      <c r="G33" s="79" t="str">
        <f aca="false">IF(Need_1&lt;&gt;"","",IF(Withdrawal_Timing="Start of year",IF(F33&gt;=C33,1,0),IF(F33*(1+DD_Balanced)&gt;=C33,1,0)))</f>
        <v/>
      </c>
      <c r="H33" s="80" t="str">
        <f aca="false">IF(Need_1&lt;&gt;"","",Used_Retirement_Savings)</f>
        <v/>
      </c>
      <c r="I33" s="79" t="str">
        <f aca="false">IF(Need_1&lt;&gt;"","",IF(Withdrawal_Timing="Start of year",IF(H33&gt;=C33,1,0),IF(H33*(1+DD_Growth)&gt;=C33,1,0)))</f>
        <v/>
      </c>
    </row>
    <row r="34" customFormat="false" ht="15" hidden="false" customHeight="true" outlineLevel="0" collapsed="false">
      <c r="B34" s="79" t="n">
        <v>2</v>
      </c>
      <c r="C34" s="80" t="str">
        <f aca="false">IF(Need_1&lt;&gt;"","",C33*(1+Inflation_Choice))</f>
        <v/>
      </c>
      <c r="D34" s="80" t="str">
        <f aca="false">IF(Need_1&lt;&gt;"","",IF(E33=1,IF(Withdrawal_Timing="Start of year",(D33-C33)*(1+DD_Cautious),D33*(1+DD_Cautious)-C33),0))</f>
        <v/>
      </c>
      <c r="E34" s="79" t="str">
        <f aca="false">IF(Need_1&lt;&gt;"","",IF(Withdrawal_Timing="Start of year",IF(D34&gt;=C34,1,0),IF(D34*(1+DD_Cautious)&gt;=C34,1,0)))</f>
        <v/>
      </c>
      <c r="F34" s="80" t="str">
        <f aca="false">IF(Need_1&lt;&gt;"","",IF(G33=1,IF(Withdrawal_Timing="Start of year",(F33-C33)*(1+DD_Balanced),F33*(1+DD_Balanced)-C33),0))</f>
        <v/>
      </c>
      <c r="G34" s="79" t="str">
        <f aca="false">IF(Need_1&lt;&gt;"","",IF(Withdrawal_Timing="Start of year",IF(F34&gt;=C34,1,0),IF(F34*(1+DD_Balanced)&gt;=C34,1,0)))</f>
        <v/>
      </c>
      <c r="H34" s="80" t="str">
        <f aca="false">IF(Need_1&lt;&gt;"","",IF(I33=1,IF(Withdrawal_Timing="Start of year",(H33-C33)*(1+DD_Growth),H33*(1+DD_Growth)-C33),0))</f>
        <v/>
      </c>
      <c r="I34" s="79" t="str">
        <f aca="false">IF(Need_1&lt;&gt;"","",IF(Withdrawal_Timing="Start of year",IF(H34&gt;=C34,1,0),IF(H34*(1+DD_Growth)&gt;=C34,1,0)))</f>
        <v/>
      </c>
    </row>
    <row r="35" customFormat="false" ht="15" hidden="false" customHeight="true" outlineLevel="0" collapsed="false">
      <c r="B35" s="79" t="n">
        <v>3</v>
      </c>
      <c r="C35" s="80" t="str">
        <f aca="false">IF(Need_1&lt;&gt;"","",C34*(1+Inflation_Choice))</f>
        <v/>
      </c>
      <c r="D35" s="80" t="str">
        <f aca="false">IF(Need_1&lt;&gt;"","",IF(E34=1,IF(Withdrawal_Timing="Start of year",(D34-C34)*(1+DD_Cautious),D34*(1+DD_Cautious)-C34),0))</f>
        <v/>
      </c>
      <c r="E35" s="79" t="str">
        <f aca="false">IF(Need_1&lt;&gt;"","",IF(Withdrawal_Timing="Start of year",IF(D35&gt;=C35,1,0),IF(D35*(1+DD_Cautious)&gt;=C35,1,0)))</f>
        <v/>
      </c>
      <c r="F35" s="80" t="str">
        <f aca="false">IF(Need_1&lt;&gt;"","",IF(G34=1,IF(Withdrawal_Timing="Start of year",(F34-C34)*(1+DD_Balanced),F34*(1+DD_Balanced)-C34),0))</f>
        <v/>
      </c>
      <c r="G35" s="79" t="str">
        <f aca="false">IF(Need_1&lt;&gt;"","",IF(Withdrawal_Timing="Start of year",IF(F35&gt;=C35,1,0),IF(F35*(1+DD_Balanced)&gt;=C35,1,0)))</f>
        <v/>
      </c>
      <c r="H35" s="80" t="str">
        <f aca="false">IF(Need_1&lt;&gt;"","",IF(I34=1,IF(Withdrawal_Timing="Start of year",(H34-C34)*(1+DD_Growth),H34*(1+DD_Growth)-C34),0))</f>
        <v/>
      </c>
      <c r="I35" s="79" t="str">
        <f aca="false">IF(Need_1&lt;&gt;"","",IF(Withdrawal_Timing="Start of year",IF(H35&gt;=C35,1,0),IF(H35*(1+DD_Growth)&gt;=C35,1,0)))</f>
        <v/>
      </c>
    </row>
    <row r="36" customFormat="false" ht="15" hidden="false" customHeight="true" outlineLevel="0" collapsed="false">
      <c r="B36" s="79" t="n">
        <v>4</v>
      </c>
      <c r="C36" s="80" t="str">
        <f aca="false">IF(Need_1&lt;&gt;"","",C35*(1+Inflation_Choice))</f>
        <v/>
      </c>
      <c r="D36" s="80" t="str">
        <f aca="false">IF(Need_1&lt;&gt;"","",IF(E35=1,IF(Withdrawal_Timing="Start of year",(D35-C35)*(1+DD_Cautious),D35*(1+DD_Cautious)-C35),0))</f>
        <v/>
      </c>
      <c r="E36" s="79" t="str">
        <f aca="false">IF(Need_1&lt;&gt;"","",IF(Withdrawal_Timing="Start of year",IF(D36&gt;=C36,1,0),IF(D36*(1+DD_Cautious)&gt;=C36,1,0)))</f>
        <v/>
      </c>
      <c r="F36" s="80" t="str">
        <f aca="false">IF(Need_1&lt;&gt;"","",IF(G35=1,IF(Withdrawal_Timing="Start of year",(F35-C35)*(1+DD_Balanced),F35*(1+DD_Balanced)-C35),0))</f>
        <v/>
      </c>
      <c r="G36" s="79" t="str">
        <f aca="false">IF(Need_1&lt;&gt;"","",IF(Withdrawal_Timing="Start of year",IF(F36&gt;=C36,1,0),IF(F36*(1+DD_Balanced)&gt;=C36,1,0)))</f>
        <v/>
      </c>
      <c r="H36" s="80" t="str">
        <f aca="false">IF(Need_1&lt;&gt;"","",IF(I35=1,IF(Withdrawal_Timing="Start of year",(H35-C35)*(1+DD_Growth),H35*(1+DD_Growth)-C35),0))</f>
        <v/>
      </c>
      <c r="I36" s="79" t="str">
        <f aca="false">IF(Need_1&lt;&gt;"","",IF(Withdrawal_Timing="Start of year",IF(H36&gt;=C36,1,0),IF(H36*(1+DD_Growth)&gt;=C36,1,0)))</f>
        <v/>
      </c>
    </row>
    <row r="37" customFormat="false" ht="15" hidden="false" customHeight="true" outlineLevel="0" collapsed="false">
      <c r="B37" s="79" t="n">
        <v>5</v>
      </c>
      <c r="C37" s="80" t="str">
        <f aca="false">IF(Need_1&lt;&gt;"","",C36*(1+Inflation_Choice))</f>
        <v/>
      </c>
      <c r="D37" s="80" t="str">
        <f aca="false">IF(Need_1&lt;&gt;"","",IF(E36=1,IF(Withdrawal_Timing="Start of year",(D36-C36)*(1+DD_Cautious),D36*(1+DD_Cautious)-C36),0))</f>
        <v/>
      </c>
      <c r="E37" s="79" t="str">
        <f aca="false">IF(Need_1&lt;&gt;"","",IF(Withdrawal_Timing="Start of year",IF(D37&gt;=C37,1,0),IF(D37*(1+DD_Cautious)&gt;=C37,1,0)))</f>
        <v/>
      </c>
      <c r="F37" s="80" t="str">
        <f aca="false">IF(Need_1&lt;&gt;"","",IF(G36=1,IF(Withdrawal_Timing="Start of year",(F36-C36)*(1+DD_Balanced),F36*(1+DD_Balanced)-C36),0))</f>
        <v/>
      </c>
      <c r="G37" s="79" t="str">
        <f aca="false">IF(Need_1&lt;&gt;"","",IF(Withdrawal_Timing="Start of year",IF(F37&gt;=C37,1,0),IF(F37*(1+DD_Balanced)&gt;=C37,1,0)))</f>
        <v/>
      </c>
      <c r="H37" s="80" t="str">
        <f aca="false">IF(Need_1&lt;&gt;"","",IF(I36=1,IF(Withdrawal_Timing="Start of year",(H36-C36)*(1+DD_Growth),H36*(1+DD_Growth)-C36),0))</f>
        <v/>
      </c>
      <c r="I37" s="79" t="str">
        <f aca="false">IF(Need_1&lt;&gt;"","",IF(Withdrawal_Timing="Start of year",IF(H37&gt;=C37,1,0),IF(H37*(1+DD_Growth)&gt;=C37,1,0)))</f>
        <v/>
      </c>
    </row>
    <row r="38" customFormat="false" ht="15" hidden="false" customHeight="true" outlineLevel="0" collapsed="false">
      <c r="B38" s="79" t="n">
        <v>6</v>
      </c>
      <c r="C38" s="80" t="str">
        <f aca="false">IF(Need_1&lt;&gt;"","",C37*(1+Inflation_Choice))</f>
        <v/>
      </c>
      <c r="D38" s="80" t="str">
        <f aca="false">IF(Need_1&lt;&gt;"","",IF(E37=1,IF(Withdrawal_Timing="Start of year",(D37-C37)*(1+DD_Cautious),D37*(1+DD_Cautious)-C37),0))</f>
        <v/>
      </c>
      <c r="E38" s="79" t="str">
        <f aca="false">IF(Need_1&lt;&gt;"","",IF(Withdrawal_Timing="Start of year",IF(D38&gt;=C38,1,0),IF(D38*(1+DD_Cautious)&gt;=C38,1,0)))</f>
        <v/>
      </c>
      <c r="F38" s="80" t="str">
        <f aca="false">IF(Need_1&lt;&gt;"","",IF(G37=1,IF(Withdrawal_Timing="Start of year",(F37-C37)*(1+DD_Balanced),F37*(1+DD_Balanced)-C37),0))</f>
        <v/>
      </c>
      <c r="G38" s="79" t="str">
        <f aca="false">IF(Need_1&lt;&gt;"","",IF(Withdrawal_Timing="Start of year",IF(F38&gt;=C38,1,0),IF(F38*(1+DD_Balanced)&gt;=C38,1,0)))</f>
        <v/>
      </c>
      <c r="H38" s="80" t="str">
        <f aca="false">IF(Need_1&lt;&gt;"","",IF(I37=1,IF(Withdrawal_Timing="Start of year",(H37-C37)*(1+DD_Growth),H37*(1+DD_Growth)-C37),0))</f>
        <v/>
      </c>
      <c r="I38" s="79" t="str">
        <f aca="false">IF(Need_1&lt;&gt;"","",IF(Withdrawal_Timing="Start of year",IF(H38&gt;=C38,1,0),IF(H38*(1+DD_Growth)&gt;=C38,1,0)))</f>
        <v/>
      </c>
    </row>
    <row r="39" customFormat="false" ht="15" hidden="false" customHeight="true" outlineLevel="0" collapsed="false">
      <c r="B39" s="79" t="n">
        <v>7</v>
      </c>
      <c r="C39" s="80" t="str">
        <f aca="false">IF(Need_1&lt;&gt;"","",C38*(1+Inflation_Choice))</f>
        <v/>
      </c>
      <c r="D39" s="80" t="str">
        <f aca="false">IF(Need_1&lt;&gt;"","",IF(E38=1,IF(Withdrawal_Timing="Start of year",(D38-C38)*(1+DD_Cautious),D38*(1+DD_Cautious)-C38),0))</f>
        <v/>
      </c>
      <c r="E39" s="79" t="str">
        <f aca="false">IF(Need_1&lt;&gt;"","",IF(Withdrawal_Timing="Start of year",IF(D39&gt;=C39,1,0),IF(D39*(1+DD_Cautious)&gt;=C39,1,0)))</f>
        <v/>
      </c>
      <c r="F39" s="80" t="str">
        <f aca="false">IF(Need_1&lt;&gt;"","",IF(G38=1,IF(Withdrawal_Timing="Start of year",(F38-C38)*(1+DD_Balanced),F38*(1+DD_Balanced)-C38),0))</f>
        <v/>
      </c>
      <c r="G39" s="79" t="str">
        <f aca="false">IF(Need_1&lt;&gt;"","",IF(Withdrawal_Timing="Start of year",IF(F39&gt;=C39,1,0),IF(F39*(1+DD_Balanced)&gt;=C39,1,0)))</f>
        <v/>
      </c>
      <c r="H39" s="80" t="str">
        <f aca="false">IF(Need_1&lt;&gt;"","",IF(I38=1,IF(Withdrawal_Timing="Start of year",(H38-C38)*(1+DD_Growth),H38*(1+DD_Growth)-C38),0))</f>
        <v/>
      </c>
      <c r="I39" s="79" t="str">
        <f aca="false">IF(Need_1&lt;&gt;"","",IF(Withdrawal_Timing="Start of year",IF(H39&gt;=C39,1,0),IF(H39*(1+DD_Growth)&gt;=C39,1,0)))</f>
        <v/>
      </c>
    </row>
    <row r="40" customFormat="false" ht="15" hidden="false" customHeight="true" outlineLevel="0" collapsed="false">
      <c r="B40" s="79" t="n">
        <v>8</v>
      </c>
      <c r="C40" s="80" t="str">
        <f aca="false">IF(Need_1&lt;&gt;"","",C39*(1+Inflation_Choice))</f>
        <v/>
      </c>
      <c r="D40" s="80" t="str">
        <f aca="false">IF(Need_1&lt;&gt;"","",IF(E39=1,IF(Withdrawal_Timing="Start of year",(D39-C39)*(1+DD_Cautious),D39*(1+DD_Cautious)-C39),0))</f>
        <v/>
      </c>
      <c r="E40" s="79" t="str">
        <f aca="false">IF(Need_1&lt;&gt;"","",IF(Withdrawal_Timing="Start of year",IF(D40&gt;=C40,1,0),IF(D40*(1+DD_Cautious)&gt;=C40,1,0)))</f>
        <v/>
      </c>
      <c r="F40" s="80" t="str">
        <f aca="false">IF(Need_1&lt;&gt;"","",IF(G39=1,IF(Withdrawal_Timing="Start of year",(F39-C39)*(1+DD_Balanced),F39*(1+DD_Balanced)-C39),0))</f>
        <v/>
      </c>
      <c r="G40" s="79" t="str">
        <f aca="false">IF(Need_1&lt;&gt;"","",IF(Withdrawal_Timing="Start of year",IF(F40&gt;=C40,1,0),IF(F40*(1+DD_Balanced)&gt;=C40,1,0)))</f>
        <v/>
      </c>
      <c r="H40" s="80" t="str">
        <f aca="false">IF(Need_1&lt;&gt;"","",IF(I39=1,IF(Withdrawal_Timing="Start of year",(H39-C39)*(1+DD_Growth),H39*(1+DD_Growth)-C39),0))</f>
        <v/>
      </c>
      <c r="I40" s="79" t="str">
        <f aca="false">IF(Need_1&lt;&gt;"","",IF(Withdrawal_Timing="Start of year",IF(H40&gt;=C40,1,0),IF(H40*(1+DD_Growth)&gt;=C40,1,0)))</f>
        <v/>
      </c>
    </row>
    <row r="41" customFormat="false" ht="15" hidden="false" customHeight="true" outlineLevel="0" collapsed="false">
      <c r="B41" s="79" t="n">
        <v>9</v>
      </c>
      <c r="C41" s="80" t="str">
        <f aca="false">IF(Need_1&lt;&gt;"","",C40*(1+Inflation_Choice))</f>
        <v/>
      </c>
      <c r="D41" s="80" t="str">
        <f aca="false">IF(Need_1&lt;&gt;"","",IF(E40=1,IF(Withdrawal_Timing="Start of year",(D40-C40)*(1+DD_Cautious),D40*(1+DD_Cautious)-C40),0))</f>
        <v/>
      </c>
      <c r="E41" s="79" t="str">
        <f aca="false">IF(Need_1&lt;&gt;"","",IF(Withdrawal_Timing="Start of year",IF(D41&gt;=C41,1,0),IF(D41*(1+DD_Cautious)&gt;=C41,1,0)))</f>
        <v/>
      </c>
      <c r="F41" s="80" t="str">
        <f aca="false">IF(Need_1&lt;&gt;"","",IF(G40=1,IF(Withdrawal_Timing="Start of year",(F40-C40)*(1+DD_Balanced),F40*(1+DD_Balanced)-C40),0))</f>
        <v/>
      </c>
      <c r="G41" s="79" t="str">
        <f aca="false">IF(Need_1&lt;&gt;"","",IF(Withdrawal_Timing="Start of year",IF(F41&gt;=C41,1,0),IF(F41*(1+DD_Balanced)&gt;=C41,1,0)))</f>
        <v/>
      </c>
      <c r="H41" s="80" t="str">
        <f aca="false">IF(Need_1&lt;&gt;"","",IF(I40=1,IF(Withdrawal_Timing="Start of year",(H40-C40)*(1+DD_Growth),H40*(1+DD_Growth)-C40),0))</f>
        <v/>
      </c>
      <c r="I41" s="79" t="str">
        <f aca="false">IF(Need_1&lt;&gt;"","",IF(Withdrawal_Timing="Start of year",IF(H41&gt;=C41,1,0),IF(H41*(1+DD_Growth)&gt;=C41,1,0)))</f>
        <v/>
      </c>
    </row>
    <row r="42" customFormat="false" ht="15" hidden="false" customHeight="true" outlineLevel="0" collapsed="false">
      <c r="B42" s="79" t="n">
        <v>10</v>
      </c>
      <c r="C42" s="80" t="str">
        <f aca="false">IF(Need_1&lt;&gt;"","",C41*(1+Inflation_Choice))</f>
        <v/>
      </c>
      <c r="D42" s="80" t="str">
        <f aca="false">IF(Need_1&lt;&gt;"","",IF(E41=1,IF(Withdrawal_Timing="Start of year",(D41-C41)*(1+DD_Cautious),D41*(1+DD_Cautious)-C41),0))</f>
        <v/>
      </c>
      <c r="E42" s="79" t="str">
        <f aca="false">IF(Need_1&lt;&gt;"","",IF(Withdrawal_Timing="Start of year",IF(D42&gt;=C42,1,0),IF(D42*(1+DD_Cautious)&gt;=C42,1,0)))</f>
        <v/>
      </c>
      <c r="F42" s="80" t="str">
        <f aca="false">IF(Need_1&lt;&gt;"","",IF(G41=1,IF(Withdrawal_Timing="Start of year",(F41-C41)*(1+DD_Balanced),F41*(1+DD_Balanced)-C41),0))</f>
        <v/>
      </c>
      <c r="G42" s="79" t="str">
        <f aca="false">IF(Need_1&lt;&gt;"","",IF(Withdrawal_Timing="Start of year",IF(F42&gt;=C42,1,0),IF(F42*(1+DD_Balanced)&gt;=C42,1,0)))</f>
        <v/>
      </c>
      <c r="H42" s="80" t="str">
        <f aca="false">IF(Need_1&lt;&gt;"","",IF(I41=1,IF(Withdrawal_Timing="Start of year",(H41-C41)*(1+DD_Growth),H41*(1+DD_Growth)-C41),0))</f>
        <v/>
      </c>
      <c r="I42" s="79" t="str">
        <f aca="false">IF(Need_1&lt;&gt;"","",IF(Withdrawal_Timing="Start of year",IF(H42&gt;=C42,1,0),IF(H42*(1+DD_Growth)&gt;=C42,1,0)))</f>
        <v/>
      </c>
    </row>
    <row r="43" customFormat="false" ht="15" hidden="false" customHeight="true" outlineLevel="0" collapsed="false">
      <c r="B43" s="79" t="n">
        <v>11</v>
      </c>
      <c r="C43" s="80" t="str">
        <f aca="false">IF(Need_1&lt;&gt;"","",C42*(1+Inflation_Choice))</f>
        <v/>
      </c>
      <c r="D43" s="80" t="str">
        <f aca="false">IF(Need_1&lt;&gt;"","",IF(E42=1,IF(Withdrawal_Timing="Start of year",(D42-C42)*(1+DD_Cautious),D42*(1+DD_Cautious)-C42),0))</f>
        <v/>
      </c>
      <c r="E43" s="79" t="str">
        <f aca="false">IF(Need_1&lt;&gt;"","",IF(Withdrawal_Timing="Start of year",IF(D43&gt;=C43,1,0),IF(D43*(1+DD_Cautious)&gt;=C43,1,0)))</f>
        <v/>
      </c>
      <c r="F43" s="80" t="str">
        <f aca="false">IF(Need_1&lt;&gt;"","",IF(G42=1,IF(Withdrawal_Timing="Start of year",(F42-C42)*(1+DD_Balanced),F42*(1+DD_Balanced)-C42),0))</f>
        <v/>
      </c>
      <c r="G43" s="79" t="str">
        <f aca="false">IF(Need_1&lt;&gt;"","",IF(Withdrawal_Timing="Start of year",IF(F43&gt;=C43,1,0),IF(F43*(1+DD_Balanced)&gt;=C43,1,0)))</f>
        <v/>
      </c>
      <c r="H43" s="80" t="str">
        <f aca="false">IF(Need_1&lt;&gt;"","",IF(I42=1,IF(Withdrawal_Timing="Start of year",(H42-C42)*(1+DD_Growth),H42*(1+DD_Growth)-C42),0))</f>
        <v/>
      </c>
      <c r="I43" s="79" t="str">
        <f aca="false">IF(Need_1&lt;&gt;"","",IF(Withdrawal_Timing="Start of year",IF(H43&gt;=C43,1,0),IF(H43*(1+DD_Growth)&gt;=C43,1,0)))</f>
        <v/>
      </c>
    </row>
    <row r="44" customFormat="false" ht="15" hidden="false" customHeight="true" outlineLevel="0" collapsed="false">
      <c r="B44" s="79" t="n">
        <v>12</v>
      </c>
      <c r="C44" s="80" t="str">
        <f aca="false">IF(Need_1&lt;&gt;"","",C43*(1+Inflation_Choice))</f>
        <v/>
      </c>
      <c r="D44" s="80" t="str">
        <f aca="false">IF(Need_1&lt;&gt;"","",IF(E43=1,IF(Withdrawal_Timing="Start of year",(D43-C43)*(1+DD_Cautious),D43*(1+DD_Cautious)-C43),0))</f>
        <v/>
      </c>
      <c r="E44" s="79" t="str">
        <f aca="false">IF(Need_1&lt;&gt;"","",IF(Withdrawal_Timing="Start of year",IF(D44&gt;=C44,1,0),IF(D44*(1+DD_Cautious)&gt;=C44,1,0)))</f>
        <v/>
      </c>
      <c r="F44" s="80" t="str">
        <f aca="false">IF(Need_1&lt;&gt;"","",IF(G43=1,IF(Withdrawal_Timing="Start of year",(F43-C43)*(1+DD_Balanced),F43*(1+DD_Balanced)-C43),0))</f>
        <v/>
      </c>
      <c r="G44" s="79" t="str">
        <f aca="false">IF(Need_1&lt;&gt;"","",IF(Withdrawal_Timing="Start of year",IF(F44&gt;=C44,1,0),IF(F44*(1+DD_Balanced)&gt;=C44,1,0)))</f>
        <v/>
      </c>
      <c r="H44" s="80" t="str">
        <f aca="false">IF(Need_1&lt;&gt;"","",IF(I43=1,IF(Withdrawal_Timing="Start of year",(H43-C43)*(1+DD_Growth),H43*(1+DD_Growth)-C43),0))</f>
        <v/>
      </c>
      <c r="I44" s="79" t="str">
        <f aca="false">IF(Need_1&lt;&gt;"","",IF(Withdrawal_Timing="Start of year",IF(H44&gt;=C44,1,0),IF(H44*(1+DD_Growth)&gt;=C44,1,0)))</f>
        <v/>
      </c>
    </row>
    <row r="45" customFormat="false" ht="15" hidden="false" customHeight="true" outlineLevel="0" collapsed="false">
      <c r="B45" s="79" t="n">
        <v>13</v>
      </c>
      <c r="C45" s="80" t="str">
        <f aca="false">IF(Need_1&lt;&gt;"","",C44*(1+Inflation_Choice))</f>
        <v/>
      </c>
      <c r="D45" s="80" t="str">
        <f aca="false">IF(Need_1&lt;&gt;"","",IF(E44=1,IF(Withdrawal_Timing="Start of year",(D44-C44)*(1+DD_Cautious),D44*(1+DD_Cautious)-C44),0))</f>
        <v/>
      </c>
      <c r="E45" s="79" t="str">
        <f aca="false">IF(Need_1&lt;&gt;"","",IF(Withdrawal_Timing="Start of year",IF(D45&gt;=C45,1,0),IF(D45*(1+DD_Cautious)&gt;=C45,1,0)))</f>
        <v/>
      </c>
      <c r="F45" s="80" t="str">
        <f aca="false">IF(Need_1&lt;&gt;"","",IF(G44=1,IF(Withdrawal_Timing="Start of year",(F44-C44)*(1+DD_Balanced),F44*(1+DD_Balanced)-C44),0))</f>
        <v/>
      </c>
      <c r="G45" s="79" t="str">
        <f aca="false">IF(Need_1&lt;&gt;"","",IF(Withdrawal_Timing="Start of year",IF(F45&gt;=C45,1,0),IF(F45*(1+DD_Balanced)&gt;=C45,1,0)))</f>
        <v/>
      </c>
      <c r="H45" s="80" t="str">
        <f aca="false">IF(Need_1&lt;&gt;"","",IF(I44=1,IF(Withdrawal_Timing="Start of year",(H44-C44)*(1+DD_Growth),H44*(1+DD_Growth)-C44),0))</f>
        <v/>
      </c>
      <c r="I45" s="79" t="str">
        <f aca="false">IF(Need_1&lt;&gt;"","",IF(Withdrawal_Timing="Start of year",IF(H45&gt;=C45,1,0),IF(H45*(1+DD_Growth)&gt;=C45,1,0)))</f>
        <v/>
      </c>
    </row>
    <row r="46" customFormat="false" ht="15" hidden="false" customHeight="true" outlineLevel="0" collapsed="false">
      <c r="B46" s="79" t="n">
        <v>14</v>
      </c>
      <c r="C46" s="80" t="str">
        <f aca="false">IF(Need_1&lt;&gt;"","",C45*(1+Inflation_Choice))</f>
        <v/>
      </c>
      <c r="D46" s="80" t="str">
        <f aca="false">IF(Need_1&lt;&gt;"","",IF(E45=1,IF(Withdrawal_Timing="Start of year",(D45-C45)*(1+DD_Cautious),D45*(1+DD_Cautious)-C45),0))</f>
        <v/>
      </c>
      <c r="E46" s="79" t="str">
        <f aca="false">IF(Need_1&lt;&gt;"","",IF(Withdrawal_Timing="Start of year",IF(D46&gt;=C46,1,0),IF(D46*(1+DD_Cautious)&gt;=C46,1,0)))</f>
        <v/>
      </c>
      <c r="F46" s="80" t="str">
        <f aca="false">IF(Need_1&lt;&gt;"","",IF(G45=1,IF(Withdrawal_Timing="Start of year",(F45-C45)*(1+DD_Balanced),F45*(1+DD_Balanced)-C45),0))</f>
        <v/>
      </c>
      <c r="G46" s="79" t="str">
        <f aca="false">IF(Need_1&lt;&gt;"","",IF(Withdrawal_Timing="Start of year",IF(F46&gt;=C46,1,0),IF(F46*(1+DD_Balanced)&gt;=C46,1,0)))</f>
        <v/>
      </c>
      <c r="H46" s="80" t="str">
        <f aca="false">IF(Need_1&lt;&gt;"","",IF(I45=1,IF(Withdrawal_Timing="Start of year",(H45-C45)*(1+DD_Growth),H45*(1+DD_Growth)-C45),0))</f>
        <v/>
      </c>
      <c r="I46" s="79" t="str">
        <f aca="false">IF(Need_1&lt;&gt;"","",IF(Withdrawal_Timing="Start of year",IF(H46&gt;=C46,1,0),IF(H46*(1+DD_Growth)&gt;=C46,1,0)))</f>
        <v/>
      </c>
    </row>
    <row r="47" customFormat="false" ht="15" hidden="false" customHeight="true" outlineLevel="0" collapsed="false">
      <c r="B47" s="79" t="n">
        <v>15</v>
      </c>
      <c r="C47" s="80" t="str">
        <f aca="false">IF(Need_1&lt;&gt;"","",C46*(1+Inflation_Choice))</f>
        <v/>
      </c>
      <c r="D47" s="80" t="str">
        <f aca="false">IF(Need_1&lt;&gt;"","",IF(E46=1,IF(Withdrawal_Timing="Start of year",(D46-C46)*(1+DD_Cautious),D46*(1+DD_Cautious)-C46),0))</f>
        <v/>
      </c>
      <c r="E47" s="79" t="str">
        <f aca="false">IF(Need_1&lt;&gt;"","",IF(Withdrawal_Timing="Start of year",IF(D47&gt;=C47,1,0),IF(D47*(1+DD_Cautious)&gt;=C47,1,0)))</f>
        <v/>
      </c>
      <c r="F47" s="80" t="str">
        <f aca="false">IF(Need_1&lt;&gt;"","",IF(G46=1,IF(Withdrawal_Timing="Start of year",(F46-C46)*(1+DD_Balanced),F46*(1+DD_Balanced)-C46),0))</f>
        <v/>
      </c>
      <c r="G47" s="79" t="str">
        <f aca="false">IF(Need_1&lt;&gt;"","",IF(Withdrawal_Timing="Start of year",IF(F47&gt;=C47,1,0),IF(F47*(1+DD_Balanced)&gt;=C47,1,0)))</f>
        <v/>
      </c>
      <c r="H47" s="80" t="str">
        <f aca="false">IF(Need_1&lt;&gt;"","",IF(I46=1,IF(Withdrawal_Timing="Start of year",(H46-C46)*(1+DD_Growth),H46*(1+DD_Growth)-C46),0))</f>
        <v/>
      </c>
      <c r="I47" s="79" t="str">
        <f aca="false">IF(Need_1&lt;&gt;"","",IF(Withdrawal_Timing="Start of year",IF(H47&gt;=C47,1,0),IF(H47*(1+DD_Growth)&gt;=C47,1,0)))</f>
        <v/>
      </c>
    </row>
    <row r="48" customFormat="false" ht="15" hidden="false" customHeight="true" outlineLevel="0" collapsed="false">
      <c r="B48" s="79" t="n">
        <v>16</v>
      </c>
      <c r="C48" s="80" t="str">
        <f aca="false">IF(Need_1&lt;&gt;"","",C47*(1+Inflation_Choice))</f>
        <v/>
      </c>
      <c r="D48" s="80" t="str">
        <f aca="false">IF(Need_1&lt;&gt;"","",IF(E47=1,IF(Withdrawal_Timing="Start of year",(D47-C47)*(1+DD_Cautious),D47*(1+DD_Cautious)-C47),0))</f>
        <v/>
      </c>
      <c r="E48" s="79" t="str">
        <f aca="false">IF(Need_1&lt;&gt;"","",IF(Withdrawal_Timing="Start of year",IF(D48&gt;=C48,1,0),IF(D48*(1+DD_Cautious)&gt;=C48,1,0)))</f>
        <v/>
      </c>
      <c r="F48" s="80" t="str">
        <f aca="false">IF(Need_1&lt;&gt;"","",IF(G47=1,IF(Withdrawal_Timing="Start of year",(F47-C47)*(1+DD_Balanced),F47*(1+DD_Balanced)-C47),0))</f>
        <v/>
      </c>
      <c r="G48" s="79" t="str">
        <f aca="false">IF(Need_1&lt;&gt;"","",IF(Withdrawal_Timing="Start of year",IF(F48&gt;=C48,1,0),IF(F48*(1+DD_Balanced)&gt;=C48,1,0)))</f>
        <v/>
      </c>
      <c r="H48" s="80" t="str">
        <f aca="false">IF(Need_1&lt;&gt;"","",IF(I47=1,IF(Withdrawal_Timing="Start of year",(H47-C47)*(1+DD_Growth),H47*(1+DD_Growth)-C47),0))</f>
        <v/>
      </c>
      <c r="I48" s="79" t="str">
        <f aca="false">IF(Need_1&lt;&gt;"","",IF(Withdrawal_Timing="Start of year",IF(H48&gt;=C48,1,0),IF(H48*(1+DD_Growth)&gt;=C48,1,0)))</f>
        <v/>
      </c>
    </row>
    <row r="49" customFormat="false" ht="15" hidden="false" customHeight="true" outlineLevel="0" collapsed="false">
      <c r="B49" s="79" t="n">
        <v>17</v>
      </c>
      <c r="C49" s="80" t="str">
        <f aca="false">IF(Need_1&lt;&gt;"","",C48*(1+Inflation_Choice))</f>
        <v/>
      </c>
      <c r="D49" s="80" t="str">
        <f aca="false">IF(Need_1&lt;&gt;"","",IF(E48=1,IF(Withdrawal_Timing="Start of year",(D48-C48)*(1+DD_Cautious),D48*(1+DD_Cautious)-C48),0))</f>
        <v/>
      </c>
      <c r="E49" s="79" t="str">
        <f aca="false">IF(Need_1&lt;&gt;"","",IF(Withdrawal_Timing="Start of year",IF(D49&gt;=C49,1,0),IF(D49*(1+DD_Cautious)&gt;=C49,1,0)))</f>
        <v/>
      </c>
      <c r="F49" s="80" t="str">
        <f aca="false">IF(Need_1&lt;&gt;"","",IF(G48=1,IF(Withdrawal_Timing="Start of year",(F48-C48)*(1+DD_Balanced),F48*(1+DD_Balanced)-C48),0))</f>
        <v/>
      </c>
      <c r="G49" s="79" t="str">
        <f aca="false">IF(Need_1&lt;&gt;"","",IF(Withdrawal_Timing="Start of year",IF(F49&gt;=C49,1,0),IF(F49*(1+DD_Balanced)&gt;=C49,1,0)))</f>
        <v/>
      </c>
      <c r="H49" s="80" t="str">
        <f aca="false">IF(Need_1&lt;&gt;"","",IF(I48=1,IF(Withdrawal_Timing="Start of year",(H48-C48)*(1+DD_Growth),H48*(1+DD_Growth)-C48),0))</f>
        <v/>
      </c>
      <c r="I49" s="79" t="str">
        <f aca="false">IF(Need_1&lt;&gt;"","",IF(Withdrawal_Timing="Start of year",IF(H49&gt;=C49,1,0),IF(H49*(1+DD_Growth)&gt;=C49,1,0)))</f>
        <v/>
      </c>
    </row>
    <row r="50" customFormat="false" ht="15" hidden="false" customHeight="true" outlineLevel="0" collapsed="false">
      <c r="B50" s="79" t="n">
        <v>18</v>
      </c>
      <c r="C50" s="80" t="str">
        <f aca="false">IF(Need_1&lt;&gt;"","",C49*(1+Inflation_Choice))</f>
        <v/>
      </c>
      <c r="D50" s="80" t="str">
        <f aca="false">IF(Need_1&lt;&gt;"","",IF(E49=1,IF(Withdrawal_Timing="Start of year",(D49-C49)*(1+DD_Cautious),D49*(1+DD_Cautious)-C49),0))</f>
        <v/>
      </c>
      <c r="E50" s="79" t="str">
        <f aca="false">IF(Need_1&lt;&gt;"","",IF(Withdrawal_Timing="Start of year",IF(D50&gt;=C50,1,0),IF(D50*(1+DD_Cautious)&gt;=C50,1,0)))</f>
        <v/>
      </c>
      <c r="F50" s="80" t="str">
        <f aca="false">IF(Need_1&lt;&gt;"","",IF(G49=1,IF(Withdrawal_Timing="Start of year",(F49-C49)*(1+DD_Balanced),F49*(1+DD_Balanced)-C49),0))</f>
        <v/>
      </c>
      <c r="G50" s="79" t="str">
        <f aca="false">IF(Need_1&lt;&gt;"","",IF(Withdrawal_Timing="Start of year",IF(F50&gt;=C50,1,0),IF(F50*(1+DD_Balanced)&gt;=C50,1,0)))</f>
        <v/>
      </c>
      <c r="H50" s="80" t="str">
        <f aca="false">IF(Need_1&lt;&gt;"","",IF(I49=1,IF(Withdrawal_Timing="Start of year",(H49-C49)*(1+DD_Growth),H49*(1+DD_Growth)-C49),0))</f>
        <v/>
      </c>
      <c r="I50" s="79" t="str">
        <f aca="false">IF(Need_1&lt;&gt;"","",IF(Withdrawal_Timing="Start of year",IF(H50&gt;=C50,1,0),IF(H50*(1+DD_Growth)&gt;=C50,1,0)))</f>
        <v/>
      </c>
    </row>
    <row r="51" customFormat="false" ht="15" hidden="false" customHeight="true" outlineLevel="0" collapsed="false">
      <c r="B51" s="79" t="n">
        <v>19</v>
      </c>
      <c r="C51" s="80" t="str">
        <f aca="false">IF(Need_1&lt;&gt;"","",C50*(1+Inflation_Choice))</f>
        <v/>
      </c>
      <c r="D51" s="80" t="str">
        <f aca="false">IF(Need_1&lt;&gt;"","",IF(E50=1,IF(Withdrawal_Timing="Start of year",(D50-C50)*(1+DD_Cautious),D50*(1+DD_Cautious)-C50),0))</f>
        <v/>
      </c>
      <c r="E51" s="79" t="str">
        <f aca="false">IF(Need_1&lt;&gt;"","",IF(Withdrawal_Timing="Start of year",IF(D51&gt;=C51,1,0),IF(D51*(1+DD_Cautious)&gt;=C51,1,0)))</f>
        <v/>
      </c>
      <c r="F51" s="80" t="str">
        <f aca="false">IF(Need_1&lt;&gt;"","",IF(G50=1,IF(Withdrawal_Timing="Start of year",(F50-C50)*(1+DD_Balanced),F50*(1+DD_Balanced)-C50),0))</f>
        <v/>
      </c>
      <c r="G51" s="79" t="str">
        <f aca="false">IF(Need_1&lt;&gt;"","",IF(Withdrawal_Timing="Start of year",IF(F51&gt;=C51,1,0),IF(F51*(1+DD_Balanced)&gt;=C51,1,0)))</f>
        <v/>
      </c>
      <c r="H51" s="80" t="str">
        <f aca="false">IF(Need_1&lt;&gt;"","",IF(I50=1,IF(Withdrawal_Timing="Start of year",(H50-C50)*(1+DD_Growth),H50*(1+DD_Growth)-C50),0))</f>
        <v/>
      </c>
      <c r="I51" s="79" t="str">
        <f aca="false">IF(Need_1&lt;&gt;"","",IF(Withdrawal_Timing="Start of year",IF(H51&gt;=C51,1,0),IF(H51*(1+DD_Growth)&gt;=C51,1,0)))</f>
        <v/>
      </c>
    </row>
    <row r="52" customFormat="false" ht="15" hidden="false" customHeight="true" outlineLevel="0" collapsed="false">
      <c r="B52" s="79" t="n">
        <v>20</v>
      </c>
      <c r="C52" s="80" t="str">
        <f aca="false">IF(Need_1&lt;&gt;"","",C51*(1+Inflation_Choice))</f>
        <v/>
      </c>
      <c r="D52" s="80" t="str">
        <f aca="false">IF(Need_1&lt;&gt;"","",IF(E51=1,IF(Withdrawal_Timing="Start of year",(D51-C51)*(1+DD_Cautious),D51*(1+DD_Cautious)-C51),0))</f>
        <v/>
      </c>
      <c r="E52" s="79" t="str">
        <f aca="false">IF(Need_1&lt;&gt;"","",IF(Withdrawal_Timing="Start of year",IF(D52&gt;=C52,1,0),IF(D52*(1+DD_Cautious)&gt;=C52,1,0)))</f>
        <v/>
      </c>
      <c r="F52" s="80" t="str">
        <f aca="false">IF(Need_1&lt;&gt;"","",IF(G51=1,IF(Withdrawal_Timing="Start of year",(F51-C51)*(1+DD_Balanced),F51*(1+DD_Balanced)-C51),0))</f>
        <v/>
      </c>
      <c r="G52" s="79" t="str">
        <f aca="false">IF(Need_1&lt;&gt;"","",IF(Withdrawal_Timing="Start of year",IF(F52&gt;=C52,1,0),IF(F52*(1+DD_Balanced)&gt;=C52,1,0)))</f>
        <v/>
      </c>
      <c r="H52" s="80" t="str">
        <f aca="false">IF(Need_1&lt;&gt;"","",IF(I51=1,IF(Withdrawal_Timing="Start of year",(H51-C51)*(1+DD_Growth),H51*(1+DD_Growth)-C51),0))</f>
        <v/>
      </c>
      <c r="I52" s="79" t="str">
        <f aca="false">IF(Need_1&lt;&gt;"","",IF(Withdrawal_Timing="Start of year",IF(H52&gt;=C52,1,0),IF(H52*(1+DD_Growth)&gt;=C52,1,0)))</f>
        <v/>
      </c>
    </row>
    <row r="53" customFormat="false" ht="15" hidden="false" customHeight="true" outlineLevel="0" collapsed="false">
      <c r="B53" s="79" t="n">
        <v>21</v>
      </c>
      <c r="C53" s="80" t="str">
        <f aca="false">IF(Need_1&lt;&gt;"","",C52*(1+Inflation_Choice))</f>
        <v/>
      </c>
      <c r="D53" s="80" t="str">
        <f aca="false">IF(Need_1&lt;&gt;"","",IF(E52=1,IF(Withdrawal_Timing="Start of year",(D52-C52)*(1+DD_Cautious),D52*(1+DD_Cautious)-C52),0))</f>
        <v/>
      </c>
      <c r="E53" s="79" t="str">
        <f aca="false">IF(Need_1&lt;&gt;"","",IF(Withdrawal_Timing="Start of year",IF(D53&gt;=C53,1,0),IF(D53*(1+DD_Cautious)&gt;=C53,1,0)))</f>
        <v/>
      </c>
      <c r="F53" s="80" t="str">
        <f aca="false">IF(Need_1&lt;&gt;"","",IF(G52=1,IF(Withdrawal_Timing="Start of year",(F52-C52)*(1+DD_Balanced),F52*(1+DD_Balanced)-C52),0))</f>
        <v/>
      </c>
      <c r="G53" s="79" t="str">
        <f aca="false">IF(Need_1&lt;&gt;"","",IF(Withdrawal_Timing="Start of year",IF(F53&gt;=C53,1,0),IF(F53*(1+DD_Balanced)&gt;=C53,1,0)))</f>
        <v/>
      </c>
      <c r="H53" s="80" t="str">
        <f aca="false">IF(Need_1&lt;&gt;"","",IF(I52=1,IF(Withdrawal_Timing="Start of year",(H52-C52)*(1+DD_Growth),H52*(1+DD_Growth)-C52),0))</f>
        <v/>
      </c>
      <c r="I53" s="79" t="str">
        <f aca="false">IF(Need_1&lt;&gt;"","",IF(Withdrawal_Timing="Start of year",IF(H53&gt;=C53,1,0),IF(H53*(1+DD_Growth)&gt;=C53,1,0)))</f>
        <v/>
      </c>
    </row>
    <row r="54" customFormat="false" ht="15" hidden="false" customHeight="true" outlineLevel="0" collapsed="false">
      <c r="B54" s="79" t="n">
        <v>22</v>
      </c>
      <c r="C54" s="80" t="str">
        <f aca="false">IF(Need_1&lt;&gt;"","",C53*(1+Inflation_Choice))</f>
        <v/>
      </c>
      <c r="D54" s="80" t="str">
        <f aca="false">IF(Need_1&lt;&gt;"","",IF(E53=1,IF(Withdrawal_Timing="Start of year",(D53-C53)*(1+DD_Cautious),D53*(1+DD_Cautious)-C53),0))</f>
        <v/>
      </c>
      <c r="E54" s="79" t="str">
        <f aca="false">IF(Need_1&lt;&gt;"","",IF(Withdrawal_Timing="Start of year",IF(D54&gt;=C54,1,0),IF(D54*(1+DD_Cautious)&gt;=C54,1,0)))</f>
        <v/>
      </c>
      <c r="F54" s="80" t="str">
        <f aca="false">IF(Need_1&lt;&gt;"","",IF(G53=1,IF(Withdrawal_Timing="Start of year",(F53-C53)*(1+DD_Balanced),F53*(1+DD_Balanced)-C53),0))</f>
        <v/>
      </c>
      <c r="G54" s="79" t="str">
        <f aca="false">IF(Need_1&lt;&gt;"","",IF(Withdrawal_Timing="Start of year",IF(F54&gt;=C54,1,0),IF(F54*(1+DD_Balanced)&gt;=C54,1,0)))</f>
        <v/>
      </c>
      <c r="H54" s="80" t="str">
        <f aca="false">IF(Need_1&lt;&gt;"","",IF(I53=1,IF(Withdrawal_Timing="Start of year",(H53-C53)*(1+DD_Growth),H53*(1+DD_Growth)-C53),0))</f>
        <v/>
      </c>
      <c r="I54" s="79" t="str">
        <f aca="false">IF(Need_1&lt;&gt;"","",IF(Withdrawal_Timing="Start of year",IF(H54&gt;=C54,1,0),IF(H54*(1+DD_Growth)&gt;=C54,1,0)))</f>
        <v/>
      </c>
    </row>
    <row r="55" customFormat="false" ht="15" hidden="false" customHeight="true" outlineLevel="0" collapsed="false">
      <c r="B55" s="79" t="n">
        <v>23</v>
      </c>
      <c r="C55" s="80" t="str">
        <f aca="false">IF(Need_1&lt;&gt;"","",C54*(1+Inflation_Choice))</f>
        <v/>
      </c>
      <c r="D55" s="80" t="str">
        <f aca="false">IF(Need_1&lt;&gt;"","",IF(E54=1,IF(Withdrawal_Timing="Start of year",(D54-C54)*(1+DD_Cautious),D54*(1+DD_Cautious)-C54),0))</f>
        <v/>
      </c>
      <c r="E55" s="79" t="str">
        <f aca="false">IF(Need_1&lt;&gt;"","",IF(Withdrawal_Timing="Start of year",IF(D55&gt;=C55,1,0),IF(D55*(1+DD_Cautious)&gt;=C55,1,0)))</f>
        <v/>
      </c>
      <c r="F55" s="80" t="str">
        <f aca="false">IF(Need_1&lt;&gt;"","",IF(G54=1,IF(Withdrawal_Timing="Start of year",(F54-C54)*(1+DD_Balanced),F54*(1+DD_Balanced)-C54),0))</f>
        <v/>
      </c>
      <c r="G55" s="79" t="str">
        <f aca="false">IF(Need_1&lt;&gt;"","",IF(Withdrawal_Timing="Start of year",IF(F55&gt;=C55,1,0),IF(F55*(1+DD_Balanced)&gt;=C55,1,0)))</f>
        <v/>
      </c>
      <c r="H55" s="80" t="str">
        <f aca="false">IF(Need_1&lt;&gt;"","",IF(I54=1,IF(Withdrawal_Timing="Start of year",(H54-C54)*(1+DD_Growth),H54*(1+DD_Growth)-C54),0))</f>
        <v/>
      </c>
      <c r="I55" s="79" t="str">
        <f aca="false">IF(Need_1&lt;&gt;"","",IF(Withdrawal_Timing="Start of year",IF(H55&gt;=C55,1,0),IF(H55*(1+DD_Growth)&gt;=C55,1,0)))</f>
        <v/>
      </c>
    </row>
    <row r="56" customFormat="false" ht="15" hidden="false" customHeight="true" outlineLevel="0" collapsed="false">
      <c r="B56" s="79" t="n">
        <v>24</v>
      </c>
      <c r="C56" s="80" t="str">
        <f aca="false">IF(Need_1&lt;&gt;"","",C55*(1+Inflation_Choice))</f>
        <v/>
      </c>
      <c r="D56" s="80" t="str">
        <f aca="false">IF(Need_1&lt;&gt;"","",IF(E55=1,IF(Withdrawal_Timing="Start of year",(D55-C55)*(1+DD_Cautious),D55*(1+DD_Cautious)-C55),0))</f>
        <v/>
      </c>
      <c r="E56" s="79" t="str">
        <f aca="false">IF(Need_1&lt;&gt;"","",IF(Withdrawal_Timing="Start of year",IF(D56&gt;=C56,1,0),IF(D56*(1+DD_Cautious)&gt;=C56,1,0)))</f>
        <v/>
      </c>
      <c r="F56" s="80" t="str">
        <f aca="false">IF(Need_1&lt;&gt;"","",IF(G55=1,IF(Withdrawal_Timing="Start of year",(F55-C55)*(1+DD_Balanced),F55*(1+DD_Balanced)-C55),0))</f>
        <v/>
      </c>
      <c r="G56" s="79" t="str">
        <f aca="false">IF(Need_1&lt;&gt;"","",IF(Withdrawal_Timing="Start of year",IF(F56&gt;=C56,1,0),IF(F56*(1+DD_Balanced)&gt;=C56,1,0)))</f>
        <v/>
      </c>
      <c r="H56" s="80" t="str">
        <f aca="false">IF(Need_1&lt;&gt;"","",IF(I55=1,IF(Withdrawal_Timing="Start of year",(H55-C55)*(1+DD_Growth),H55*(1+DD_Growth)-C55),0))</f>
        <v/>
      </c>
      <c r="I56" s="79" t="str">
        <f aca="false">IF(Need_1&lt;&gt;"","",IF(Withdrawal_Timing="Start of year",IF(H56&gt;=C56,1,0),IF(H56*(1+DD_Growth)&gt;=C56,1,0)))</f>
        <v/>
      </c>
    </row>
    <row r="57" customFormat="false" ht="15" hidden="false" customHeight="true" outlineLevel="0" collapsed="false">
      <c r="B57" s="79" t="n">
        <v>25</v>
      </c>
      <c r="C57" s="80" t="str">
        <f aca="false">IF(Need_1&lt;&gt;"","",C56*(1+Inflation_Choice))</f>
        <v/>
      </c>
      <c r="D57" s="80" t="str">
        <f aca="false">IF(Need_1&lt;&gt;"","",IF(E56=1,IF(Withdrawal_Timing="Start of year",(D56-C56)*(1+DD_Cautious),D56*(1+DD_Cautious)-C56),0))</f>
        <v/>
      </c>
      <c r="E57" s="79" t="str">
        <f aca="false">IF(Need_1&lt;&gt;"","",IF(Withdrawal_Timing="Start of year",IF(D57&gt;=C57,1,0),IF(D57*(1+DD_Cautious)&gt;=C57,1,0)))</f>
        <v/>
      </c>
      <c r="F57" s="80" t="str">
        <f aca="false">IF(Need_1&lt;&gt;"","",IF(G56=1,IF(Withdrawal_Timing="Start of year",(F56-C56)*(1+DD_Balanced),F56*(1+DD_Balanced)-C56),0))</f>
        <v/>
      </c>
      <c r="G57" s="79" t="str">
        <f aca="false">IF(Need_1&lt;&gt;"","",IF(Withdrawal_Timing="Start of year",IF(F57&gt;=C57,1,0),IF(F57*(1+DD_Balanced)&gt;=C57,1,0)))</f>
        <v/>
      </c>
      <c r="H57" s="80" t="str">
        <f aca="false">IF(Need_1&lt;&gt;"","",IF(I56=1,IF(Withdrawal_Timing="Start of year",(H56-C56)*(1+DD_Growth),H56*(1+DD_Growth)-C56),0))</f>
        <v/>
      </c>
      <c r="I57" s="79" t="str">
        <f aca="false">IF(Need_1&lt;&gt;"","",IF(Withdrawal_Timing="Start of year",IF(H57&gt;=C57,1,0),IF(H57*(1+DD_Growth)&gt;=C57,1,0)))</f>
        <v/>
      </c>
    </row>
    <row r="58" customFormat="false" ht="15" hidden="false" customHeight="true" outlineLevel="0" collapsed="false">
      <c r="B58" s="79" t="n">
        <v>26</v>
      </c>
      <c r="C58" s="80" t="str">
        <f aca="false">IF(Need_1&lt;&gt;"","",C57*(1+Inflation_Choice))</f>
        <v/>
      </c>
      <c r="D58" s="80" t="str">
        <f aca="false">IF(Need_1&lt;&gt;"","",IF(E57=1,IF(Withdrawal_Timing="Start of year",(D57-C57)*(1+DD_Cautious),D57*(1+DD_Cautious)-C57),0))</f>
        <v/>
      </c>
      <c r="E58" s="79" t="str">
        <f aca="false">IF(Need_1&lt;&gt;"","",IF(Withdrawal_Timing="Start of year",IF(D58&gt;=C58,1,0),IF(D58*(1+DD_Cautious)&gt;=C58,1,0)))</f>
        <v/>
      </c>
      <c r="F58" s="80" t="str">
        <f aca="false">IF(Need_1&lt;&gt;"","",IF(G57=1,IF(Withdrawal_Timing="Start of year",(F57-C57)*(1+DD_Balanced),F57*(1+DD_Balanced)-C57),0))</f>
        <v/>
      </c>
      <c r="G58" s="79" t="str">
        <f aca="false">IF(Need_1&lt;&gt;"","",IF(Withdrawal_Timing="Start of year",IF(F58&gt;=C58,1,0),IF(F58*(1+DD_Balanced)&gt;=C58,1,0)))</f>
        <v/>
      </c>
      <c r="H58" s="80" t="str">
        <f aca="false">IF(Need_1&lt;&gt;"","",IF(I57=1,IF(Withdrawal_Timing="Start of year",(H57-C57)*(1+DD_Growth),H57*(1+DD_Growth)-C57),0))</f>
        <v/>
      </c>
      <c r="I58" s="79" t="str">
        <f aca="false">IF(Need_1&lt;&gt;"","",IF(Withdrawal_Timing="Start of year",IF(H58&gt;=C58,1,0),IF(H58*(1+DD_Growth)&gt;=C58,1,0)))</f>
        <v/>
      </c>
    </row>
    <row r="59" customFormat="false" ht="15" hidden="false" customHeight="true" outlineLevel="0" collapsed="false">
      <c r="B59" s="79" t="n">
        <v>27</v>
      </c>
      <c r="C59" s="80" t="str">
        <f aca="false">IF(Need_1&lt;&gt;"","",C58*(1+Inflation_Choice))</f>
        <v/>
      </c>
      <c r="D59" s="80" t="str">
        <f aca="false">IF(Need_1&lt;&gt;"","",IF(E58=1,IF(Withdrawal_Timing="Start of year",(D58-C58)*(1+DD_Cautious),D58*(1+DD_Cautious)-C58),0))</f>
        <v/>
      </c>
      <c r="E59" s="79" t="str">
        <f aca="false">IF(Need_1&lt;&gt;"","",IF(Withdrawal_Timing="Start of year",IF(D59&gt;=C59,1,0),IF(D59*(1+DD_Cautious)&gt;=C59,1,0)))</f>
        <v/>
      </c>
      <c r="F59" s="80" t="str">
        <f aca="false">IF(Need_1&lt;&gt;"","",IF(G58=1,IF(Withdrawal_Timing="Start of year",(F58-C58)*(1+DD_Balanced),F58*(1+DD_Balanced)-C58),0))</f>
        <v/>
      </c>
      <c r="G59" s="79" t="str">
        <f aca="false">IF(Need_1&lt;&gt;"","",IF(Withdrawal_Timing="Start of year",IF(F59&gt;=C59,1,0),IF(F59*(1+DD_Balanced)&gt;=C59,1,0)))</f>
        <v/>
      </c>
      <c r="H59" s="80" t="str">
        <f aca="false">IF(Need_1&lt;&gt;"","",IF(I58=1,IF(Withdrawal_Timing="Start of year",(H58-C58)*(1+DD_Growth),H58*(1+DD_Growth)-C58),0))</f>
        <v/>
      </c>
      <c r="I59" s="79" t="str">
        <f aca="false">IF(Need_1&lt;&gt;"","",IF(Withdrawal_Timing="Start of year",IF(H59&gt;=C59,1,0),IF(H59*(1+DD_Growth)&gt;=C59,1,0)))</f>
        <v/>
      </c>
    </row>
    <row r="60" customFormat="false" ht="15" hidden="false" customHeight="true" outlineLevel="0" collapsed="false">
      <c r="B60" s="79" t="n">
        <v>28</v>
      </c>
      <c r="C60" s="80" t="str">
        <f aca="false">IF(Need_1&lt;&gt;"","",C59*(1+Inflation_Choice))</f>
        <v/>
      </c>
      <c r="D60" s="80" t="str">
        <f aca="false">IF(Need_1&lt;&gt;"","",IF(E59=1,IF(Withdrawal_Timing="Start of year",(D59-C59)*(1+DD_Cautious),D59*(1+DD_Cautious)-C59),0))</f>
        <v/>
      </c>
      <c r="E60" s="79" t="str">
        <f aca="false">IF(Need_1&lt;&gt;"","",IF(Withdrawal_Timing="Start of year",IF(D60&gt;=C60,1,0),IF(D60*(1+DD_Cautious)&gt;=C60,1,0)))</f>
        <v/>
      </c>
      <c r="F60" s="80" t="str">
        <f aca="false">IF(Need_1&lt;&gt;"","",IF(G59=1,IF(Withdrawal_Timing="Start of year",(F59-C59)*(1+DD_Balanced),F59*(1+DD_Balanced)-C59),0))</f>
        <v/>
      </c>
      <c r="G60" s="79" t="str">
        <f aca="false">IF(Need_1&lt;&gt;"","",IF(Withdrawal_Timing="Start of year",IF(F60&gt;=C60,1,0),IF(F60*(1+DD_Balanced)&gt;=C60,1,0)))</f>
        <v/>
      </c>
      <c r="H60" s="80" t="str">
        <f aca="false">IF(Need_1&lt;&gt;"","",IF(I59=1,IF(Withdrawal_Timing="Start of year",(H59-C59)*(1+DD_Growth),H59*(1+DD_Growth)-C59),0))</f>
        <v/>
      </c>
      <c r="I60" s="79" t="str">
        <f aca="false">IF(Need_1&lt;&gt;"","",IF(Withdrawal_Timing="Start of year",IF(H60&gt;=C60,1,0),IF(H60*(1+DD_Growth)&gt;=C60,1,0)))</f>
        <v/>
      </c>
    </row>
    <row r="61" customFormat="false" ht="15" hidden="false" customHeight="true" outlineLevel="0" collapsed="false">
      <c r="B61" s="79" t="n">
        <v>29</v>
      </c>
      <c r="C61" s="80" t="str">
        <f aca="false">IF(Need_1&lt;&gt;"","",C60*(1+Inflation_Choice))</f>
        <v/>
      </c>
      <c r="D61" s="80" t="str">
        <f aca="false">IF(Need_1&lt;&gt;"","",IF(E60=1,IF(Withdrawal_Timing="Start of year",(D60-C60)*(1+DD_Cautious),D60*(1+DD_Cautious)-C60),0))</f>
        <v/>
      </c>
      <c r="E61" s="79" t="str">
        <f aca="false">IF(Need_1&lt;&gt;"","",IF(Withdrawal_Timing="Start of year",IF(D61&gt;=C61,1,0),IF(D61*(1+DD_Cautious)&gt;=C61,1,0)))</f>
        <v/>
      </c>
      <c r="F61" s="80" t="str">
        <f aca="false">IF(Need_1&lt;&gt;"","",IF(G60=1,IF(Withdrawal_Timing="Start of year",(F60-C60)*(1+DD_Balanced),F60*(1+DD_Balanced)-C60),0))</f>
        <v/>
      </c>
      <c r="G61" s="79" t="str">
        <f aca="false">IF(Need_1&lt;&gt;"","",IF(Withdrawal_Timing="Start of year",IF(F61&gt;=C61,1,0),IF(F61*(1+DD_Balanced)&gt;=C61,1,0)))</f>
        <v/>
      </c>
      <c r="H61" s="80" t="str">
        <f aca="false">IF(Need_1&lt;&gt;"","",IF(I60=1,IF(Withdrawal_Timing="Start of year",(H60-C60)*(1+DD_Growth),H60*(1+DD_Growth)-C60),0))</f>
        <v/>
      </c>
      <c r="I61" s="79" t="str">
        <f aca="false">IF(Need_1&lt;&gt;"","",IF(Withdrawal_Timing="Start of year",IF(H61&gt;=C61,1,0),IF(H61*(1+DD_Growth)&gt;=C61,1,0)))</f>
        <v/>
      </c>
    </row>
    <row r="62" customFormat="false" ht="15" hidden="false" customHeight="true" outlineLevel="0" collapsed="false">
      <c r="B62" s="79" t="n">
        <v>30</v>
      </c>
      <c r="C62" s="80" t="str">
        <f aca="false">IF(Need_1&lt;&gt;"","",C61*(1+Inflation_Choice))</f>
        <v/>
      </c>
      <c r="D62" s="80" t="str">
        <f aca="false">IF(Need_1&lt;&gt;"","",IF(E61=1,IF(Withdrawal_Timing="Start of year",(D61-C61)*(1+DD_Cautious),D61*(1+DD_Cautious)-C61),0))</f>
        <v/>
      </c>
      <c r="E62" s="79" t="str">
        <f aca="false">IF(Need_1&lt;&gt;"","",IF(Withdrawal_Timing="Start of year",IF(D62&gt;=C62,1,0),IF(D62*(1+DD_Cautious)&gt;=C62,1,0)))</f>
        <v/>
      </c>
      <c r="F62" s="80" t="str">
        <f aca="false">IF(Need_1&lt;&gt;"","",IF(G61=1,IF(Withdrawal_Timing="Start of year",(F61-C61)*(1+DD_Balanced),F61*(1+DD_Balanced)-C61),0))</f>
        <v/>
      </c>
      <c r="G62" s="79" t="str">
        <f aca="false">IF(Need_1&lt;&gt;"","",IF(Withdrawal_Timing="Start of year",IF(F62&gt;=C62,1,0),IF(F62*(1+DD_Balanced)&gt;=C62,1,0)))</f>
        <v/>
      </c>
      <c r="H62" s="80" t="str">
        <f aca="false">IF(Need_1&lt;&gt;"","",IF(I61=1,IF(Withdrawal_Timing="Start of year",(H61-C61)*(1+DD_Growth),H61*(1+DD_Growth)-C61),0))</f>
        <v/>
      </c>
      <c r="I62" s="79" t="str">
        <f aca="false">IF(Need_1&lt;&gt;"","",IF(Withdrawal_Timing="Start of year",IF(H62&gt;=C62,1,0),IF(H62*(1+DD_Growth)&gt;=C62,1,0)))</f>
        <v/>
      </c>
    </row>
    <row r="63" customFormat="false" ht="15" hidden="false" customHeight="true" outlineLevel="0" collapsed="false">
      <c r="B63" s="79" t="n">
        <v>31</v>
      </c>
      <c r="C63" s="80" t="str">
        <f aca="false">IF(Need_1&lt;&gt;"","",C62*(1+Inflation_Choice))</f>
        <v/>
      </c>
      <c r="D63" s="80" t="str">
        <f aca="false">IF(Need_1&lt;&gt;"","",IF(E62=1,IF(Withdrawal_Timing="Start of year",(D62-C62)*(1+DD_Cautious),D62*(1+DD_Cautious)-C62),0))</f>
        <v/>
      </c>
      <c r="E63" s="79" t="str">
        <f aca="false">IF(Need_1&lt;&gt;"","",IF(Withdrawal_Timing="Start of year",IF(D63&gt;=C63,1,0),IF(D63*(1+DD_Cautious)&gt;=C63,1,0)))</f>
        <v/>
      </c>
      <c r="F63" s="80" t="str">
        <f aca="false">IF(Need_1&lt;&gt;"","",IF(G62=1,IF(Withdrawal_Timing="Start of year",(F62-C62)*(1+DD_Balanced),F62*(1+DD_Balanced)-C62),0))</f>
        <v/>
      </c>
      <c r="G63" s="79" t="str">
        <f aca="false">IF(Need_1&lt;&gt;"","",IF(Withdrawal_Timing="Start of year",IF(F63&gt;=C63,1,0),IF(F63*(1+DD_Balanced)&gt;=C63,1,0)))</f>
        <v/>
      </c>
      <c r="H63" s="80" t="str">
        <f aca="false">IF(Need_1&lt;&gt;"","",IF(I62=1,IF(Withdrawal_Timing="Start of year",(H62-C62)*(1+DD_Growth),H62*(1+DD_Growth)-C62),0))</f>
        <v/>
      </c>
      <c r="I63" s="79" t="str">
        <f aca="false">IF(Need_1&lt;&gt;"","",IF(Withdrawal_Timing="Start of year",IF(H63&gt;=C63,1,0),IF(H63*(1+DD_Growth)&gt;=C63,1,0)))</f>
        <v/>
      </c>
    </row>
    <row r="64" customFormat="false" ht="15" hidden="false" customHeight="true" outlineLevel="0" collapsed="false">
      <c r="B64" s="79" t="n">
        <v>32</v>
      </c>
      <c r="C64" s="80" t="str">
        <f aca="false">IF(Need_1&lt;&gt;"","",C63*(1+Inflation_Choice))</f>
        <v/>
      </c>
      <c r="D64" s="80" t="str">
        <f aca="false">IF(Need_1&lt;&gt;"","",IF(E63=1,IF(Withdrawal_Timing="Start of year",(D63-C63)*(1+DD_Cautious),D63*(1+DD_Cautious)-C63),0))</f>
        <v/>
      </c>
      <c r="E64" s="79" t="str">
        <f aca="false">IF(Need_1&lt;&gt;"","",IF(Withdrawal_Timing="Start of year",IF(D64&gt;=C64,1,0),IF(D64*(1+DD_Cautious)&gt;=C64,1,0)))</f>
        <v/>
      </c>
      <c r="F64" s="80" t="str">
        <f aca="false">IF(Need_1&lt;&gt;"","",IF(G63=1,IF(Withdrawal_Timing="Start of year",(F63-C63)*(1+DD_Balanced),F63*(1+DD_Balanced)-C63),0))</f>
        <v/>
      </c>
      <c r="G64" s="79" t="str">
        <f aca="false">IF(Need_1&lt;&gt;"","",IF(Withdrawal_Timing="Start of year",IF(F64&gt;=C64,1,0),IF(F64*(1+DD_Balanced)&gt;=C64,1,0)))</f>
        <v/>
      </c>
      <c r="H64" s="80" t="str">
        <f aca="false">IF(Need_1&lt;&gt;"","",IF(I63=1,IF(Withdrawal_Timing="Start of year",(H63-C63)*(1+DD_Growth),H63*(1+DD_Growth)-C63),0))</f>
        <v/>
      </c>
      <c r="I64" s="79" t="str">
        <f aca="false">IF(Need_1&lt;&gt;"","",IF(Withdrawal_Timing="Start of year",IF(H64&gt;=C64,1,0),IF(H64*(1+DD_Growth)&gt;=C64,1,0)))</f>
        <v/>
      </c>
    </row>
    <row r="65" customFormat="false" ht="15" hidden="false" customHeight="true" outlineLevel="0" collapsed="false">
      <c r="B65" s="79" t="n">
        <v>33</v>
      </c>
      <c r="C65" s="80" t="str">
        <f aca="false">IF(Need_1&lt;&gt;"","",C64*(1+Inflation_Choice))</f>
        <v/>
      </c>
      <c r="D65" s="80" t="str">
        <f aca="false">IF(Need_1&lt;&gt;"","",IF(E64=1,IF(Withdrawal_Timing="Start of year",(D64-C64)*(1+DD_Cautious),D64*(1+DD_Cautious)-C64),0))</f>
        <v/>
      </c>
      <c r="E65" s="79" t="str">
        <f aca="false">IF(Need_1&lt;&gt;"","",IF(Withdrawal_Timing="Start of year",IF(D65&gt;=C65,1,0),IF(D65*(1+DD_Cautious)&gt;=C65,1,0)))</f>
        <v/>
      </c>
      <c r="F65" s="80" t="str">
        <f aca="false">IF(Need_1&lt;&gt;"","",IF(G64=1,IF(Withdrawal_Timing="Start of year",(F64-C64)*(1+DD_Balanced),F64*(1+DD_Balanced)-C64),0))</f>
        <v/>
      </c>
      <c r="G65" s="79" t="str">
        <f aca="false">IF(Need_1&lt;&gt;"","",IF(Withdrawal_Timing="Start of year",IF(F65&gt;=C65,1,0),IF(F65*(1+DD_Balanced)&gt;=C65,1,0)))</f>
        <v/>
      </c>
      <c r="H65" s="80" t="str">
        <f aca="false">IF(Need_1&lt;&gt;"","",IF(I64=1,IF(Withdrawal_Timing="Start of year",(H64-C64)*(1+DD_Growth),H64*(1+DD_Growth)-C64),0))</f>
        <v/>
      </c>
      <c r="I65" s="79" t="str">
        <f aca="false">IF(Need_1&lt;&gt;"","",IF(Withdrawal_Timing="Start of year",IF(H65&gt;=C65,1,0),IF(H65*(1+DD_Growth)&gt;=C65,1,0)))</f>
        <v/>
      </c>
    </row>
    <row r="66" customFormat="false" ht="15" hidden="false" customHeight="true" outlineLevel="0" collapsed="false">
      <c r="B66" s="79" t="n">
        <v>34</v>
      </c>
      <c r="C66" s="80" t="str">
        <f aca="false">IF(Need_1&lt;&gt;"","",C65*(1+Inflation_Choice))</f>
        <v/>
      </c>
      <c r="D66" s="80" t="str">
        <f aca="false">IF(Need_1&lt;&gt;"","",IF(E65=1,IF(Withdrawal_Timing="Start of year",(D65-C65)*(1+DD_Cautious),D65*(1+DD_Cautious)-C65),0))</f>
        <v/>
      </c>
      <c r="E66" s="79" t="str">
        <f aca="false">IF(Need_1&lt;&gt;"","",IF(Withdrawal_Timing="Start of year",IF(D66&gt;=C66,1,0),IF(D66*(1+DD_Cautious)&gt;=C66,1,0)))</f>
        <v/>
      </c>
      <c r="F66" s="80" t="str">
        <f aca="false">IF(Need_1&lt;&gt;"","",IF(G65=1,IF(Withdrawal_Timing="Start of year",(F65-C65)*(1+DD_Balanced),F65*(1+DD_Balanced)-C65),0))</f>
        <v/>
      </c>
      <c r="G66" s="79" t="str">
        <f aca="false">IF(Need_1&lt;&gt;"","",IF(Withdrawal_Timing="Start of year",IF(F66&gt;=C66,1,0),IF(F66*(1+DD_Balanced)&gt;=C66,1,0)))</f>
        <v/>
      </c>
      <c r="H66" s="80" t="str">
        <f aca="false">IF(Need_1&lt;&gt;"","",IF(I65=1,IF(Withdrawal_Timing="Start of year",(H65-C65)*(1+DD_Growth),H65*(1+DD_Growth)-C65),0))</f>
        <v/>
      </c>
      <c r="I66" s="79" t="str">
        <f aca="false">IF(Need_1&lt;&gt;"","",IF(Withdrawal_Timing="Start of year",IF(H66&gt;=C66,1,0),IF(H66*(1+DD_Growth)&gt;=C66,1,0)))</f>
        <v/>
      </c>
    </row>
    <row r="67" customFormat="false" ht="15" hidden="false" customHeight="true" outlineLevel="0" collapsed="false">
      <c r="B67" s="79" t="n">
        <v>35</v>
      </c>
      <c r="C67" s="80" t="str">
        <f aca="false">IF(Need_1&lt;&gt;"","",C66*(1+Inflation_Choice))</f>
        <v/>
      </c>
      <c r="D67" s="80" t="str">
        <f aca="false">IF(Need_1&lt;&gt;"","",IF(E66=1,IF(Withdrawal_Timing="Start of year",(D66-C66)*(1+DD_Cautious),D66*(1+DD_Cautious)-C66),0))</f>
        <v/>
      </c>
      <c r="E67" s="79" t="str">
        <f aca="false">IF(Need_1&lt;&gt;"","",IF(Withdrawal_Timing="Start of year",IF(D67&gt;=C67,1,0),IF(D67*(1+DD_Cautious)&gt;=C67,1,0)))</f>
        <v/>
      </c>
      <c r="F67" s="80" t="str">
        <f aca="false">IF(Need_1&lt;&gt;"","",IF(G66=1,IF(Withdrawal_Timing="Start of year",(F66-C66)*(1+DD_Balanced),F66*(1+DD_Balanced)-C66),0))</f>
        <v/>
      </c>
      <c r="G67" s="79" t="str">
        <f aca="false">IF(Need_1&lt;&gt;"","",IF(Withdrawal_Timing="Start of year",IF(F67&gt;=C67,1,0),IF(F67*(1+DD_Balanced)&gt;=C67,1,0)))</f>
        <v/>
      </c>
      <c r="H67" s="80" t="str">
        <f aca="false">IF(Need_1&lt;&gt;"","",IF(I66=1,IF(Withdrawal_Timing="Start of year",(H66-C66)*(1+DD_Growth),H66*(1+DD_Growth)-C66),0))</f>
        <v/>
      </c>
      <c r="I67" s="79" t="str">
        <f aca="false">IF(Need_1&lt;&gt;"","",IF(Withdrawal_Timing="Start of year",IF(H67&gt;=C67,1,0),IF(H67*(1+DD_Growth)&gt;=C67,1,0)))</f>
        <v/>
      </c>
    </row>
    <row r="68" customFormat="false" ht="15" hidden="false" customHeight="true" outlineLevel="0" collapsed="false">
      <c r="B68" s="79" t="n">
        <v>36</v>
      </c>
      <c r="C68" s="80" t="str">
        <f aca="false">IF(Need_1&lt;&gt;"","",C67*(1+Inflation_Choice))</f>
        <v/>
      </c>
      <c r="D68" s="80" t="str">
        <f aca="false">IF(Need_1&lt;&gt;"","",IF(E67=1,IF(Withdrawal_Timing="Start of year",(D67-C67)*(1+DD_Cautious),D67*(1+DD_Cautious)-C67),0))</f>
        <v/>
      </c>
      <c r="E68" s="79" t="str">
        <f aca="false">IF(Need_1&lt;&gt;"","",IF(Withdrawal_Timing="Start of year",IF(D68&gt;=C68,1,0),IF(D68*(1+DD_Cautious)&gt;=C68,1,0)))</f>
        <v/>
      </c>
      <c r="F68" s="80" t="str">
        <f aca="false">IF(Need_1&lt;&gt;"","",IF(G67=1,IF(Withdrawal_Timing="Start of year",(F67-C67)*(1+DD_Balanced),F67*(1+DD_Balanced)-C67),0))</f>
        <v/>
      </c>
      <c r="G68" s="79" t="str">
        <f aca="false">IF(Need_1&lt;&gt;"","",IF(Withdrawal_Timing="Start of year",IF(F68&gt;=C68,1,0),IF(F68*(1+DD_Balanced)&gt;=C68,1,0)))</f>
        <v/>
      </c>
      <c r="H68" s="80" t="str">
        <f aca="false">IF(Need_1&lt;&gt;"","",IF(I67=1,IF(Withdrawal_Timing="Start of year",(H67-C67)*(1+DD_Growth),H67*(1+DD_Growth)-C67),0))</f>
        <v/>
      </c>
      <c r="I68" s="79" t="str">
        <f aca="false">IF(Need_1&lt;&gt;"","",IF(Withdrawal_Timing="Start of year",IF(H68&gt;=C68,1,0),IF(H68*(1+DD_Growth)&gt;=C68,1,0)))</f>
        <v/>
      </c>
    </row>
    <row r="69" customFormat="false" ht="15" hidden="false" customHeight="true" outlineLevel="0" collapsed="false">
      <c r="B69" s="79" t="n">
        <v>37</v>
      </c>
      <c r="C69" s="80" t="str">
        <f aca="false">IF(Need_1&lt;&gt;"","",C68*(1+Inflation_Choice))</f>
        <v/>
      </c>
      <c r="D69" s="80" t="str">
        <f aca="false">IF(Need_1&lt;&gt;"","",IF(E68=1,IF(Withdrawal_Timing="Start of year",(D68-C68)*(1+DD_Cautious),D68*(1+DD_Cautious)-C68),0))</f>
        <v/>
      </c>
      <c r="E69" s="79" t="str">
        <f aca="false">IF(Need_1&lt;&gt;"","",IF(Withdrawal_Timing="Start of year",IF(D69&gt;=C69,1,0),IF(D69*(1+DD_Cautious)&gt;=C69,1,0)))</f>
        <v/>
      </c>
      <c r="F69" s="80" t="str">
        <f aca="false">IF(Need_1&lt;&gt;"","",IF(G68=1,IF(Withdrawal_Timing="Start of year",(F68-C68)*(1+DD_Balanced),F68*(1+DD_Balanced)-C68),0))</f>
        <v/>
      </c>
      <c r="G69" s="79" t="str">
        <f aca="false">IF(Need_1&lt;&gt;"","",IF(Withdrawal_Timing="Start of year",IF(F69&gt;=C69,1,0),IF(F69*(1+DD_Balanced)&gt;=C69,1,0)))</f>
        <v/>
      </c>
      <c r="H69" s="80" t="str">
        <f aca="false">IF(Need_1&lt;&gt;"","",IF(I68=1,IF(Withdrawal_Timing="Start of year",(H68-C68)*(1+DD_Growth),H68*(1+DD_Growth)-C68),0))</f>
        <v/>
      </c>
      <c r="I69" s="79" t="str">
        <f aca="false">IF(Need_1&lt;&gt;"","",IF(Withdrawal_Timing="Start of year",IF(H69&gt;=C69,1,0),IF(H69*(1+DD_Growth)&gt;=C69,1,0)))</f>
        <v/>
      </c>
    </row>
    <row r="70" customFormat="false" ht="15" hidden="false" customHeight="true" outlineLevel="0" collapsed="false">
      <c r="B70" s="79" t="n">
        <v>38</v>
      </c>
      <c r="C70" s="80" t="str">
        <f aca="false">IF(Need_1&lt;&gt;"","",C69*(1+Inflation_Choice))</f>
        <v/>
      </c>
      <c r="D70" s="80" t="str">
        <f aca="false">IF(Need_1&lt;&gt;"","",IF(E69=1,IF(Withdrawal_Timing="Start of year",(D69-C69)*(1+DD_Cautious),D69*(1+DD_Cautious)-C69),0))</f>
        <v/>
      </c>
      <c r="E70" s="79" t="str">
        <f aca="false">IF(Need_1&lt;&gt;"","",IF(Withdrawal_Timing="Start of year",IF(D70&gt;=C70,1,0),IF(D70*(1+DD_Cautious)&gt;=C70,1,0)))</f>
        <v/>
      </c>
      <c r="F70" s="80" t="str">
        <f aca="false">IF(Need_1&lt;&gt;"","",IF(G69=1,IF(Withdrawal_Timing="Start of year",(F69-C69)*(1+DD_Balanced),F69*(1+DD_Balanced)-C69),0))</f>
        <v/>
      </c>
      <c r="G70" s="79" t="str">
        <f aca="false">IF(Need_1&lt;&gt;"","",IF(Withdrawal_Timing="Start of year",IF(F70&gt;=C70,1,0),IF(F70*(1+DD_Balanced)&gt;=C70,1,0)))</f>
        <v/>
      </c>
      <c r="H70" s="80" t="str">
        <f aca="false">IF(Need_1&lt;&gt;"","",IF(I69=1,IF(Withdrawal_Timing="Start of year",(H69-C69)*(1+DD_Growth),H69*(1+DD_Growth)-C69),0))</f>
        <v/>
      </c>
      <c r="I70" s="79" t="str">
        <f aca="false">IF(Need_1&lt;&gt;"","",IF(Withdrawal_Timing="Start of year",IF(H70&gt;=C70,1,0),IF(H70*(1+DD_Growth)&gt;=C70,1,0)))</f>
        <v/>
      </c>
    </row>
    <row r="71" customFormat="false" ht="15" hidden="false" customHeight="true" outlineLevel="0" collapsed="false">
      <c r="B71" s="79" t="n">
        <v>39</v>
      </c>
      <c r="C71" s="80" t="str">
        <f aca="false">IF(Need_1&lt;&gt;"","",C70*(1+Inflation_Choice))</f>
        <v/>
      </c>
      <c r="D71" s="80" t="str">
        <f aca="false">IF(Need_1&lt;&gt;"","",IF(E70=1,IF(Withdrawal_Timing="Start of year",(D70-C70)*(1+DD_Cautious),D70*(1+DD_Cautious)-C70),0))</f>
        <v/>
      </c>
      <c r="E71" s="79" t="str">
        <f aca="false">IF(Need_1&lt;&gt;"","",IF(Withdrawal_Timing="Start of year",IF(D71&gt;=C71,1,0),IF(D71*(1+DD_Cautious)&gt;=C71,1,0)))</f>
        <v/>
      </c>
      <c r="F71" s="80" t="str">
        <f aca="false">IF(Need_1&lt;&gt;"","",IF(G70=1,IF(Withdrawal_Timing="Start of year",(F70-C70)*(1+DD_Balanced),F70*(1+DD_Balanced)-C70),0))</f>
        <v/>
      </c>
      <c r="G71" s="79" t="str">
        <f aca="false">IF(Need_1&lt;&gt;"","",IF(Withdrawal_Timing="Start of year",IF(F71&gt;=C71,1,0),IF(F71*(1+DD_Balanced)&gt;=C71,1,0)))</f>
        <v/>
      </c>
      <c r="H71" s="80" t="str">
        <f aca="false">IF(Need_1&lt;&gt;"","",IF(I70=1,IF(Withdrawal_Timing="Start of year",(H70-C70)*(1+DD_Growth),H70*(1+DD_Growth)-C70),0))</f>
        <v/>
      </c>
      <c r="I71" s="79" t="str">
        <f aca="false">IF(Need_1&lt;&gt;"","",IF(Withdrawal_Timing="Start of year",IF(H71&gt;=C71,1,0),IF(H71*(1+DD_Growth)&gt;=C71,1,0)))</f>
        <v/>
      </c>
    </row>
    <row r="72" customFormat="false" ht="15" hidden="false" customHeight="true" outlineLevel="0" collapsed="false">
      <c r="B72" s="79" t="n">
        <v>40</v>
      </c>
      <c r="C72" s="80" t="str">
        <f aca="false">IF(Need_1&lt;&gt;"","",C71*(1+Inflation_Choice))</f>
        <v/>
      </c>
      <c r="D72" s="80" t="str">
        <f aca="false">IF(Need_1&lt;&gt;"","",IF(E71=1,IF(Withdrawal_Timing="Start of year",(D71-C71)*(1+DD_Cautious),D71*(1+DD_Cautious)-C71),0))</f>
        <v/>
      </c>
      <c r="E72" s="79" t="str">
        <f aca="false">IF(Need_1&lt;&gt;"","",IF(Withdrawal_Timing="Start of year",IF(D72&gt;=C72,1,0),IF(D72*(1+DD_Cautious)&gt;=C72,1,0)))</f>
        <v/>
      </c>
      <c r="F72" s="80" t="str">
        <f aca="false">IF(Need_1&lt;&gt;"","",IF(G71=1,IF(Withdrawal_Timing="Start of year",(F71-C71)*(1+DD_Balanced),F71*(1+DD_Balanced)-C71),0))</f>
        <v/>
      </c>
      <c r="G72" s="79" t="str">
        <f aca="false">IF(Need_1&lt;&gt;"","",IF(Withdrawal_Timing="Start of year",IF(F72&gt;=C72,1,0),IF(F72*(1+DD_Balanced)&gt;=C72,1,0)))</f>
        <v/>
      </c>
      <c r="H72" s="80" t="str">
        <f aca="false">IF(Need_1&lt;&gt;"","",IF(I71=1,IF(Withdrawal_Timing="Start of year",(H71-C71)*(1+DD_Growth),H71*(1+DD_Growth)-C71),0))</f>
        <v/>
      </c>
      <c r="I72" s="79" t="str">
        <f aca="false">IF(Need_1&lt;&gt;"","",IF(Withdrawal_Timing="Start of year",IF(H72&gt;=C72,1,0),IF(H72*(1+DD_Growth)&gt;=C72,1,0)))</f>
        <v/>
      </c>
    </row>
    <row r="73" customFormat="false" ht="15" hidden="false" customHeight="true" outlineLevel="0" collapsed="false">
      <c r="B73" s="79" t="n">
        <v>41</v>
      </c>
      <c r="C73" s="80" t="str">
        <f aca="false">IF(Need_1&lt;&gt;"","",C72*(1+Inflation_Choice))</f>
        <v/>
      </c>
      <c r="D73" s="80" t="str">
        <f aca="false">IF(Need_1&lt;&gt;"","",IF(E72=1,IF(Withdrawal_Timing="Start of year",(D72-C72)*(1+DD_Cautious),D72*(1+DD_Cautious)-C72),0))</f>
        <v/>
      </c>
      <c r="E73" s="79" t="str">
        <f aca="false">IF(Need_1&lt;&gt;"","",IF(Withdrawal_Timing="Start of year",IF(D73&gt;=C73,1,0),IF(D73*(1+DD_Cautious)&gt;=C73,1,0)))</f>
        <v/>
      </c>
      <c r="F73" s="80" t="str">
        <f aca="false">IF(Need_1&lt;&gt;"","",IF(G72=1,IF(Withdrawal_Timing="Start of year",(F72-C72)*(1+DD_Balanced),F72*(1+DD_Balanced)-C72),0))</f>
        <v/>
      </c>
      <c r="G73" s="79" t="str">
        <f aca="false">IF(Need_1&lt;&gt;"","",IF(Withdrawal_Timing="Start of year",IF(F73&gt;=C73,1,0),IF(F73*(1+DD_Balanced)&gt;=C73,1,0)))</f>
        <v/>
      </c>
      <c r="H73" s="80" t="str">
        <f aca="false">IF(Need_1&lt;&gt;"","",IF(I72=1,IF(Withdrawal_Timing="Start of year",(H72-C72)*(1+DD_Growth),H72*(1+DD_Growth)-C72),0))</f>
        <v/>
      </c>
      <c r="I73" s="79" t="str">
        <f aca="false">IF(Need_1&lt;&gt;"","",IF(Withdrawal_Timing="Start of year",IF(H73&gt;=C73,1,0),IF(H73*(1+DD_Growth)&gt;=C73,1,0)))</f>
        <v/>
      </c>
    </row>
    <row r="74" customFormat="false" ht="15" hidden="false" customHeight="true" outlineLevel="0" collapsed="false">
      <c r="B74" s="79" t="n">
        <v>42</v>
      </c>
      <c r="C74" s="80" t="str">
        <f aca="false">IF(Need_1&lt;&gt;"","",C73*(1+Inflation_Choice))</f>
        <v/>
      </c>
      <c r="D74" s="80" t="str">
        <f aca="false">IF(Need_1&lt;&gt;"","",IF(E73=1,IF(Withdrawal_Timing="Start of year",(D73-C73)*(1+DD_Cautious),D73*(1+DD_Cautious)-C73),0))</f>
        <v/>
      </c>
      <c r="E74" s="79" t="str">
        <f aca="false">IF(Need_1&lt;&gt;"","",IF(Withdrawal_Timing="Start of year",IF(D74&gt;=C74,1,0),IF(D74*(1+DD_Cautious)&gt;=C74,1,0)))</f>
        <v/>
      </c>
      <c r="F74" s="80" t="str">
        <f aca="false">IF(Need_1&lt;&gt;"","",IF(G73=1,IF(Withdrawal_Timing="Start of year",(F73-C73)*(1+DD_Balanced),F73*(1+DD_Balanced)-C73),0))</f>
        <v/>
      </c>
      <c r="G74" s="79" t="str">
        <f aca="false">IF(Need_1&lt;&gt;"","",IF(Withdrawal_Timing="Start of year",IF(F74&gt;=C74,1,0),IF(F74*(1+DD_Balanced)&gt;=C74,1,0)))</f>
        <v/>
      </c>
      <c r="H74" s="80" t="str">
        <f aca="false">IF(Need_1&lt;&gt;"","",IF(I73=1,IF(Withdrawal_Timing="Start of year",(H73-C73)*(1+DD_Growth),H73*(1+DD_Growth)-C73),0))</f>
        <v/>
      </c>
      <c r="I74" s="79" t="str">
        <f aca="false">IF(Need_1&lt;&gt;"","",IF(Withdrawal_Timing="Start of year",IF(H74&gt;=C74,1,0),IF(H74*(1+DD_Growth)&gt;=C74,1,0)))</f>
        <v/>
      </c>
    </row>
    <row r="75" customFormat="false" ht="15" hidden="false" customHeight="true" outlineLevel="0" collapsed="false">
      <c r="B75" s="79" t="n">
        <v>43</v>
      </c>
      <c r="C75" s="80" t="str">
        <f aca="false">IF(Need_1&lt;&gt;"","",C74*(1+Inflation_Choice))</f>
        <v/>
      </c>
      <c r="D75" s="80" t="str">
        <f aca="false">IF(Need_1&lt;&gt;"","",IF(E74=1,IF(Withdrawal_Timing="Start of year",(D74-C74)*(1+DD_Cautious),D74*(1+DD_Cautious)-C74),0))</f>
        <v/>
      </c>
      <c r="E75" s="79" t="str">
        <f aca="false">IF(Need_1&lt;&gt;"","",IF(Withdrawal_Timing="Start of year",IF(D75&gt;=C75,1,0),IF(D75*(1+DD_Cautious)&gt;=C75,1,0)))</f>
        <v/>
      </c>
      <c r="F75" s="80" t="str">
        <f aca="false">IF(Need_1&lt;&gt;"","",IF(G74=1,IF(Withdrawal_Timing="Start of year",(F74-C74)*(1+DD_Balanced),F74*(1+DD_Balanced)-C74),0))</f>
        <v/>
      </c>
      <c r="G75" s="79" t="str">
        <f aca="false">IF(Need_1&lt;&gt;"","",IF(Withdrawal_Timing="Start of year",IF(F75&gt;=C75,1,0),IF(F75*(1+DD_Balanced)&gt;=C75,1,0)))</f>
        <v/>
      </c>
      <c r="H75" s="80" t="str">
        <f aca="false">IF(Need_1&lt;&gt;"","",IF(I74=1,IF(Withdrawal_Timing="Start of year",(H74-C74)*(1+DD_Growth),H74*(1+DD_Growth)-C74),0))</f>
        <v/>
      </c>
      <c r="I75" s="79" t="str">
        <f aca="false">IF(Need_1&lt;&gt;"","",IF(Withdrawal_Timing="Start of year",IF(H75&gt;=C75,1,0),IF(H75*(1+DD_Growth)&gt;=C75,1,0)))</f>
        <v/>
      </c>
    </row>
    <row r="76" customFormat="false" ht="15" hidden="false" customHeight="true" outlineLevel="0" collapsed="false">
      <c r="B76" s="79" t="n">
        <v>44</v>
      </c>
      <c r="C76" s="80" t="str">
        <f aca="false">IF(Need_1&lt;&gt;"","",C75*(1+Inflation_Choice))</f>
        <v/>
      </c>
      <c r="D76" s="80" t="str">
        <f aca="false">IF(Need_1&lt;&gt;"","",IF(E75=1,IF(Withdrawal_Timing="Start of year",(D75-C75)*(1+DD_Cautious),D75*(1+DD_Cautious)-C75),0))</f>
        <v/>
      </c>
      <c r="E76" s="79" t="str">
        <f aca="false">IF(Need_1&lt;&gt;"","",IF(Withdrawal_Timing="Start of year",IF(D76&gt;=C76,1,0),IF(D76*(1+DD_Cautious)&gt;=C76,1,0)))</f>
        <v/>
      </c>
      <c r="F76" s="80" t="str">
        <f aca="false">IF(Need_1&lt;&gt;"","",IF(G75=1,IF(Withdrawal_Timing="Start of year",(F75-C75)*(1+DD_Balanced),F75*(1+DD_Balanced)-C75),0))</f>
        <v/>
      </c>
      <c r="G76" s="79" t="str">
        <f aca="false">IF(Need_1&lt;&gt;"","",IF(Withdrawal_Timing="Start of year",IF(F76&gt;=C76,1,0),IF(F76*(1+DD_Balanced)&gt;=C76,1,0)))</f>
        <v/>
      </c>
      <c r="H76" s="80" t="str">
        <f aca="false">IF(Need_1&lt;&gt;"","",IF(I75=1,IF(Withdrawal_Timing="Start of year",(H75-C75)*(1+DD_Growth),H75*(1+DD_Growth)-C75),0))</f>
        <v/>
      </c>
      <c r="I76" s="79" t="str">
        <f aca="false">IF(Need_1&lt;&gt;"","",IF(Withdrawal_Timing="Start of year",IF(H76&gt;=C76,1,0),IF(H76*(1+DD_Growth)&gt;=C76,1,0)))</f>
        <v/>
      </c>
    </row>
    <row r="77" customFormat="false" ht="15" hidden="false" customHeight="true" outlineLevel="0" collapsed="false">
      <c r="B77" s="79" t="n">
        <v>45</v>
      </c>
      <c r="C77" s="80" t="str">
        <f aca="false">IF(Need_1&lt;&gt;"","",C76*(1+Inflation_Choice))</f>
        <v/>
      </c>
      <c r="D77" s="80" t="str">
        <f aca="false">IF(Need_1&lt;&gt;"","",IF(E76=1,IF(Withdrawal_Timing="Start of year",(D76-C76)*(1+DD_Cautious),D76*(1+DD_Cautious)-C76),0))</f>
        <v/>
      </c>
      <c r="E77" s="79" t="str">
        <f aca="false">IF(Need_1&lt;&gt;"","",IF(Withdrawal_Timing="Start of year",IF(D77&gt;=C77,1,0),IF(D77*(1+DD_Cautious)&gt;=C77,1,0)))</f>
        <v/>
      </c>
      <c r="F77" s="80" t="str">
        <f aca="false">IF(Need_1&lt;&gt;"","",IF(G76=1,IF(Withdrawal_Timing="Start of year",(F76-C76)*(1+DD_Balanced),F76*(1+DD_Balanced)-C76),0))</f>
        <v/>
      </c>
      <c r="G77" s="79" t="str">
        <f aca="false">IF(Need_1&lt;&gt;"","",IF(Withdrawal_Timing="Start of year",IF(F77&gt;=C77,1,0),IF(F77*(1+DD_Balanced)&gt;=C77,1,0)))</f>
        <v/>
      </c>
      <c r="H77" s="80" t="str">
        <f aca="false">IF(Need_1&lt;&gt;"","",IF(I76=1,IF(Withdrawal_Timing="Start of year",(H76-C76)*(1+DD_Growth),H76*(1+DD_Growth)-C76),0))</f>
        <v/>
      </c>
      <c r="I77" s="79" t="str">
        <f aca="false">IF(Need_1&lt;&gt;"","",IF(Withdrawal_Timing="Start of year",IF(H77&gt;=C77,1,0),IF(H77*(1+DD_Growth)&gt;=C77,1,0)))</f>
        <v/>
      </c>
    </row>
    <row r="78" customFormat="false" ht="15" hidden="false" customHeight="true" outlineLevel="0" collapsed="false">
      <c r="B78" s="79" t="n">
        <v>46</v>
      </c>
      <c r="C78" s="80" t="str">
        <f aca="false">IF(Need_1&lt;&gt;"","",C77*(1+Inflation_Choice))</f>
        <v/>
      </c>
      <c r="D78" s="80" t="str">
        <f aca="false">IF(Need_1&lt;&gt;"","",IF(E77=1,IF(Withdrawal_Timing="Start of year",(D77-C77)*(1+DD_Cautious),D77*(1+DD_Cautious)-C77),0))</f>
        <v/>
      </c>
      <c r="E78" s="79" t="str">
        <f aca="false">IF(Need_1&lt;&gt;"","",IF(Withdrawal_Timing="Start of year",IF(D78&gt;=C78,1,0),IF(D78*(1+DD_Cautious)&gt;=C78,1,0)))</f>
        <v/>
      </c>
      <c r="F78" s="80" t="str">
        <f aca="false">IF(Need_1&lt;&gt;"","",IF(G77=1,IF(Withdrawal_Timing="Start of year",(F77-C77)*(1+DD_Balanced),F77*(1+DD_Balanced)-C77),0))</f>
        <v/>
      </c>
      <c r="G78" s="79" t="str">
        <f aca="false">IF(Need_1&lt;&gt;"","",IF(Withdrawal_Timing="Start of year",IF(F78&gt;=C78,1,0),IF(F78*(1+DD_Balanced)&gt;=C78,1,0)))</f>
        <v/>
      </c>
      <c r="H78" s="80" t="str">
        <f aca="false">IF(Need_1&lt;&gt;"","",IF(I77=1,IF(Withdrawal_Timing="Start of year",(H77-C77)*(1+DD_Growth),H77*(1+DD_Growth)-C77),0))</f>
        <v/>
      </c>
      <c r="I78" s="79" t="str">
        <f aca="false">IF(Need_1&lt;&gt;"","",IF(Withdrawal_Timing="Start of year",IF(H78&gt;=C78,1,0),IF(H78*(1+DD_Growth)&gt;=C78,1,0)))</f>
        <v/>
      </c>
    </row>
    <row r="79" customFormat="false" ht="15" hidden="false" customHeight="true" outlineLevel="0" collapsed="false">
      <c r="B79" s="79" t="n">
        <v>47</v>
      </c>
      <c r="C79" s="80" t="str">
        <f aca="false">IF(Need_1&lt;&gt;"","",C78*(1+Inflation_Choice))</f>
        <v/>
      </c>
      <c r="D79" s="80" t="str">
        <f aca="false">IF(Need_1&lt;&gt;"","",IF(E78=1,IF(Withdrawal_Timing="Start of year",(D78-C78)*(1+DD_Cautious),D78*(1+DD_Cautious)-C78),0))</f>
        <v/>
      </c>
      <c r="E79" s="79" t="str">
        <f aca="false">IF(Need_1&lt;&gt;"","",IF(Withdrawal_Timing="Start of year",IF(D79&gt;=C79,1,0),IF(D79*(1+DD_Cautious)&gt;=C79,1,0)))</f>
        <v/>
      </c>
      <c r="F79" s="80" t="str">
        <f aca="false">IF(Need_1&lt;&gt;"","",IF(G78=1,IF(Withdrawal_Timing="Start of year",(F78-C78)*(1+DD_Balanced),F78*(1+DD_Balanced)-C78),0))</f>
        <v/>
      </c>
      <c r="G79" s="79" t="str">
        <f aca="false">IF(Need_1&lt;&gt;"","",IF(Withdrawal_Timing="Start of year",IF(F79&gt;=C79,1,0),IF(F79*(1+DD_Balanced)&gt;=C79,1,0)))</f>
        <v/>
      </c>
      <c r="H79" s="80" t="str">
        <f aca="false">IF(Need_1&lt;&gt;"","",IF(I78=1,IF(Withdrawal_Timing="Start of year",(H78-C78)*(1+DD_Growth),H78*(1+DD_Growth)-C78),0))</f>
        <v/>
      </c>
      <c r="I79" s="79" t="str">
        <f aca="false">IF(Need_1&lt;&gt;"","",IF(Withdrawal_Timing="Start of year",IF(H79&gt;=C79,1,0),IF(H79*(1+DD_Growth)&gt;=C79,1,0)))</f>
        <v/>
      </c>
    </row>
    <row r="80" customFormat="false" ht="15" hidden="false" customHeight="true" outlineLevel="0" collapsed="false">
      <c r="B80" s="79" t="n">
        <v>48</v>
      </c>
      <c r="C80" s="80" t="str">
        <f aca="false">IF(Need_1&lt;&gt;"","",C79*(1+Inflation_Choice))</f>
        <v/>
      </c>
      <c r="D80" s="80" t="str">
        <f aca="false">IF(Need_1&lt;&gt;"","",IF(E79=1,IF(Withdrawal_Timing="Start of year",(D79-C79)*(1+DD_Cautious),D79*(1+DD_Cautious)-C79),0))</f>
        <v/>
      </c>
      <c r="E80" s="79" t="str">
        <f aca="false">IF(Need_1&lt;&gt;"","",IF(Withdrawal_Timing="Start of year",IF(D80&gt;=C80,1,0),IF(D80*(1+DD_Cautious)&gt;=C80,1,0)))</f>
        <v/>
      </c>
      <c r="F80" s="80" t="str">
        <f aca="false">IF(Need_1&lt;&gt;"","",IF(G79=1,IF(Withdrawal_Timing="Start of year",(F79-C79)*(1+DD_Balanced),F79*(1+DD_Balanced)-C79),0))</f>
        <v/>
      </c>
      <c r="G80" s="79" t="str">
        <f aca="false">IF(Need_1&lt;&gt;"","",IF(Withdrawal_Timing="Start of year",IF(F80&gt;=C80,1,0),IF(F80*(1+DD_Balanced)&gt;=C80,1,0)))</f>
        <v/>
      </c>
      <c r="H80" s="80" t="str">
        <f aca="false">IF(Need_1&lt;&gt;"","",IF(I79=1,IF(Withdrawal_Timing="Start of year",(H79-C79)*(1+DD_Growth),H79*(1+DD_Growth)-C79),0))</f>
        <v/>
      </c>
      <c r="I80" s="79" t="str">
        <f aca="false">IF(Need_1&lt;&gt;"","",IF(Withdrawal_Timing="Start of year",IF(H80&gt;=C80,1,0),IF(H80*(1+DD_Growth)&gt;=C80,1,0)))</f>
        <v/>
      </c>
    </row>
    <row r="81" customFormat="false" ht="15" hidden="false" customHeight="true" outlineLevel="0" collapsed="false">
      <c r="B81" s="79" t="n">
        <v>49</v>
      </c>
      <c r="C81" s="80" t="str">
        <f aca="false">IF(Need_1&lt;&gt;"","",C80*(1+Inflation_Choice))</f>
        <v/>
      </c>
      <c r="D81" s="80" t="str">
        <f aca="false">IF(Need_1&lt;&gt;"","",IF(E80=1,IF(Withdrawal_Timing="Start of year",(D80-C80)*(1+DD_Cautious),D80*(1+DD_Cautious)-C80),0))</f>
        <v/>
      </c>
      <c r="E81" s="79" t="str">
        <f aca="false">IF(Need_1&lt;&gt;"","",IF(Withdrawal_Timing="Start of year",IF(D81&gt;=C81,1,0),IF(D81*(1+DD_Cautious)&gt;=C81,1,0)))</f>
        <v/>
      </c>
      <c r="F81" s="80" t="str">
        <f aca="false">IF(Need_1&lt;&gt;"","",IF(G80=1,IF(Withdrawal_Timing="Start of year",(F80-C80)*(1+DD_Balanced),F80*(1+DD_Balanced)-C80),0))</f>
        <v/>
      </c>
      <c r="G81" s="79" t="str">
        <f aca="false">IF(Need_1&lt;&gt;"","",IF(Withdrawal_Timing="Start of year",IF(F81&gt;=C81,1,0),IF(F81*(1+DD_Balanced)&gt;=C81,1,0)))</f>
        <v/>
      </c>
      <c r="H81" s="80" t="str">
        <f aca="false">IF(Need_1&lt;&gt;"","",IF(I80=1,IF(Withdrawal_Timing="Start of year",(H80-C80)*(1+DD_Growth),H80*(1+DD_Growth)-C80),0))</f>
        <v/>
      </c>
      <c r="I81" s="79" t="str">
        <f aca="false">IF(Need_1&lt;&gt;"","",IF(Withdrawal_Timing="Start of year",IF(H81&gt;=C81,1,0),IF(H81*(1+DD_Growth)&gt;=C81,1,0)))</f>
        <v/>
      </c>
    </row>
    <row r="82" customFormat="false" ht="15" hidden="false" customHeight="true" outlineLevel="0" collapsed="false">
      <c r="B82" s="79" t="n">
        <v>50</v>
      </c>
      <c r="C82" s="80" t="str">
        <f aca="false">IF(Need_1&lt;&gt;"","",C81*(1+Inflation_Choice))</f>
        <v/>
      </c>
      <c r="D82" s="80" t="str">
        <f aca="false">IF(Need_1&lt;&gt;"","",IF(E81=1,IF(Withdrawal_Timing="Start of year",(D81-C81)*(1+DD_Cautious),D81*(1+DD_Cautious)-C81),0))</f>
        <v/>
      </c>
      <c r="E82" s="79" t="str">
        <f aca="false">IF(Need_1&lt;&gt;"","",IF(Withdrawal_Timing="Start of year",IF(D82&gt;=C82,1,0),IF(D82*(1+DD_Cautious)&gt;=C82,1,0)))</f>
        <v/>
      </c>
      <c r="F82" s="80" t="str">
        <f aca="false">IF(Need_1&lt;&gt;"","",IF(G81=1,IF(Withdrawal_Timing="Start of year",(F81-C81)*(1+DD_Balanced),F81*(1+DD_Balanced)-C81),0))</f>
        <v/>
      </c>
      <c r="G82" s="79" t="str">
        <f aca="false">IF(Need_1&lt;&gt;"","",IF(Withdrawal_Timing="Start of year",IF(F82&gt;=C82,1,0),IF(F82*(1+DD_Balanced)&gt;=C82,1,0)))</f>
        <v/>
      </c>
      <c r="H82" s="80" t="str">
        <f aca="false">IF(Need_1&lt;&gt;"","",IF(I81=1,IF(Withdrawal_Timing="Start of year",(H81-C81)*(1+DD_Growth),H81*(1+DD_Growth)-C81),0))</f>
        <v/>
      </c>
      <c r="I82" s="79" t="str">
        <f aca="false">IF(Need_1&lt;&gt;"","",IF(Withdrawal_Timing="Start of year",IF(H82&gt;=C82,1,0),IF(H82*(1+DD_Growth)&gt;=C82,1,0)))</f>
        <v/>
      </c>
    </row>
    <row r="83" customFormat="false" ht="15" hidden="false" customHeight="true" outlineLevel="0" collapsed="false">
      <c r="B83" s="79" t="n">
        <v>51</v>
      </c>
      <c r="C83" s="80" t="str">
        <f aca="false">IF(Need_1&lt;&gt;"","",C82*(1+Inflation_Choice))</f>
        <v/>
      </c>
      <c r="D83" s="80" t="str">
        <f aca="false">IF(Need_1&lt;&gt;"","",IF(E82=1,IF(Withdrawal_Timing="Start of year",(D82-C82)*(1+DD_Cautious),D82*(1+DD_Cautious)-C82),0))</f>
        <v/>
      </c>
      <c r="E83" s="79" t="str">
        <f aca="false">IF(Need_1&lt;&gt;"","",IF(Withdrawal_Timing="Start of year",IF(D83&gt;=C83,1,0),IF(D83*(1+DD_Cautious)&gt;=C83,1,0)))</f>
        <v/>
      </c>
      <c r="F83" s="80" t="str">
        <f aca="false">IF(Need_1&lt;&gt;"","",IF(G82=1,IF(Withdrawal_Timing="Start of year",(F82-C82)*(1+DD_Balanced),F82*(1+DD_Balanced)-C82),0))</f>
        <v/>
      </c>
      <c r="G83" s="79" t="str">
        <f aca="false">IF(Need_1&lt;&gt;"","",IF(Withdrawal_Timing="Start of year",IF(F83&gt;=C83,1,0),IF(F83*(1+DD_Balanced)&gt;=C83,1,0)))</f>
        <v/>
      </c>
      <c r="H83" s="80" t="str">
        <f aca="false">IF(Need_1&lt;&gt;"","",IF(I82=1,IF(Withdrawal_Timing="Start of year",(H82-C82)*(1+DD_Growth),H82*(1+DD_Growth)-C82),0))</f>
        <v/>
      </c>
      <c r="I83" s="79" t="str">
        <f aca="false">IF(Need_1&lt;&gt;"","",IF(Withdrawal_Timing="Start of year",IF(H83&gt;=C83,1,0),IF(H83*(1+DD_Growth)&gt;=C83,1,0)))</f>
        <v/>
      </c>
    </row>
    <row r="84" customFormat="false" ht="15" hidden="false" customHeight="true" outlineLevel="0" collapsed="false">
      <c r="B84" s="79" t="n">
        <v>52</v>
      </c>
      <c r="C84" s="80" t="str">
        <f aca="false">IF(Need_1&lt;&gt;"","",C83*(1+Inflation_Choice))</f>
        <v/>
      </c>
      <c r="D84" s="80" t="str">
        <f aca="false">IF(Need_1&lt;&gt;"","",IF(E83=1,IF(Withdrawal_Timing="Start of year",(D83-C83)*(1+DD_Cautious),D83*(1+DD_Cautious)-C83),0))</f>
        <v/>
      </c>
      <c r="E84" s="79" t="str">
        <f aca="false">IF(Need_1&lt;&gt;"","",IF(Withdrawal_Timing="Start of year",IF(D84&gt;=C84,1,0),IF(D84*(1+DD_Cautious)&gt;=C84,1,0)))</f>
        <v/>
      </c>
      <c r="F84" s="80" t="str">
        <f aca="false">IF(Need_1&lt;&gt;"","",IF(G83=1,IF(Withdrawal_Timing="Start of year",(F83-C83)*(1+DD_Balanced),F83*(1+DD_Balanced)-C83),0))</f>
        <v/>
      </c>
      <c r="G84" s="79" t="str">
        <f aca="false">IF(Need_1&lt;&gt;"","",IF(Withdrawal_Timing="Start of year",IF(F84&gt;=C84,1,0),IF(F84*(1+DD_Balanced)&gt;=C84,1,0)))</f>
        <v/>
      </c>
      <c r="H84" s="80" t="str">
        <f aca="false">IF(Need_1&lt;&gt;"","",IF(I83=1,IF(Withdrawal_Timing="Start of year",(H83-C83)*(1+DD_Growth),H83*(1+DD_Growth)-C83),0))</f>
        <v/>
      </c>
      <c r="I84" s="79" t="str">
        <f aca="false">IF(Need_1&lt;&gt;"","",IF(Withdrawal_Timing="Start of year",IF(H84&gt;=C84,1,0),IF(H84*(1+DD_Growth)&gt;=C84,1,0)))</f>
        <v/>
      </c>
    </row>
    <row r="85" customFormat="false" ht="15" hidden="false" customHeight="true" outlineLevel="0" collapsed="false">
      <c r="B85" s="79" t="n">
        <v>53</v>
      </c>
      <c r="C85" s="80" t="str">
        <f aca="false">IF(Need_1&lt;&gt;"","",C84*(1+Inflation_Choice))</f>
        <v/>
      </c>
      <c r="D85" s="80" t="str">
        <f aca="false">IF(Need_1&lt;&gt;"","",IF(E84=1,IF(Withdrawal_Timing="Start of year",(D84-C84)*(1+DD_Cautious),D84*(1+DD_Cautious)-C84),0))</f>
        <v/>
      </c>
      <c r="E85" s="79" t="str">
        <f aca="false">IF(Need_1&lt;&gt;"","",IF(Withdrawal_Timing="Start of year",IF(D85&gt;=C85,1,0),IF(D85*(1+DD_Cautious)&gt;=C85,1,0)))</f>
        <v/>
      </c>
      <c r="F85" s="80" t="str">
        <f aca="false">IF(Need_1&lt;&gt;"","",IF(G84=1,IF(Withdrawal_Timing="Start of year",(F84-C84)*(1+DD_Balanced),F84*(1+DD_Balanced)-C84),0))</f>
        <v/>
      </c>
      <c r="G85" s="79" t="str">
        <f aca="false">IF(Need_1&lt;&gt;"","",IF(Withdrawal_Timing="Start of year",IF(F85&gt;=C85,1,0),IF(F85*(1+DD_Balanced)&gt;=C85,1,0)))</f>
        <v/>
      </c>
      <c r="H85" s="80" t="str">
        <f aca="false">IF(Need_1&lt;&gt;"","",IF(I84=1,IF(Withdrawal_Timing="Start of year",(H84-C84)*(1+DD_Growth),H84*(1+DD_Growth)-C84),0))</f>
        <v/>
      </c>
      <c r="I85" s="79" t="str">
        <f aca="false">IF(Need_1&lt;&gt;"","",IF(Withdrawal_Timing="Start of year",IF(H85&gt;=C85,1,0),IF(H85*(1+DD_Growth)&gt;=C85,1,0)))</f>
        <v/>
      </c>
    </row>
    <row r="86" customFormat="false" ht="15" hidden="false" customHeight="true" outlineLevel="0" collapsed="false">
      <c r="B86" s="79" t="n">
        <v>54</v>
      </c>
      <c r="C86" s="80" t="str">
        <f aca="false">IF(Need_1&lt;&gt;"","",C85*(1+Inflation_Choice))</f>
        <v/>
      </c>
      <c r="D86" s="80" t="str">
        <f aca="false">IF(Need_1&lt;&gt;"","",IF(E85=1,IF(Withdrawal_Timing="Start of year",(D85-C85)*(1+DD_Cautious),D85*(1+DD_Cautious)-C85),0))</f>
        <v/>
      </c>
      <c r="E86" s="79" t="str">
        <f aca="false">IF(Need_1&lt;&gt;"","",IF(Withdrawal_Timing="Start of year",IF(D86&gt;=C86,1,0),IF(D86*(1+DD_Cautious)&gt;=C86,1,0)))</f>
        <v/>
      </c>
      <c r="F86" s="80" t="str">
        <f aca="false">IF(Need_1&lt;&gt;"","",IF(G85=1,IF(Withdrawal_Timing="Start of year",(F85-C85)*(1+DD_Balanced),F85*(1+DD_Balanced)-C85),0))</f>
        <v/>
      </c>
      <c r="G86" s="79" t="str">
        <f aca="false">IF(Need_1&lt;&gt;"","",IF(Withdrawal_Timing="Start of year",IF(F86&gt;=C86,1,0),IF(F86*(1+DD_Balanced)&gt;=C86,1,0)))</f>
        <v/>
      </c>
      <c r="H86" s="80" t="str">
        <f aca="false">IF(Need_1&lt;&gt;"","",IF(I85=1,IF(Withdrawal_Timing="Start of year",(H85-C85)*(1+DD_Growth),H85*(1+DD_Growth)-C85),0))</f>
        <v/>
      </c>
      <c r="I86" s="79" t="str">
        <f aca="false">IF(Need_1&lt;&gt;"","",IF(Withdrawal_Timing="Start of year",IF(H86&gt;=C86,1,0),IF(H86*(1+DD_Growth)&gt;=C86,1,0)))</f>
        <v/>
      </c>
    </row>
    <row r="87" customFormat="false" ht="15" hidden="false" customHeight="true" outlineLevel="0" collapsed="false">
      <c r="B87" s="79" t="n">
        <v>55</v>
      </c>
      <c r="C87" s="80" t="str">
        <f aca="false">IF(Need_1&lt;&gt;"","",C86*(1+Inflation_Choice))</f>
        <v/>
      </c>
      <c r="D87" s="80" t="str">
        <f aca="false">IF(Need_1&lt;&gt;"","",IF(E86=1,IF(Withdrawal_Timing="Start of year",(D86-C86)*(1+DD_Cautious),D86*(1+DD_Cautious)-C86),0))</f>
        <v/>
      </c>
      <c r="E87" s="79" t="str">
        <f aca="false">IF(Need_1&lt;&gt;"","",IF(Withdrawal_Timing="Start of year",IF(D87&gt;=C87,1,0),IF(D87*(1+DD_Cautious)&gt;=C87,1,0)))</f>
        <v/>
      </c>
      <c r="F87" s="80" t="str">
        <f aca="false">IF(Need_1&lt;&gt;"","",IF(G86=1,IF(Withdrawal_Timing="Start of year",(F86-C86)*(1+DD_Balanced),F86*(1+DD_Balanced)-C86),0))</f>
        <v/>
      </c>
      <c r="G87" s="79" t="str">
        <f aca="false">IF(Need_1&lt;&gt;"","",IF(Withdrawal_Timing="Start of year",IF(F87&gt;=C87,1,0),IF(F87*(1+DD_Balanced)&gt;=C87,1,0)))</f>
        <v/>
      </c>
      <c r="H87" s="80" t="str">
        <f aca="false">IF(Need_1&lt;&gt;"","",IF(I86=1,IF(Withdrawal_Timing="Start of year",(H86-C86)*(1+DD_Growth),H86*(1+DD_Growth)-C86),0))</f>
        <v/>
      </c>
      <c r="I87" s="79" t="str">
        <f aca="false">IF(Need_1&lt;&gt;"","",IF(Withdrawal_Timing="Start of year",IF(H87&gt;=C87,1,0),IF(H87*(1+DD_Growth)&gt;=C87,1,0)))</f>
        <v/>
      </c>
    </row>
    <row r="88" customFormat="false" ht="15" hidden="false" customHeight="true" outlineLevel="0" collapsed="false">
      <c r="B88" s="79" t="n">
        <v>56</v>
      </c>
      <c r="C88" s="80" t="str">
        <f aca="false">IF(Need_1&lt;&gt;"","",C87*(1+Inflation_Choice))</f>
        <v/>
      </c>
      <c r="D88" s="80" t="str">
        <f aca="false">IF(Need_1&lt;&gt;"","",IF(E87=1,IF(Withdrawal_Timing="Start of year",(D87-C87)*(1+DD_Cautious),D87*(1+DD_Cautious)-C87),0))</f>
        <v/>
      </c>
      <c r="E88" s="79" t="str">
        <f aca="false">IF(Need_1&lt;&gt;"","",IF(Withdrawal_Timing="Start of year",IF(D88&gt;=C88,1,0),IF(D88*(1+DD_Cautious)&gt;=C88,1,0)))</f>
        <v/>
      </c>
      <c r="F88" s="80" t="str">
        <f aca="false">IF(Need_1&lt;&gt;"","",IF(G87=1,IF(Withdrawal_Timing="Start of year",(F87-C87)*(1+DD_Balanced),F87*(1+DD_Balanced)-C87),0))</f>
        <v/>
      </c>
      <c r="G88" s="79" t="str">
        <f aca="false">IF(Need_1&lt;&gt;"","",IF(Withdrawal_Timing="Start of year",IF(F88&gt;=C88,1,0),IF(F88*(1+DD_Balanced)&gt;=C88,1,0)))</f>
        <v/>
      </c>
      <c r="H88" s="80" t="str">
        <f aca="false">IF(Need_1&lt;&gt;"","",IF(I87=1,IF(Withdrawal_Timing="Start of year",(H87-C87)*(1+DD_Growth),H87*(1+DD_Growth)-C87),0))</f>
        <v/>
      </c>
      <c r="I88" s="79" t="str">
        <f aca="false">IF(Need_1&lt;&gt;"","",IF(Withdrawal_Timing="Start of year",IF(H88&gt;=C88,1,0),IF(H88*(1+DD_Growth)&gt;=C88,1,0)))</f>
        <v/>
      </c>
    </row>
    <row r="89" customFormat="false" ht="15" hidden="false" customHeight="true" outlineLevel="0" collapsed="false">
      <c r="B89" s="79" t="n">
        <v>57</v>
      </c>
      <c r="C89" s="80" t="str">
        <f aca="false">IF(Need_1&lt;&gt;"","",C88*(1+Inflation_Choice))</f>
        <v/>
      </c>
      <c r="D89" s="80" t="str">
        <f aca="false">IF(Need_1&lt;&gt;"","",IF(E88=1,IF(Withdrawal_Timing="Start of year",(D88-C88)*(1+DD_Cautious),D88*(1+DD_Cautious)-C88),0))</f>
        <v/>
      </c>
      <c r="E89" s="79" t="str">
        <f aca="false">IF(Need_1&lt;&gt;"","",IF(Withdrawal_Timing="Start of year",IF(D89&gt;=C89,1,0),IF(D89*(1+DD_Cautious)&gt;=C89,1,0)))</f>
        <v/>
      </c>
      <c r="F89" s="80" t="str">
        <f aca="false">IF(Need_1&lt;&gt;"","",IF(G88=1,IF(Withdrawal_Timing="Start of year",(F88-C88)*(1+DD_Balanced),F88*(1+DD_Balanced)-C88),0))</f>
        <v/>
      </c>
      <c r="G89" s="79" t="str">
        <f aca="false">IF(Need_1&lt;&gt;"","",IF(Withdrawal_Timing="Start of year",IF(F89&gt;=C89,1,0),IF(F89*(1+DD_Balanced)&gt;=C89,1,0)))</f>
        <v/>
      </c>
      <c r="H89" s="80" t="str">
        <f aca="false">IF(Need_1&lt;&gt;"","",IF(I88=1,IF(Withdrawal_Timing="Start of year",(H88-C88)*(1+DD_Growth),H88*(1+DD_Growth)-C88),0))</f>
        <v/>
      </c>
      <c r="I89" s="79" t="str">
        <f aca="false">IF(Need_1&lt;&gt;"","",IF(Withdrawal_Timing="Start of year",IF(H89&gt;=C89,1,0),IF(H89*(1+DD_Growth)&gt;=C89,1,0)))</f>
        <v/>
      </c>
    </row>
    <row r="90" customFormat="false" ht="15" hidden="false" customHeight="true" outlineLevel="0" collapsed="false">
      <c r="B90" s="79" t="n">
        <v>58</v>
      </c>
      <c r="C90" s="80" t="str">
        <f aca="false">IF(Need_1&lt;&gt;"","",C89*(1+Inflation_Choice))</f>
        <v/>
      </c>
      <c r="D90" s="80" t="str">
        <f aca="false">IF(Need_1&lt;&gt;"","",IF(E89=1,IF(Withdrawal_Timing="Start of year",(D89-C89)*(1+DD_Cautious),D89*(1+DD_Cautious)-C89),0))</f>
        <v/>
      </c>
      <c r="E90" s="79" t="str">
        <f aca="false">IF(Need_1&lt;&gt;"","",IF(Withdrawal_Timing="Start of year",IF(D90&gt;=C90,1,0),IF(D90*(1+DD_Cautious)&gt;=C90,1,0)))</f>
        <v/>
      </c>
      <c r="F90" s="80" t="str">
        <f aca="false">IF(Need_1&lt;&gt;"","",IF(G89=1,IF(Withdrawal_Timing="Start of year",(F89-C89)*(1+DD_Balanced),F89*(1+DD_Balanced)-C89),0))</f>
        <v/>
      </c>
      <c r="G90" s="79" t="str">
        <f aca="false">IF(Need_1&lt;&gt;"","",IF(Withdrawal_Timing="Start of year",IF(F90&gt;=C90,1,0),IF(F90*(1+DD_Balanced)&gt;=C90,1,0)))</f>
        <v/>
      </c>
      <c r="H90" s="80" t="str">
        <f aca="false">IF(Need_1&lt;&gt;"","",IF(I89=1,IF(Withdrawal_Timing="Start of year",(H89-C89)*(1+DD_Growth),H89*(1+DD_Growth)-C89),0))</f>
        <v/>
      </c>
      <c r="I90" s="79" t="str">
        <f aca="false">IF(Need_1&lt;&gt;"","",IF(Withdrawal_Timing="Start of year",IF(H90&gt;=C90,1,0),IF(H90*(1+DD_Growth)&gt;=C90,1,0)))</f>
        <v/>
      </c>
    </row>
    <row r="91" customFormat="false" ht="15" hidden="false" customHeight="true" outlineLevel="0" collapsed="false">
      <c r="B91" s="79" t="n">
        <v>59</v>
      </c>
      <c r="C91" s="80" t="str">
        <f aca="false">IF(Need_1&lt;&gt;"","",C90*(1+Inflation_Choice))</f>
        <v/>
      </c>
      <c r="D91" s="80" t="str">
        <f aca="false">IF(Need_1&lt;&gt;"","",IF(E90=1,IF(Withdrawal_Timing="Start of year",(D90-C90)*(1+DD_Cautious),D90*(1+DD_Cautious)-C90),0))</f>
        <v/>
      </c>
      <c r="E91" s="79" t="str">
        <f aca="false">IF(Need_1&lt;&gt;"","",IF(Withdrawal_Timing="Start of year",IF(D91&gt;=C91,1,0),IF(D91*(1+DD_Cautious)&gt;=C91,1,0)))</f>
        <v/>
      </c>
      <c r="F91" s="80" t="str">
        <f aca="false">IF(Need_1&lt;&gt;"","",IF(G90=1,IF(Withdrawal_Timing="Start of year",(F90-C90)*(1+DD_Balanced),F90*(1+DD_Balanced)-C90),0))</f>
        <v/>
      </c>
      <c r="G91" s="79" t="str">
        <f aca="false">IF(Need_1&lt;&gt;"","",IF(Withdrawal_Timing="Start of year",IF(F91&gt;=C91,1,0),IF(F91*(1+DD_Balanced)&gt;=C91,1,0)))</f>
        <v/>
      </c>
      <c r="H91" s="80" t="str">
        <f aca="false">IF(Need_1&lt;&gt;"","",IF(I90=1,IF(Withdrawal_Timing="Start of year",(H90-C90)*(1+DD_Growth),H90*(1+DD_Growth)-C90),0))</f>
        <v/>
      </c>
      <c r="I91" s="79" t="str">
        <f aca="false">IF(Need_1&lt;&gt;"","",IF(Withdrawal_Timing="Start of year",IF(H91&gt;=C91,1,0),IF(H91*(1+DD_Growth)&gt;=C91,1,0)))</f>
        <v/>
      </c>
    </row>
    <row r="92" customFormat="false" ht="15" hidden="false" customHeight="true" outlineLevel="0" collapsed="false">
      <c r="B92" s="79" t="n">
        <v>60</v>
      </c>
      <c r="C92" s="80" t="str">
        <f aca="false">IF(Need_1&lt;&gt;"","",C91*(1+Inflation_Choice))</f>
        <v/>
      </c>
      <c r="D92" s="80" t="str">
        <f aca="false">IF(Need_1&lt;&gt;"","",IF(E91=1,IF(Withdrawal_Timing="Start of year",(D91-C91)*(1+DD_Cautious),D91*(1+DD_Cautious)-C91),0))</f>
        <v/>
      </c>
      <c r="E92" s="79" t="str">
        <f aca="false">IF(Need_1&lt;&gt;"","",IF(Withdrawal_Timing="Start of year",IF(D92&gt;=C92,1,0),IF(D92*(1+DD_Cautious)&gt;=C92,1,0)))</f>
        <v/>
      </c>
      <c r="F92" s="80" t="str">
        <f aca="false">IF(Need_1&lt;&gt;"","",IF(G91=1,IF(Withdrawal_Timing="Start of year",(F91-C91)*(1+DD_Balanced),F91*(1+DD_Balanced)-C91),0))</f>
        <v/>
      </c>
      <c r="G92" s="79" t="str">
        <f aca="false">IF(Need_1&lt;&gt;"","",IF(Withdrawal_Timing="Start of year",IF(F92&gt;=C92,1,0),IF(F92*(1+DD_Balanced)&gt;=C92,1,0)))</f>
        <v/>
      </c>
      <c r="H92" s="80" t="str">
        <f aca="false">IF(Need_1&lt;&gt;"","",IF(I91=1,IF(Withdrawal_Timing="Start of year",(H91-C91)*(1+DD_Growth),H91*(1+DD_Growth)-C91),0))</f>
        <v/>
      </c>
      <c r="I92" s="79" t="str">
        <f aca="false">IF(Need_1&lt;&gt;"","",IF(Withdrawal_Timing="Start of year",IF(H92&gt;=C92,1,0),IF(H92*(1+DD_Growth)&gt;=C92,1,0)))</f>
        <v/>
      </c>
    </row>
    <row r="95" customFormat="false" ht="15" hidden="false" customHeight="true" outlineLevel="0" collapsed="false">
      <c r="B95" s="13" t="s">
        <v>272</v>
      </c>
      <c r="C95" s="14"/>
      <c r="D95" s="14"/>
      <c r="E95" s="14"/>
      <c r="F95" s="14"/>
      <c r="G95" s="14"/>
    </row>
    <row r="96" customFormat="false" ht="27.75" hidden="false" customHeight="true" outlineLevel="0" collapsed="false">
      <c r="B96" s="46" t="s">
        <v>935</v>
      </c>
      <c r="C96" s="46"/>
      <c r="D96" s="46"/>
      <c r="E96" s="46"/>
    </row>
    <row r="97" customFormat="false" ht="13.5" hidden="false" customHeight="true" outlineLevel="0" collapsed="false">
      <c r="B97" s="46" t="s">
        <v>936</v>
      </c>
      <c r="C97" s="46"/>
      <c r="D97" s="46"/>
      <c r="E97" s="46"/>
    </row>
    <row r="98" customFormat="false" ht="13.5" hidden="false" customHeight="true" outlineLevel="0" collapsed="false">
      <c r="B98" s="47" t="s">
        <v>276</v>
      </c>
      <c r="C98" s="47"/>
      <c r="D98" s="47"/>
      <c r="E98" s="47"/>
    </row>
    <row r="99" customFormat="false" ht="13.5" hidden="false" customHeight="true" outlineLevel="0" collapsed="false">
      <c r="B99" s="46" t="s">
        <v>937</v>
      </c>
      <c r="C99" s="46"/>
      <c r="D99" s="46"/>
      <c r="E99" s="46"/>
    </row>
    <row r="100" customFormat="false" ht="13.5" hidden="false" customHeight="true" outlineLevel="0" collapsed="false">
      <c r="B100" s="46" t="s">
        <v>938</v>
      </c>
      <c r="C100" s="46"/>
      <c r="D100" s="46"/>
      <c r="E100" s="46"/>
    </row>
    <row r="102" customFormat="false" ht="15" hidden="false" customHeight="true" outlineLevel="0" collapsed="false">
      <c r="B102" s="13" t="s">
        <v>281</v>
      </c>
      <c r="C102" s="14"/>
      <c r="D102" s="14"/>
      <c r="E102" s="14"/>
      <c r="F102" s="14"/>
      <c r="G102" s="14"/>
    </row>
    <row r="103" customFormat="false" ht="15" hidden="false" customHeight="true" outlineLevel="0" collapsed="false">
      <c r="B103" s="25" t="s">
        <v>282</v>
      </c>
      <c r="C103" s="48" t="str">
        <f aca="false">"No goal"</f>
        <v>No goal</v>
      </c>
      <c r="E103" s="49" t="s">
        <v>471</v>
      </c>
    </row>
    <row r="105" customFormat="false" ht="15" hidden="false" customHeight="true" outlineLevel="0" collapsed="false">
      <c r="B105" s="13" t="s">
        <v>290</v>
      </c>
      <c r="C105" s="14"/>
      <c r="D105" s="14"/>
      <c r="E105" s="14"/>
      <c r="F105" s="14"/>
      <c r="G105" s="14"/>
    </row>
    <row r="106" customFormat="false" ht="15" hidden="false" customHeight="true" outlineLevel="0" collapsed="false">
      <c r="B106" s="52" t="s">
        <v>939</v>
      </c>
      <c r="C106" s="52" t="str">
        <f aca="false">IF(Inflation_Choice="","Choose your inflation rate to see this",IF(Yearly_Withdrawal="","Choose your yearly withdrawal to see this",IF(DD_Cautious="","Choose your cautious growth rate to see this",IF(DD_Balanced="","Choose your balanced growth rate to see this",IF(DD_Growth="","Choose your growth-style growth rate to see this",IF(Withdrawal_Timing="","Choose your withdrawal timing to see this",IF(NOT(ISNUMBER(Used_Retirement_Savings)),IF(Used_Retirement_Savings="",IF(Retirement_Savings="","Choose your retirement savings to see this",""),Used_Retirement_Savings),"")))))))</f>
        <v>Choose your inflation rate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940</v>
      </c>
      <c r="E1" s="3" t="s">
        <v>941</v>
      </c>
    </row>
    <row r="2" customFormat="false" ht="15" hidden="false" customHeight="true" outlineLevel="0" collapsed="false">
      <c r="B2" s="21" t="s">
        <v>942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943</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629</v>
      </c>
      <c r="C10" s="53"/>
      <c r="D10" s="53"/>
      <c r="E10" s="53"/>
    </row>
    <row r="11" customFormat="false" ht="15" hidden="false" customHeight="true" outlineLevel="0" collapsed="false">
      <c r="B11" s="25" t="s">
        <v>630</v>
      </c>
      <c r="C11" s="54"/>
      <c r="D11" s="27" t="s">
        <v>217</v>
      </c>
      <c r="E11" s="28" t="s">
        <v>631</v>
      </c>
      <c r="G11" s="52" t="s">
        <v>306</v>
      </c>
    </row>
    <row r="12" customFormat="false" ht="15" hidden="false" customHeight="true" outlineLevel="0" collapsed="false">
      <c r="B12" s="25" t="s">
        <v>313</v>
      </c>
      <c r="C12" s="57"/>
      <c r="D12" s="27" t="s">
        <v>314</v>
      </c>
      <c r="E12" s="28" t="s">
        <v>315</v>
      </c>
      <c r="G12" s="52" t="s">
        <v>306</v>
      </c>
    </row>
    <row r="14" customFormat="false" ht="15" hidden="false" customHeight="true" outlineLevel="0" collapsed="false">
      <c r="B14" s="13" t="s">
        <v>316</v>
      </c>
      <c r="C14" s="24" t="s">
        <v>213</v>
      </c>
      <c r="D14" s="24" t="s">
        <v>214</v>
      </c>
      <c r="E14" s="24" t="s">
        <v>215</v>
      </c>
      <c r="F14" s="14"/>
      <c r="G14" s="14"/>
    </row>
    <row r="15" customFormat="false" ht="21.75" hidden="false" customHeight="true" outlineLevel="0" collapsed="false">
      <c r="B15" s="25" t="s">
        <v>634</v>
      </c>
      <c r="C15" s="26"/>
      <c r="D15" s="27" t="s">
        <v>217</v>
      </c>
      <c r="E15" s="28" t="s">
        <v>635</v>
      </c>
      <c r="F15" s="29" t="n">
        <v>20000</v>
      </c>
      <c r="G15" s="30" t="str">
        <f aca="false">IF(ISBLANK(C15),IF(Fill_Example="Yes",F15,""),C15)</f>
        <v/>
      </c>
    </row>
    <row r="16" customFormat="false" ht="21.75" hidden="false" customHeight="true" outlineLevel="0" collapsed="false">
      <c r="B16" s="25" t="s">
        <v>944</v>
      </c>
      <c r="C16" s="34"/>
      <c r="D16" s="27" t="s">
        <v>228</v>
      </c>
      <c r="E16" s="35" t="s">
        <v>945</v>
      </c>
      <c r="F16" s="36" t="n">
        <v>0.05</v>
      </c>
      <c r="G16" s="37" t="str">
        <f aca="false">IF(ISBLANK(C16),IF(Fill_Example="Yes",F16,""),C16)</f>
        <v/>
      </c>
    </row>
    <row r="17" customFormat="false" ht="15" hidden="false" customHeight="true" outlineLevel="0" collapsed="false">
      <c r="B17" s="25" t="s">
        <v>603</v>
      </c>
      <c r="C17" s="38"/>
      <c r="D17" s="27" t="s">
        <v>231</v>
      </c>
      <c r="E17" s="28" t="s">
        <v>604</v>
      </c>
      <c r="F17" s="39" t="n">
        <v>15</v>
      </c>
      <c r="G17" s="40" t="str">
        <f aca="false">IF(ISBLANK(C17),IF(Fill_Example="Yes",F17,""),C17)</f>
        <v/>
      </c>
    </row>
    <row r="19" customFormat="false" ht="15" hidden="false" customHeight="true" outlineLevel="0" collapsed="false">
      <c r="B19" s="13" t="s">
        <v>326</v>
      </c>
      <c r="C19" s="14"/>
      <c r="D19" s="14"/>
      <c r="E19" s="14"/>
      <c r="F19" s="14"/>
      <c r="G19" s="14"/>
    </row>
    <row r="20" customFormat="false" ht="15" hidden="false" customHeight="true" outlineLevel="0" collapsed="false">
      <c r="B20" s="25" t="s">
        <v>634</v>
      </c>
      <c r="C20" s="58" t="str">
        <f aca="false">IF(ISBLANK(Stmt_Total_Value),Amount,Stmt_Total_Value)</f>
        <v/>
      </c>
      <c r="D20" s="59" t="str">
        <f aca="false">IF(ISBLANK(Stmt_Total_Value),"Your figure","From your statement")</f>
        <v>Your figure</v>
      </c>
      <c r="E20" s="49" t="s">
        <v>645</v>
      </c>
    </row>
    <row r="21" customFormat="false" ht="21.75" hidden="false" customHeight="true" outlineLevel="0" collapsed="false">
      <c r="B21" s="25" t="s">
        <v>332</v>
      </c>
      <c r="C21" s="45" t="str">
        <f aca="true">IF(ISBLANK(Stmt_Statement_Date),"",IF(TODAY()-Stmt_Statement_Date&gt;Statement_Max_Age_Days,"Needs a look: statement is more than 12 months old","Up to date"))</f>
        <v/>
      </c>
      <c r="D21" s="27"/>
      <c r="E21" s="42" t="s">
        <v>333</v>
      </c>
    </row>
    <row r="23" customFormat="false" ht="15" hidden="false" customHeight="true" outlineLevel="0" collapsed="false">
      <c r="B23" s="13" t="s">
        <v>239</v>
      </c>
      <c r="C23" s="24" t="s">
        <v>240</v>
      </c>
      <c r="D23" s="24" t="s">
        <v>241</v>
      </c>
      <c r="E23" s="24" t="s">
        <v>242</v>
      </c>
      <c r="F23" s="14"/>
      <c r="G23" s="14"/>
    </row>
    <row r="24" customFormat="false" ht="17.25" hidden="false" customHeight="true" outlineLevel="0" collapsed="false">
      <c r="B24" s="21" t="s">
        <v>946</v>
      </c>
      <c r="C24" s="41" t="str">
        <f aca="false">IF(Need_1&lt;&gt;"",Need_1,IF(Inflation_Choice="","Choose your inflation rate to see this",Future_Value/(1+Inflation_Choice)^Years))</f>
        <v>Choose your inflation rate to see this</v>
      </c>
      <c r="D24" s="27" t="s">
        <v>217</v>
      </c>
      <c r="E24" s="42" t="s">
        <v>947</v>
      </c>
    </row>
    <row r="25" customFormat="false" ht="17.25" hidden="false" customHeight="true" outlineLevel="0" collapsed="false">
      <c r="B25" s="21" t="s">
        <v>948</v>
      </c>
      <c r="C25" s="41" t="str">
        <f aca="false">IF(Need_2&lt;&gt;"",Need_2,Used_Amount*(1+Nominal_Return)^Years)</f>
        <v>Choose your return to see this</v>
      </c>
      <c r="D25" s="27" t="s">
        <v>217</v>
      </c>
      <c r="E25" s="42" t="s">
        <v>949</v>
      </c>
    </row>
    <row r="26" customFormat="false" ht="17.25" hidden="false" customHeight="true" outlineLevel="0" collapsed="false">
      <c r="B26" s="21" t="s">
        <v>950</v>
      </c>
      <c r="C26" s="81" t="str">
        <f aca="false">IF(Need_3&lt;&gt;"",Need_3,IF(Inflation_Choice="","Choose your inflation rate to see this",(1+Nominal_Return)/(1+Inflation_Choice)-1))</f>
        <v>Choose your inflation rate to see this</v>
      </c>
      <c r="D26" s="27"/>
      <c r="E26" s="42" t="s">
        <v>951</v>
      </c>
    </row>
    <row r="27" customFormat="false" ht="15" hidden="false" customHeight="true" outlineLevel="0" collapsed="false">
      <c r="B2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68"/>
      <c r="D27" s="68"/>
      <c r="E27" s="68"/>
    </row>
    <row r="29" customFormat="false" ht="15" hidden="false" customHeight="true" outlineLevel="0" collapsed="false">
      <c r="B29" s="13" t="s">
        <v>272</v>
      </c>
      <c r="C29" s="14"/>
      <c r="D29" s="14"/>
      <c r="E29" s="14"/>
      <c r="F29" s="14"/>
      <c r="G29" s="14"/>
    </row>
    <row r="30" customFormat="false" ht="13.5" hidden="false" customHeight="true" outlineLevel="0" collapsed="false">
      <c r="B30" s="46" t="s">
        <v>952</v>
      </c>
      <c r="C30" s="46"/>
      <c r="D30" s="46"/>
      <c r="E30" s="46"/>
    </row>
    <row r="31" customFormat="false" ht="13.5" hidden="false" customHeight="true" outlineLevel="0" collapsed="false">
      <c r="B31" s="46" t="s">
        <v>953</v>
      </c>
      <c r="C31" s="46"/>
      <c r="D31" s="46"/>
      <c r="E31" s="46"/>
    </row>
    <row r="32" customFormat="false" ht="13.5" hidden="false" customHeight="true" outlineLevel="0" collapsed="false">
      <c r="B32" s="47" t="s">
        <v>276</v>
      </c>
      <c r="C32" s="47"/>
      <c r="D32" s="47"/>
      <c r="E32" s="47"/>
    </row>
    <row r="33" customFormat="false" ht="13.5" hidden="false" customHeight="true" outlineLevel="0" collapsed="false">
      <c r="B33" s="46" t="s">
        <v>954</v>
      </c>
      <c r="C33" s="46"/>
      <c r="D33" s="46"/>
      <c r="E33" s="46"/>
    </row>
    <row r="35" customFormat="false" ht="15" hidden="false" customHeight="true" outlineLevel="0" collapsed="false">
      <c r="B35" s="13" t="s">
        <v>281</v>
      </c>
      <c r="C35" s="14"/>
      <c r="D35" s="14"/>
      <c r="E35" s="14"/>
      <c r="F35" s="14"/>
      <c r="G35" s="14"/>
    </row>
    <row r="36" customFormat="false" ht="15" hidden="false" customHeight="true" outlineLevel="0" collapsed="false">
      <c r="B36" s="25" t="s">
        <v>282</v>
      </c>
      <c r="C36" s="48" t="str">
        <f aca="false">"No goal"</f>
        <v>No goal</v>
      </c>
      <c r="E36" s="49" t="s">
        <v>471</v>
      </c>
    </row>
    <row r="38" customFormat="false" ht="15" hidden="false" customHeight="true" outlineLevel="0" collapsed="false">
      <c r="B38" s="13" t="s">
        <v>290</v>
      </c>
      <c r="C38" s="14"/>
      <c r="D38" s="14"/>
      <c r="E38" s="14"/>
      <c r="F38" s="14"/>
      <c r="G38" s="14"/>
    </row>
    <row r="39" customFormat="false" ht="15" hidden="false" customHeight="true" outlineLevel="0" collapsed="false">
      <c r="B39" s="52" t="s">
        <v>955</v>
      </c>
      <c r="C39" s="52" t="str">
        <f aca="false">IF(Inflation_Choice="","Choose your inflation rate to see this",IF(Nominal_Return="","Choose your return to see this",IF(Years="","Choose your years to see this",IF(NOT(ISNUMBER(Used_Amount)),IF(Used_Amount="",IF(Amount="","Choose your amount to see this",""),Used_Amount),""))))</f>
        <v>Choose your inflation rate to see this</v>
      </c>
    </row>
    <row r="40" customFormat="false" ht="15" hidden="false" customHeight="true" outlineLevel="0" collapsed="false">
      <c r="B40" s="52" t="s">
        <v>956</v>
      </c>
      <c r="C40" s="52" t="str">
        <f aca="false">IF(Nominal_Return="","Choose your return to see this",IF(Years="","Choose your years to see this",IF(NOT(ISNUMBER(Used_Amount)),IF(Used_Amount="",IF(Amount="","Choose your amount to see this",""),Used_Amount),"")))</f>
        <v>Choose your return to see this</v>
      </c>
    </row>
    <row r="41" customFormat="false" ht="15" hidden="false" customHeight="true" outlineLevel="0" collapsed="false">
      <c r="B41" s="52" t="s">
        <v>957</v>
      </c>
      <c r="C41" s="52" t="str">
        <f aca="false">IF(Inflation_Choice="","Choose your inflation rate to see this",IF(Nominal_Return="","Choose your return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ong-run 5%–6% a year; Irish rules audit B3).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958</v>
      </c>
      <c r="E1" s="3" t="s">
        <v>959</v>
      </c>
    </row>
    <row r="2" customFormat="false" ht="15" hidden="false" customHeight="true" outlineLevel="0" collapsed="false">
      <c r="B2" s="21" t="s">
        <v>960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961</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629</v>
      </c>
      <c r="C10" s="53"/>
      <c r="D10" s="53"/>
      <c r="E10" s="53"/>
    </row>
    <row r="11" customFormat="false" ht="15" hidden="false" customHeight="true" outlineLevel="0" collapsed="false">
      <c r="B11" s="25" t="s">
        <v>962</v>
      </c>
      <c r="C11" s="54"/>
      <c r="D11" s="27" t="s">
        <v>217</v>
      </c>
      <c r="E11" s="28" t="s">
        <v>963</v>
      </c>
      <c r="G11" s="52" t="s">
        <v>306</v>
      </c>
    </row>
    <row r="12" customFormat="false" ht="15" hidden="false" customHeight="true" outlineLevel="0" collapsed="false">
      <c r="B12" s="25" t="s">
        <v>632</v>
      </c>
      <c r="C12" s="55"/>
      <c r="D12" s="27" t="s">
        <v>228</v>
      </c>
      <c r="E12" s="28" t="s">
        <v>633</v>
      </c>
      <c r="G12" s="52" t="s">
        <v>306</v>
      </c>
    </row>
    <row r="13" customFormat="false" ht="15" hidden="false" customHeight="true" outlineLevel="0" collapsed="false">
      <c r="B13" s="25" t="s">
        <v>313</v>
      </c>
      <c r="C13" s="57"/>
      <c r="D13" s="27" t="s">
        <v>314</v>
      </c>
      <c r="E13" s="28" t="s">
        <v>315</v>
      </c>
      <c r="G13" s="52" t="s">
        <v>306</v>
      </c>
    </row>
    <row r="15" customFormat="false" ht="15" hidden="false" customHeight="true" outlineLevel="0" collapsed="false">
      <c r="B15" s="13" t="s">
        <v>316</v>
      </c>
      <c r="C15" s="24" t="s">
        <v>213</v>
      </c>
      <c r="D15" s="24" t="s">
        <v>214</v>
      </c>
      <c r="E15" s="24" t="s">
        <v>215</v>
      </c>
      <c r="F15" s="14"/>
      <c r="G15" s="14"/>
    </row>
    <row r="16" customFormat="false" ht="15" hidden="false" customHeight="true" outlineLevel="0" collapsed="false">
      <c r="B16" s="25" t="s">
        <v>964</v>
      </c>
      <c r="C16" s="26"/>
      <c r="D16" s="27" t="s">
        <v>217</v>
      </c>
      <c r="E16" s="28" t="s">
        <v>965</v>
      </c>
      <c r="F16" s="29" t="n">
        <v>300</v>
      </c>
      <c r="G16" s="30" t="str">
        <f aca="false">IF(ISBLANK(C16),IF(Fill_Example="Yes",F16,""),C16)</f>
        <v/>
      </c>
    </row>
    <row r="17" customFormat="false" ht="15" hidden="false" customHeight="true" outlineLevel="0" collapsed="false">
      <c r="B17" s="25" t="s">
        <v>603</v>
      </c>
      <c r="C17" s="38"/>
      <c r="D17" s="27" t="s">
        <v>231</v>
      </c>
      <c r="E17" s="28" t="s">
        <v>604</v>
      </c>
      <c r="F17" s="39" t="n">
        <v>15</v>
      </c>
      <c r="G17" s="40" t="str">
        <f aca="false">IF(ISBLANK(C17),IF(Fill_Example="Yes",F17,""),C17)</f>
        <v/>
      </c>
    </row>
    <row r="18" customFormat="false" ht="21.75" hidden="false" customHeight="true" outlineLevel="0" collapsed="false">
      <c r="B18" s="25" t="s">
        <v>966</v>
      </c>
      <c r="C18" s="34"/>
      <c r="D18" s="27" t="s">
        <v>228</v>
      </c>
      <c r="E18" s="35" t="s">
        <v>602</v>
      </c>
      <c r="F18" s="36" t="n">
        <v>0.05</v>
      </c>
      <c r="G18" s="37" t="str">
        <f aca="false">IF(ISBLANK(C18),IF(Fill_Example="Yes",F18,""),C18)</f>
        <v/>
      </c>
    </row>
    <row r="19" customFormat="false" ht="21.75" hidden="false" customHeight="true" outlineLevel="0" collapsed="false">
      <c r="B19" s="25" t="s">
        <v>637</v>
      </c>
      <c r="C19" s="34"/>
      <c r="D19" s="27" t="s">
        <v>228</v>
      </c>
      <c r="E19" s="35" t="s">
        <v>638</v>
      </c>
      <c r="F19" s="36" t="n">
        <v>0.01</v>
      </c>
      <c r="G19" s="37" t="str">
        <f aca="false">IF(ISBLANK(C19),IF(Fill_Example="Yes",F19,""),C19)</f>
        <v/>
      </c>
    </row>
    <row r="20" customFormat="false" ht="15" hidden="false" customHeight="true" outlineLevel="0" collapsed="false">
      <c r="B20" s="25" t="s">
        <v>641</v>
      </c>
      <c r="C20" s="31"/>
      <c r="D20" s="27" t="s">
        <v>224</v>
      </c>
      <c r="E20" s="28" t="s">
        <v>642</v>
      </c>
      <c r="F20" s="32" t="s">
        <v>3</v>
      </c>
      <c r="G20" s="33" t="str">
        <f aca="false">IF(ISBLANK(C20),F20,C20)</f>
        <v>No</v>
      </c>
    </row>
    <row r="22" customFormat="false" ht="15" hidden="false" customHeight="true" outlineLevel="0" collapsed="false">
      <c r="B22" s="13" t="s">
        <v>326</v>
      </c>
      <c r="C22" s="14"/>
      <c r="D22" s="14"/>
      <c r="E22" s="14"/>
      <c r="F22" s="14"/>
      <c r="G22" s="14"/>
    </row>
    <row r="23" customFormat="false" ht="15" hidden="false" customHeight="true" outlineLevel="0" collapsed="false">
      <c r="B23" s="25" t="s">
        <v>643</v>
      </c>
      <c r="C23" s="45" t="str">
        <f aca="false">IF(COUNTA(Stmt_Monthly_Invested,Stmt_Charges,Stmt_Statement_Date)&gt;0,"Yes","No")</f>
        <v>No</v>
      </c>
      <c r="D23" s="27"/>
      <c r="E23" s="42" t="s">
        <v>967</v>
      </c>
    </row>
    <row r="24" customFormat="false" ht="15" hidden="false" customHeight="true" outlineLevel="0" collapsed="false">
      <c r="B24" s="25" t="s">
        <v>964</v>
      </c>
      <c r="C24" s="58" t="str">
        <f aca="false">IF(ISBLANK(Stmt_Monthly_Invested),Monthly_Amount,Stmt_Monthly_Invested)</f>
        <v/>
      </c>
      <c r="D24" s="59" t="str">
        <f aca="false">IF(ISBLANK(Stmt_Monthly_Invested),"Your figure","From your statement")</f>
        <v>Your figure</v>
      </c>
      <c r="E24" s="49" t="s">
        <v>968</v>
      </c>
    </row>
    <row r="25" customFormat="false" ht="15" hidden="false" customHeight="true" outlineLevel="0" collapsed="false">
      <c r="B25" s="25" t="s">
        <v>637</v>
      </c>
      <c r="C25" s="60" t="str">
        <f aca="false">IF(NOT(ISBLANK(Stmt_Charges)),Stmt_Charges,IF(Statement_Uploaded="Yes",0,Yearly_Fees))</f>
        <v/>
      </c>
      <c r="D25" s="59" t="str">
        <f aca="false">IF(NOT(ISBLANK(Stmt_Charges)),"From your statement",IF(Statement_Uploaded="Yes","None shown on your statement","Your figure"))</f>
        <v>Your figure</v>
      </c>
      <c r="E25" s="49" t="s">
        <v>646</v>
      </c>
    </row>
    <row r="26" customFormat="false" ht="21.75" hidden="false" customHeight="true" outlineLevel="0" collapsed="false">
      <c r="B26" s="25" t="s">
        <v>332</v>
      </c>
      <c r="C26" s="45" t="str">
        <f aca="true">IF(ISBLANK(Stmt_Statement_Date),"",IF(TODAY()-Stmt_Statement_Date&gt;Statement_Max_Age_Days,"Needs a look: statement is more than 12 months old","Up to date"))</f>
        <v/>
      </c>
      <c r="D26" s="27"/>
      <c r="E26" s="42" t="s">
        <v>333</v>
      </c>
    </row>
    <row r="28" customFormat="false" ht="15" hidden="false" customHeight="true" outlineLevel="0" collapsed="false">
      <c r="B28" s="13" t="s">
        <v>239</v>
      </c>
      <c r="C28" s="24" t="s">
        <v>240</v>
      </c>
      <c r="D28" s="24" t="s">
        <v>241</v>
      </c>
      <c r="E28" s="24" t="s">
        <v>242</v>
      </c>
      <c r="F28" s="14"/>
      <c r="G28" s="14"/>
    </row>
    <row r="29" customFormat="false" ht="17.25" hidden="false" customHeight="true" outlineLevel="0" collapsed="false">
      <c r="B29" s="21" t="s">
        <v>969</v>
      </c>
      <c r="C29" s="41" t="str">
        <f aca="false">IF(Need_1&lt;&gt;"",Need_1,IF(Adjust_For_Inflation="Yes",Value_Today,Value_After_Fees))</f>
        <v>Choose your years to see this</v>
      </c>
      <c r="D29" s="27" t="s">
        <v>217</v>
      </c>
      <c r="E29" s="42" t="s">
        <v>970</v>
      </c>
    </row>
    <row r="30" customFormat="false" ht="15" hidden="false" customHeight="true" outlineLevel="0" collapsed="false">
      <c r="B30" s="25" t="s">
        <v>971</v>
      </c>
      <c r="C30" s="43" t="str">
        <f aca="false">IF(Need_1&lt;&gt;"",Need_1,FV((1+Growth_After_Fees)^(1/12)-1,Years*12,-Used_Monthly_Amount))</f>
        <v>Choose your years to see this</v>
      </c>
      <c r="D30" s="27" t="s">
        <v>217</v>
      </c>
      <c r="E30" s="42" t="s">
        <v>972</v>
      </c>
    </row>
    <row r="31" customFormat="false" ht="15" hidden="false" customHeight="true" outlineLevel="0" collapsed="false">
      <c r="B31" s="25" t="s">
        <v>973</v>
      </c>
      <c r="C31" s="43" t="str">
        <f aca="false">IF(Need_2&lt;&gt;"",Need_2,FV((1+Growth_Rate)^(1/12)-1,Years*12,-Used_Monthly_Amount))</f>
        <v>Choose your years to see this</v>
      </c>
      <c r="D31" s="27" t="s">
        <v>217</v>
      </c>
      <c r="E31" s="42" t="s">
        <v>974</v>
      </c>
    </row>
    <row r="32" customFormat="false" ht="17.25" hidden="false" customHeight="true" outlineLevel="0" collapsed="false">
      <c r="B32" s="21" t="s">
        <v>655</v>
      </c>
      <c r="C32" s="41" t="str">
        <f aca="false">IF(Need_1&lt;&gt;"",Need_1,Value_Before_Fees-Value_After_Fees)</f>
        <v>Choose your years to see this</v>
      </c>
      <c r="D32" s="27" t="s">
        <v>217</v>
      </c>
      <c r="E32" s="42" t="s">
        <v>975</v>
      </c>
    </row>
    <row r="33" customFormat="false" ht="15" hidden="false" customHeight="true" outlineLevel="0" collapsed="false">
      <c r="B33" s="25" t="s">
        <v>609</v>
      </c>
      <c r="C33" s="43" t="str">
        <f aca="false">IF(Need_3&lt;&gt;"",Need_3,Used_Monthly_Amount*12*Years)</f>
        <v>Choose your years to see this</v>
      </c>
      <c r="D33" s="27" t="s">
        <v>217</v>
      </c>
      <c r="E33" s="42" t="s">
        <v>976</v>
      </c>
    </row>
    <row r="34" customFormat="false" ht="15" hidden="false" customHeight="true" outlineLevel="0" collapsed="false">
      <c r="B34" s="25" t="s">
        <v>607</v>
      </c>
      <c r="C34" s="43" t="str">
        <f aca="false">IF(Need_4&lt;&gt;"",Need_4,IF(Inflation_Choice="","Choose your inflation rate to see this",Value_After_Fees/(1+Inflation_Choice)^Years))</f>
        <v>Choose your inflation rate to see this</v>
      </c>
      <c r="D34" s="27" t="s">
        <v>217</v>
      </c>
      <c r="E34" s="42" t="s">
        <v>977</v>
      </c>
    </row>
    <row r="35" customFormat="false" ht="15" hidden="false" customHeight="true" outlineLevel="0" collapsed="false">
      <c r="B35" s="25" t="s">
        <v>657</v>
      </c>
      <c r="C35" s="64" t="str">
        <f aca="false">IF(Need_5&lt;&gt;"",Need_5,(1+Growth_Rate)*(1-Used_Yearly_Fees)-1)</f>
        <v>Choose your growth rate to see this</v>
      </c>
      <c r="D35" s="27"/>
      <c r="E35" s="42" t="s">
        <v>658</v>
      </c>
    </row>
    <row r="36" customFormat="false" ht="15" hidden="false" customHeight="true" outlineLevel="0" collapsed="false">
      <c r="B36" s="25" t="s">
        <v>659</v>
      </c>
      <c r="C36" s="64" t="str">
        <f aca="false">IF(Need_6&lt;&gt;"",Need_6,IF(Inflation_Choice="","Choose your inflation rate to see this",(1+Growth_After_Fees)/(1+Inflation_Choice)-1))</f>
        <v>Choose your inflation rate to see this</v>
      </c>
      <c r="D36" s="27"/>
      <c r="E36" s="42" t="s">
        <v>660</v>
      </c>
    </row>
    <row r="37" customFormat="false" ht="15" hidden="false" customHeight="true" outlineLevel="0" collapsed="false">
      <c r="B3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68"/>
      <c r="D37" s="68"/>
      <c r="E37" s="68"/>
    </row>
    <row r="39" customFormat="false" ht="15" hidden="false" customHeight="true" outlineLevel="0" collapsed="false">
      <c r="B39" s="13" t="s">
        <v>272</v>
      </c>
      <c r="C39" s="14"/>
      <c r="D39" s="14"/>
      <c r="E39" s="14"/>
      <c r="F39" s="14"/>
      <c r="G39" s="14"/>
    </row>
    <row r="40" customFormat="false" ht="27.75" hidden="false" customHeight="true" outlineLevel="0" collapsed="false">
      <c r="B40" s="46" t="s">
        <v>978</v>
      </c>
      <c r="C40" s="46"/>
      <c r="D40" s="46"/>
      <c r="E40" s="46"/>
    </row>
    <row r="41" customFormat="false" ht="13.5" hidden="false" customHeight="true" outlineLevel="0" collapsed="false">
      <c r="B41" s="46" t="s">
        <v>979</v>
      </c>
      <c r="C41" s="46"/>
      <c r="D41" s="46"/>
      <c r="E41" s="46"/>
    </row>
    <row r="42" customFormat="false" ht="13.5" hidden="false" customHeight="true" outlineLevel="0" collapsed="false">
      <c r="B42" s="47" t="s">
        <v>276</v>
      </c>
      <c r="C42" s="47"/>
      <c r="D42" s="47"/>
      <c r="E42" s="47"/>
    </row>
    <row r="43" customFormat="false" ht="13.5" hidden="false" customHeight="true" outlineLevel="0" collapsed="false">
      <c r="B43" s="46" t="s">
        <v>980</v>
      </c>
      <c r="C43" s="46"/>
      <c r="D43" s="46"/>
      <c r="E43" s="46"/>
    </row>
    <row r="45" customFormat="false" ht="15" hidden="false" customHeight="true" outlineLevel="0" collapsed="false">
      <c r="B45" s="13" t="s">
        <v>281</v>
      </c>
      <c r="C45" s="14"/>
      <c r="D45" s="14"/>
      <c r="E45" s="14"/>
      <c r="F45" s="14"/>
      <c r="G45" s="14"/>
    </row>
    <row r="46" customFormat="false" ht="15" hidden="false" customHeight="true" outlineLevel="0" collapsed="false">
      <c r="B46" s="25" t="s">
        <v>282</v>
      </c>
      <c r="C46" s="48" t="str">
        <f aca="false">"Grow my wealth (plan kind pot)"</f>
        <v>Grow my wealth (plan kind pot)</v>
      </c>
      <c r="E46" s="49" t="s">
        <v>617</v>
      </c>
    </row>
    <row r="47" customFormat="false" ht="15" hidden="false" customHeight="true" outlineLevel="0" collapsed="false">
      <c r="B47" s="25" t="s">
        <v>618</v>
      </c>
      <c r="C47" s="50" t="str">
        <f aca="false">IF(Need_1&lt;&gt;"",Need_1,IF(Inflation_Choice="","Choose an inflation rate first",ROUND(Value_Today,0)))</f>
        <v>Choose your years to see this</v>
      </c>
      <c r="E47" s="49" t="s">
        <v>619</v>
      </c>
    </row>
    <row r="48" customFormat="false" ht="15" hidden="false" customHeight="true" outlineLevel="0" collapsed="false">
      <c r="B48" s="25" t="s">
        <v>288</v>
      </c>
      <c r="C48" s="51" t="str">
        <f aca="false">IF(Need_7&lt;&gt;"",Need_7,Years)</f>
        <v>Choose your years to see this</v>
      </c>
      <c r="E48" s="49" t="s">
        <v>584</v>
      </c>
    </row>
    <row r="49" customFormat="false" ht="15" hidden="false" customHeight="true" outlineLevel="0" collapsed="false">
      <c r="B49" s="25" t="s">
        <v>585</v>
      </c>
      <c r="C49" s="69" t="str">
        <f aca="false">IF(Inflation_Choice="","Choose an inflation rate first",Inflation_Choice)</f>
        <v>Choose an inflation rate first</v>
      </c>
      <c r="E49" s="49" t="s">
        <v>586</v>
      </c>
    </row>
    <row r="50" customFormat="false" ht="13.5" hidden="false" customHeight="true" outlineLevel="0" collapsed="false">
      <c r="B50" s="53" t="s">
        <v>981</v>
      </c>
      <c r="C50" s="53"/>
      <c r="D50" s="53"/>
      <c r="E50" s="53"/>
    </row>
    <row r="52" customFormat="false" ht="15" hidden="false" customHeight="true" outlineLevel="0" collapsed="false">
      <c r="B52" s="13" t="s">
        <v>290</v>
      </c>
      <c r="C52" s="14"/>
      <c r="D52" s="14"/>
      <c r="E52" s="14"/>
      <c r="F52" s="14"/>
      <c r="G52" s="14"/>
    </row>
    <row r="53" customFormat="false" ht="15" hidden="false" customHeight="true" outlineLevel="0" collapsed="false">
      <c r="B53" s="52" t="s">
        <v>982</v>
      </c>
      <c r="C53" s="52" t="str">
        <f aca="false">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2" t="s">
        <v>983</v>
      </c>
      <c r="C54" s="52" t="str">
        <f aca="false">IF(Years="","Choose your years to see this",IF(Growth_Rate="","Choose your growth rate to see this",IF(NOT(ISNUMBER(Used_Monthly_Amount)),IF(Used_Monthly_Amount="",IF(Monthly_Amount="","Choose your monthly amount to see this",""),Used_Monthly_Amount),"")))</f>
        <v>Choose your years to see this</v>
      </c>
    </row>
    <row r="55" customFormat="false" ht="15" hidden="false" customHeight="true" outlineLevel="0" collapsed="false">
      <c r="B55" s="52" t="s">
        <v>984</v>
      </c>
      <c r="C55" s="52" t="str">
        <f aca="false">IF(Years="","Choose your years to see this",IF(NOT(ISNUMBER(Used_Monthly_Amount)),IF(Used_Monthly_Amount="",IF(Monthly_Amount="","Choose your monthly amount to see this",""),Used_Monthly_Amount),""))</f>
        <v>Choose your years to see this</v>
      </c>
    </row>
    <row r="56" customFormat="false" ht="15" hidden="false" customHeight="true" outlineLevel="0" collapsed="false">
      <c r="B56" s="52" t="s">
        <v>985</v>
      </c>
      <c r="C56" s="52" t="str">
        <f aca="false">IF(Inflation_Choice="","Choose your inflation rate to see this",IF(Years="","Choose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inflation rate to see this</v>
      </c>
    </row>
    <row r="57" customFormat="false" ht="15" hidden="false" customHeight="true" outlineLevel="0" collapsed="false">
      <c r="B57" s="52" t="s">
        <v>670</v>
      </c>
      <c r="C57" s="52" t="str">
        <f aca="false">IF(Growth_Rate="","Choose your growth rate to see this",IF(NOT(ISNUMBER(Used_Yearly_Fees)),IF(Used_Yearly_Fees="",IF(Yearly_Fees="","Choose your yearly fees to see this",""),Used_Yearly_Fees),""))</f>
        <v>Choose your growth rate to see this</v>
      </c>
    </row>
    <row r="58" customFormat="false" ht="15" hidden="false" customHeight="true" outlineLevel="0" collapsed="false">
      <c r="B58" s="52" t="s">
        <v>671</v>
      </c>
      <c r="C58"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59" customFormat="false" ht="15" hidden="false" customHeight="true" outlineLevel="0" collapsed="false">
      <c r="B59" s="52" t="s">
        <v>624</v>
      </c>
      <c r="C59" s="52" t="str">
        <f aca="false">IF(Years="","Choose your years to see this","")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Usually between 0.5% and 1.5% a year for fund charges (provider charges; your statement shows yours). Enter your own figure.  Allowed: 0% to 3% · steps of 0.05%." promptTitle="Yearly fees" showDropDown="false" showErrorMessage="true" showInputMessage="true" sqref="C19" type="decimal">
      <formula1>0</formula1>
      <formula2>0.03</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a year (before fees)" showDropDown="false" showErrorMessage="true" showInputMessage="true" sqref="C18" type="decimal">
      <formula1>0</formula1>
      <formula2>0.08</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986</v>
      </c>
      <c r="E1" s="3" t="s">
        <v>987</v>
      </c>
    </row>
    <row r="2" customFormat="false" ht="15" hidden="false" customHeight="true" outlineLevel="0" collapsed="false">
      <c r="B2" s="21" t="s">
        <v>988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989</v>
      </c>
    </row>
    <row r="5" customFormat="false" ht="15" hidden="false" customHeight="true" outlineLevel="0" collapsed="false">
      <c r="B5" s="13" t="s">
        <v>302</v>
      </c>
      <c r="C5" s="14"/>
      <c r="D5" s="14"/>
      <c r="E5" s="14"/>
      <c r="F5" s="14"/>
      <c r="G5" s="14"/>
    </row>
    <row r="6" customFormat="false" ht="27.75" hidden="false" customHeight="true" outlineLevel="0" collapsed="false">
      <c r="B6" s="53" t="s">
        <v>629</v>
      </c>
      <c r="C6" s="53"/>
      <c r="D6" s="53"/>
      <c r="E6" s="53"/>
    </row>
    <row r="7" customFormat="false" ht="15" hidden="false" customHeight="true" outlineLevel="0" collapsed="false">
      <c r="B7" s="25" t="s">
        <v>630</v>
      </c>
      <c r="C7" s="54"/>
      <c r="D7" s="27" t="s">
        <v>217</v>
      </c>
      <c r="E7" s="28" t="s">
        <v>631</v>
      </c>
      <c r="G7" s="52" t="s">
        <v>306</v>
      </c>
    </row>
    <row r="8" customFormat="false" ht="15" hidden="false" customHeight="true" outlineLevel="0" collapsed="false">
      <c r="B8" s="25" t="s">
        <v>632</v>
      </c>
      <c r="C8" s="55"/>
      <c r="D8" s="27" t="s">
        <v>228</v>
      </c>
      <c r="E8" s="28" t="s">
        <v>633</v>
      </c>
      <c r="G8" s="52" t="s">
        <v>306</v>
      </c>
    </row>
    <row r="9" customFormat="false" ht="15" hidden="false" customHeight="true" outlineLevel="0" collapsed="false">
      <c r="B9" s="25" t="s">
        <v>313</v>
      </c>
      <c r="C9" s="57"/>
      <c r="D9" s="27" t="s">
        <v>314</v>
      </c>
      <c r="E9" s="28" t="s">
        <v>315</v>
      </c>
      <c r="G9" s="52" t="s">
        <v>306</v>
      </c>
    </row>
    <row r="11" customFormat="false" ht="15" hidden="false" customHeight="true" outlineLevel="0" collapsed="false">
      <c r="B11" s="13" t="s">
        <v>316</v>
      </c>
      <c r="C11" s="24" t="s">
        <v>213</v>
      </c>
      <c r="D11" s="24" t="s">
        <v>214</v>
      </c>
      <c r="E11" s="24" t="s">
        <v>215</v>
      </c>
      <c r="F11" s="14"/>
      <c r="G11" s="14"/>
    </row>
    <row r="12" customFormat="false" ht="21.75" hidden="false" customHeight="true" outlineLevel="0" collapsed="false">
      <c r="B12" s="25" t="s">
        <v>990</v>
      </c>
      <c r="C12" s="26"/>
      <c r="D12" s="27" t="s">
        <v>217</v>
      </c>
      <c r="E12" s="28" t="s">
        <v>991</v>
      </c>
      <c r="F12" s="29" t="n">
        <v>50000</v>
      </c>
      <c r="G12" s="30" t="str">
        <f aca="false">IF(ISBLANK(C12),IF(Fill_Example="Yes",F12,""),C12)</f>
        <v/>
      </c>
    </row>
    <row r="13" customFormat="false" ht="15" hidden="false" customHeight="true" outlineLevel="0" collapsed="false">
      <c r="B13" s="25" t="s">
        <v>603</v>
      </c>
      <c r="C13" s="38"/>
      <c r="D13" s="27" t="s">
        <v>231</v>
      </c>
      <c r="E13" s="28" t="s">
        <v>604</v>
      </c>
      <c r="F13" s="39" t="n">
        <v>20</v>
      </c>
      <c r="G13" s="40" t="str">
        <f aca="false">IF(ISBLANK(C13),IF(Fill_Example="Yes",F13,""),C13)</f>
        <v/>
      </c>
    </row>
    <row r="14" customFormat="false" ht="21.75" hidden="false" customHeight="true" outlineLevel="0" collapsed="false">
      <c r="B14" s="25" t="s">
        <v>966</v>
      </c>
      <c r="C14" s="34"/>
      <c r="D14" s="27" t="s">
        <v>228</v>
      </c>
      <c r="E14" s="35" t="s">
        <v>602</v>
      </c>
      <c r="F14" s="36" t="n">
        <v>0.05</v>
      </c>
      <c r="G14" s="37" t="str">
        <f aca="false">IF(ISBLANK(C14),IF(Fill_Example="Yes",F14,""),C14)</f>
        <v/>
      </c>
    </row>
    <row r="15" customFormat="false" ht="21.75" hidden="false" customHeight="true" outlineLevel="0" collapsed="false">
      <c r="B15" s="25" t="s">
        <v>992</v>
      </c>
      <c r="C15" s="34"/>
      <c r="D15" s="27" t="s">
        <v>228</v>
      </c>
      <c r="E15" s="35" t="s">
        <v>993</v>
      </c>
      <c r="F15" s="36" t="n">
        <v>0.005</v>
      </c>
      <c r="G15" s="37" t="str">
        <f aca="false">IF(ISBLANK(C15),IF(Fill_Example="Yes",F15,""),C15)</f>
        <v/>
      </c>
    </row>
    <row r="16" customFormat="false" ht="21.75" hidden="false" customHeight="true" outlineLevel="0" collapsed="false">
      <c r="B16" s="25" t="s">
        <v>994</v>
      </c>
      <c r="C16" s="34"/>
      <c r="D16" s="27" t="s">
        <v>228</v>
      </c>
      <c r="E16" s="35" t="s">
        <v>993</v>
      </c>
      <c r="F16" s="36" t="n">
        <v>0.015</v>
      </c>
      <c r="G16" s="37" t="str">
        <f aca="false">IF(ISBLANK(C16),IF(Fill_Example="Yes",F16,""),C16)</f>
        <v/>
      </c>
    </row>
    <row r="18" customFormat="false" ht="15" hidden="false" customHeight="true" outlineLevel="0" collapsed="false">
      <c r="B18" s="13" t="s">
        <v>326</v>
      </c>
      <c r="C18" s="14"/>
      <c r="D18" s="14"/>
      <c r="E18" s="14"/>
      <c r="F18" s="14"/>
      <c r="G18" s="14"/>
    </row>
    <row r="19" customFormat="false" ht="15" hidden="false" customHeight="true" outlineLevel="0" collapsed="false">
      <c r="B19" s="25" t="s">
        <v>643</v>
      </c>
      <c r="C19" s="45" t="str">
        <f aca="false">IF(COUNTA(Stmt_Total_Value,Stmt_Charges,Stmt_Statement_Date)&gt;0,"Yes","No")</f>
        <v>No</v>
      </c>
      <c r="D19" s="27"/>
      <c r="E19" s="42" t="s">
        <v>644</v>
      </c>
    </row>
    <row r="20" customFormat="false" ht="15" hidden="false" customHeight="true" outlineLevel="0" collapsed="false">
      <c r="B20" s="25" t="s">
        <v>990</v>
      </c>
      <c r="C20" s="58" t="str">
        <f aca="false">IF(ISBLANK(Stmt_Total_Value),Amount_Invested,Stmt_Total_Value)</f>
        <v/>
      </c>
      <c r="D20" s="59" t="str">
        <f aca="false">IF(ISBLANK(Stmt_Total_Value),"Your figure","From your statement")</f>
        <v>Your figure</v>
      </c>
      <c r="E20" s="49" t="s">
        <v>995</v>
      </c>
    </row>
    <row r="21" customFormat="false" ht="15" hidden="false" customHeight="true" outlineLevel="0" collapsed="false">
      <c r="B21" s="25" t="s">
        <v>996</v>
      </c>
      <c r="C21" s="60" t="str">
        <f aca="false">IF(NOT(ISBLANK(Stmt_Charges)),Stmt_Charges,IF(Statement_Uploaded="Yes",0,Fee_A))</f>
        <v/>
      </c>
      <c r="D21" s="59" t="str">
        <f aca="false">IF(NOT(ISBLANK(Stmt_Charges)),"From your statement",IF(Statement_Uploaded="Yes","None shown on your statement","Your figure"))</f>
        <v>Your figure</v>
      </c>
      <c r="E21" s="49" t="s">
        <v>997</v>
      </c>
    </row>
    <row r="22" customFormat="false" ht="21.75" hidden="false" customHeight="true" outlineLevel="0" collapsed="false">
      <c r="B22" s="25" t="s">
        <v>332</v>
      </c>
      <c r="C22" s="45" t="str">
        <f aca="true">IF(ISBLANK(Stmt_Statement_Date),"",IF(TODAY()-Stmt_Statement_Date&gt;Statement_Max_Age_Days,"Needs a look: statement is more than 12 months old","Up to date"))</f>
        <v/>
      </c>
      <c r="D22" s="27"/>
      <c r="E22" s="42" t="s">
        <v>333</v>
      </c>
    </row>
    <row r="24" customFormat="false" ht="15" hidden="false" customHeight="true" outlineLevel="0" collapsed="false">
      <c r="B24" s="13" t="s">
        <v>239</v>
      </c>
      <c r="C24" s="24" t="s">
        <v>240</v>
      </c>
      <c r="D24" s="24" t="s">
        <v>241</v>
      </c>
      <c r="E24" s="24" t="s">
        <v>242</v>
      </c>
      <c r="F24" s="14"/>
      <c r="G24" s="14"/>
    </row>
    <row r="25" customFormat="false" ht="17.25" hidden="false" customHeight="true" outlineLevel="0" collapsed="false">
      <c r="B25" s="21" t="s">
        <v>998</v>
      </c>
      <c r="C25" s="41" t="str">
        <f aca="false">IF(Need_1&lt;&gt;"",Need_1,ABS(Value_With_Fee_A-Value_With_Fee_B))</f>
        <v>Choose your years to see this</v>
      </c>
      <c r="D25" s="27" t="s">
        <v>217</v>
      </c>
      <c r="E25" s="42" t="s">
        <v>999</v>
      </c>
    </row>
    <row r="26" customFormat="false" ht="17.25" hidden="false" customHeight="true" outlineLevel="0" collapsed="false">
      <c r="B26" s="21" t="s">
        <v>1000</v>
      </c>
      <c r="C26" s="41" t="str">
        <f aca="false">IF(Need_2&lt;&gt;"",Need_2,Used_Amount_Invested*((1+Growth_Rate)*(1-Used_Fee_A))^Years)</f>
        <v>Choose your years to see this</v>
      </c>
      <c r="D26" s="27" t="s">
        <v>217</v>
      </c>
      <c r="E26" s="42" t="s">
        <v>1001</v>
      </c>
    </row>
    <row r="27" customFormat="false" ht="17.25" hidden="false" customHeight="true" outlineLevel="0" collapsed="false">
      <c r="B27" s="21" t="s">
        <v>1002</v>
      </c>
      <c r="C27" s="41" t="str">
        <f aca="false">IF(Need_3&lt;&gt;"",Need_3,Used_Amount_Invested*((1+Growth_Rate)*(1-Fee_B))^Years)</f>
        <v>Choose your years to see this</v>
      </c>
      <c r="D27" s="27" t="s">
        <v>217</v>
      </c>
      <c r="E27" s="42" t="s">
        <v>1003</v>
      </c>
    </row>
    <row r="28" customFormat="false" ht="15" hidden="false" customHeight="true" outlineLevel="0" collapsed="false">
      <c r="B28" s="25" t="s">
        <v>1004</v>
      </c>
      <c r="C28" s="65" t="str">
        <f aca="false">IF(Need_4&lt;&gt;"",Need_4,ABS(Fee_B-Used_Fee_A))</f>
        <v>Choose your fee B to see this</v>
      </c>
      <c r="D28" s="27" t="s">
        <v>228</v>
      </c>
      <c r="E28" s="42" t="s">
        <v>1005</v>
      </c>
    </row>
    <row r="30" customFormat="false" ht="15" hidden="false" customHeight="true" outlineLevel="0" collapsed="false">
      <c r="B30" s="13" t="s">
        <v>272</v>
      </c>
      <c r="C30" s="14"/>
      <c r="D30" s="14"/>
      <c r="E30" s="14"/>
      <c r="F30" s="14"/>
      <c r="G30" s="14"/>
    </row>
    <row r="31" customFormat="false" ht="13.5" hidden="false" customHeight="true" outlineLevel="0" collapsed="false">
      <c r="B31" s="46" t="s">
        <v>1006</v>
      </c>
      <c r="C31" s="46"/>
      <c r="D31" s="46"/>
      <c r="E31" s="46"/>
    </row>
    <row r="32" customFormat="false" ht="13.5" hidden="false" customHeight="true" outlineLevel="0" collapsed="false">
      <c r="B32" s="47" t="s">
        <v>276</v>
      </c>
      <c r="C32" s="47"/>
      <c r="D32" s="47"/>
      <c r="E32" s="47"/>
    </row>
    <row r="33" customFormat="false" ht="13.5" hidden="false" customHeight="true" outlineLevel="0" collapsed="false">
      <c r="B33" s="46" t="s">
        <v>1007</v>
      </c>
      <c r="C33" s="46"/>
      <c r="D33" s="46"/>
      <c r="E33" s="46"/>
    </row>
    <row r="35" customFormat="false" ht="15" hidden="false" customHeight="true" outlineLevel="0" collapsed="false">
      <c r="B35" s="13" t="s">
        <v>281</v>
      </c>
      <c r="C35" s="14"/>
      <c r="D35" s="14"/>
      <c r="E35" s="14"/>
      <c r="F35" s="14"/>
      <c r="G35" s="14"/>
    </row>
    <row r="36" customFormat="false" ht="15" hidden="false" customHeight="true" outlineLevel="0" collapsed="false">
      <c r="B36" s="25" t="s">
        <v>282</v>
      </c>
      <c r="C36" s="48" t="str">
        <f aca="false">"No goal"</f>
        <v>No goal</v>
      </c>
      <c r="E36" s="49" t="s">
        <v>471</v>
      </c>
    </row>
    <row r="38" customFormat="false" ht="15" hidden="false" customHeight="true" outlineLevel="0" collapsed="false">
      <c r="B38" s="13" t="s">
        <v>290</v>
      </c>
      <c r="C38" s="14"/>
      <c r="D38" s="14"/>
      <c r="E38" s="14"/>
      <c r="F38" s="14"/>
      <c r="G38" s="14"/>
    </row>
    <row r="39" customFormat="false" ht="15" hidden="false" customHeight="true" outlineLevel="0" collapsed="false">
      <c r="B39" s="52" t="s">
        <v>1008</v>
      </c>
      <c r="C39" s="52" t="str">
        <f aca="false">IF(Years="","Choose your years to see this",IF(Growth_Rate="","Choose your growth rate to see this",IF(Fee_B="","Choose your fee B to see this",IF(NOT(ISNUMBER(Used_Amount_Invested)),IF(Used_Amount_Invested="",IF(Amount_Invested="","Choose your amount invested to see this",""),Used_Amount_Invested),IF(NOT(ISNUMBER(Used_Fee_A)),IF(Used_Fee_A="",IF(Fee_A="","Choose your fee A to see this",""),Used_Fee_A),"")))))</f>
        <v>Choose your years to see this</v>
      </c>
    </row>
    <row r="40" customFormat="false" ht="15" hidden="false" customHeight="true" outlineLevel="0" collapsed="false">
      <c r="B40" s="52" t="s">
        <v>1009</v>
      </c>
      <c r="C40" s="52" t="str">
        <f aca="false">IF(Years="","Choose your years to see this",IF(Growth_Rate="","Choose your growth rate to see this",IF(NOT(ISNUMBER(Used_Amount_Invested)),IF(Used_Amount_Invested="",IF(Amount_Invested="","Choose your amount invested to see this",""),Used_Amount_Invested),IF(NOT(ISNUMBER(Used_Fee_A)),IF(Used_Fee_A="",IF(Fee_A="","Choose your fee A to see this",""),Used_Fee_A),""))))</f>
        <v>Choose your years to see this</v>
      </c>
    </row>
    <row r="41" customFormat="false" ht="15" hidden="false" customHeight="true" outlineLevel="0" collapsed="false">
      <c r="B41" s="52" t="s">
        <v>1010</v>
      </c>
      <c r="C41" s="52" t="str">
        <f aca="false">IF(Years="","Choose your years to see this",IF(Growth_Rate="","Choose your growth rate to see this",IF(Fee_B="","Choose your fee B to see this",IF(NOT(ISNUMBER(Used_Amount_Invested)),IF(Used_Amount_Invested="",IF(Amount_Invested="","Choose your amount invested to see this",""),Used_Amount_Invested),""))))</f>
        <v>Choose your years to see this</v>
      </c>
    </row>
    <row r="42" customFormat="false" ht="15" hidden="false" customHeight="true" outlineLevel="0" collapsed="false">
      <c r="B42" s="52" t="s">
        <v>1011</v>
      </c>
      <c r="C42" s="52" t="str">
        <f aca="false">IF(Fee_B="","Choose your fee B to see this",IF(NOT(ISNUMBER(Used_Fee_A)),IF(Used_Fee_A="",IF(Fee_A="","Choose your fee A to see this",""),Used_Fee_A),""))</f>
        <v>Choose your fee B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1%." errorStyle="stop" errorTitle="Outside the allowed range" operator="between" prompt="Usually between 0.5% and 1.5% a year for fund charges (provider charges; your statement shows yours). Enter your own figure.  Allowed: 0% to 3% · steps of 0.1%." promptTitle="Fee A a year" showDropDown="false" showErrorMessage="true" showInputMessage="true" sqref="C15" type="decimal">
      <formula1>0</formula1>
      <formula2>0.03</formula2>
    </dataValidation>
    <dataValidation allowBlank="true" error="Please enter 0% to 3% · steps of 0.1%." errorStyle="stop" errorTitle="Outside the allowed range" operator="between" prompt="Usually between 0.5% and 1.5% a year for fund charges (provider charges; your statement shows yours). Enter your own figure.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1012</v>
      </c>
      <c r="E1" s="3" t="s">
        <v>1013</v>
      </c>
    </row>
    <row r="2" customFormat="false" ht="15" hidden="false" customHeight="true" outlineLevel="0" collapsed="false">
      <c r="B2" s="21" t="s">
        <v>1014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1015</v>
      </c>
    </row>
    <row r="5" customFormat="false" ht="15" hidden="false" customHeight="true" outlineLevel="0" collapsed="false">
      <c r="B5" s="13" t="s">
        <v>302</v>
      </c>
      <c r="C5" s="14"/>
      <c r="D5" s="14"/>
      <c r="E5" s="14"/>
      <c r="F5" s="14"/>
      <c r="G5" s="14"/>
    </row>
    <row r="6" customFormat="false" ht="27.75" hidden="false" customHeight="true" outlineLevel="0" collapsed="false">
      <c r="B6" s="53" t="s">
        <v>629</v>
      </c>
      <c r="C6" s="53"/>
      <c r="D6" s="53"/>
      <c r="E6" s="53"/>
    </row>
    <row r="7" customFormat="false" ht="15" hidden="false" customHeight="true" outlineLevel="0" collapsed="false">
      <c r="B7" s="25" t="s">
        <v>630</v>
      </c>
      <c r="C7" s="54"/>
      <c r="D7" s="27" t="s">
        <v>217</v>
      </c>
      <c r="E7" s="28" t="s">
        <v>631</v>
      </c>
      <c r="G7" s="52" t="s">
        <v>306</v>
      </c>
    </row>
    <row r="8" customFormat="false" ht="15" hidden="false" customHeight="true" outlineLevel="0" collapsed="false">
      <c r="B8" s="25" t="s">
        <v>1016</v>
      </c>
      <c r="C8" s="55"/>
      <c r="D8" s="27" t="s">
        <v>228</v>
      </c>
      <c r="E8" s="28" t="s">
        <v>1017</v>
      </c>
      <c r="G8" s="52" t="s">
        <v>306</v>
      </c>
    </row>
    <row r="9" customFormat="false" ht="15" hidden="false" customHeight="true" outlineLevel="0" collapsed="false">
      <c r="B9" s="25" t="s">
        <v>313</v>
      </c>
      <c r="C9" s="57"/>
      <c r="D9" s="27" t="s">
        <v>314</v>
      </c>
      <c r="E9" s="28" t="s">
        <v>315</v>
      </c>
      <c r="G9" s="52" t="s">
        <v>306</v>
      </c>
    </row>
    <row r="11" customFormat="false" ht="15" hidden="false" customHeight="true" outlineLevel="0" collapsed="false">
      <c r="B11" s="13" t="s">
        <v>316</v>
      </c>
      <c r="C11" s="24" t="s">
        <v>213</v>
      </c>
      <c r="D11" s="24" t="s">
        <v>214</v>
      </c>
      <c r="E11" s="24" t="s">
        <v>215</v>
      </c>
      <c r="F11" s="14"/>
      <c r="G11" s="14"/>
    </row>
    <row r="12" customFormat="false" ht="21.75" hidden="false" customHeight="true" outlineLevel="0" collapsed="false">
      <c r="B12" s="25" t="s">
        <v>634</v>
      </c>
      <c r="C12" s="26"/>
      <c r="D12" s="27" t="s">
        <v>217</v>
      </c>
      <c r="E12" s="28" t="s">
        <v>991</v>
      </c>
      <c r="F12" s="29" t="n">
        <v>20000</v>
      </c>
      <c r="G12" s="30" t="str">
        <f aca="false">IF(ISBLANK(C12),IF(Fill_Example="Yes",F12,""),C12)</f>
        <v/>
      </c>
    </row>
    <row r="13" customFormat="false" ht="15" hidden="false" customHeight="true" outlineLevel="0" collapsed="false">
      <c r="B13" s="25" t="s">
        <v>603</v>
      </c>
      <c r="C13" s="38"/>
      <c r="D13" s="27" t="s">
        <v>231</v>
      </c>
      <c r="E13" s="28" t="s">
        <v>236</v>
      </c>
      <c r="F13" s="39" t="n">
        <v>10</v>
      </c>
      <c r="G13" s="40" t="str">
        <f aca="false">IF(ISBLANK(C13),IF(Fill_Example="Yes",F13,""),C13)</f>
        <v/>
      </c>
    </row>
    <row r="14" customFormat="false" ht="21.75" hidden="false" customHeight="true" outlineLevel="0" collapsed="false">
      <c r="B14" s="25" t="s">
        <v>1018</v>
      </c>
      <c r="C14" s="38"/>
      <c r="D14" s="27" t="s">
        <v>1019</v>
      </c>
      <c r="E14" s="35" t="s">
        <v>1020</v>
      </c>
      <c r="F14" s="39" t="n">
        <v>2</v>
      </c>
      <c r="G14" s="40" t="str">
        <f aca="false">IF(ISBLANK(C14),IF(Fill_Example="Yes",F14,""),C14)</f>
        <v/>
      </c>
    </row>
    <row r="15" customFormat="false" ht="21.75" hidden="false" customHeight="true" outlineLevel="0" collapsed="false">
      <c r="B15" s="25" t="s">
        <v>1021</v>
      </c>
      <c r="C15" s="34"/>
      <c r="D15" s="27" t="s">
        <v>228</v>
      </c>
      <c r="E15" s="35" t="s">
        <v>1022</v>
      </c>
      <c r="F15" s="36" t="n">
        <v>0.02</v>
      </c>
      <c r="G15" s="37" t="str">
        <f aca="false">IF(ISBLANK(C15),IF(Fill_Example="Yes",F15,""),C15)</f>
        <v/>
      </c>
    </row>
    <row r="16" customFormat="false" ht="21.75" hidden="false" customHeight="true" outlineLevel="0" collapsed="false">
      <c r="B16" s="25" t="s">
        <v>1023</v>
      </c>
      <c r="C16" s="34"/>
      <c r="D16" s="27" t="s">
        <v>228</v>
      </c>
      <c r="E16" s="35" t="s">
        <v>1024</v>
      </c>
      <c r="F16" s="36" t="n">
        <v>0.04</v>
      </c>
      <c r="G16" s="37" t="str">
        <f aca="false">IF(ISBLANK(C16),IF(Fill_Example="Yes",F16,""),C16)</f>
        <v/>
      </c>
    </row>
    <row r="17" customFormat="false" ht="21.75" hidden="false" customHeight="true" outlineLevel="0" collapsed="false">
      <c r="B17" s="25" t="s">
        <v>1025</v>
      </c>
      <c r="C17" s="34"/>
      <c r="D17" s="27" t="s">
        <v>228</v>
      </c>
      <c r="E17" s="35" t="s">
        <v>1026</v>
      </c>
      <c r="F17" s="36" t="n">
        <v>0.06</v>
      </c>
      <c r="G17" s="37" t="str">
        <f aca="false">IF(ISBLANK(C17),IF(Fill_Example="Yes",F17,""),C17)</f>
        <v/>
      </c>
    </row>
    <row r="18" customFormat="false" ht="21.75" hidden="false" customHeight="true" outlineLevel="0" collapsed="false">
      <c r="B18" s="25" t="s">
        <v>1027</v>
      </c>
      <c r="C18" s="34"/>
      <c r="D18" s="27" t="s">
        <v>228</v>
      </c>
      <c r="E18" s="35" t="s">
        <v>1028</v>
      </c>
      <c r="F18" s="36" t="n">
        <v>0.05</v>
      </c>
      <c r="G18" s="37" t="str">
        <f aca="false">IF(ISBLANK(C18),IF(Fill_Example="Yes",F18,""),C18)</f>
        <v/>
      </c>
    </row>
    <row r="19" customFormat="false" ht="21.75" hidden="false" customHeight="true" outlineLevel="0" collapsed="false">
      <c r="B19" s="25" t="s">
        <v>1029</v>
      </c>
      <c r="C19" s="34"/>
      <c r="D19" s="27" t="s">
        <v>228</v>
      </c>
      <c r="E19" s="35" t="s">
        <v>1030</v>
      </c>
      <c r="F19" s="36" t="n">
        <v>0.1</v>
      </c>
      <c r="G19" s="37" t="str">
        <f aca="false">IF(ISBLANK(C19),IF(Fill_Example="Yes",F19,""),C19)</f>
        <v/>
      </c>
    </row>
    <row r="20" customFormat="false" ht="21.75" hidden="false" customHeight="true" outlineLevel="0" collapsed="false">
      <c r="B20" s="25" t="s">
        <v>1031</v>
      </c>
      <c r="C20" s="34"/>
      <c r="D20" s="27" t="s">
        <v>228</v>
      </c>
      <c r="E20" s="35" t="s">
        <v>1032</v>
      </c>
      <c r="F20" s="36" t="n">
        <v>0.16</v>
      </c>
      <c r="G20" s="37" t="str">
        <f aca="false">IF(ISBLANK(C20),IF(Fill_Example="Yes",F20,""),C20)</f>
        <v/>
      </c>
    </row>
    <row r="22" customFormat="false" ht="15" hidden="false" customHeight="true" outlineLevel="0" collapsed="false">
      <c r="B22" s="13" t="s">
        <v>326</v>
      </c>
      <c r="C22" s="14"/>
      <c r="D22" s="14"/>
      <c r="E22" s="14"/>
      <c r="F22" s="14"/>
      <c r="G22" s="14"/>
    </row>
    <row r="23" customFormat="false" ht="15" hidden="false" customHeight="true" outlineLevel="0" collapsed="false">
      <c r="B23" s="25" t="s">
        <v>634</v>
      </c>
      <c r="C23" s="58" t="str">
        <f aca="false">IF(ISBLANK(Stmt_Total_Value),Amount,Stmt_Total_Value)</f>
        <v/>
      </c>
      <c r="D23" s="59" t="str">
        <f aca="false">IF(ISBLANK(Stmt_Total_Value),"Your figure","From your statement")</f>
        <v>Your figure</v>
      </c>
      <c r="E23" s="49" t="s">
        <v>645</v>
      </c>
    </row>
    <row r="24" customFormat="false" ht="15" hidden="false" customHeight="true" outlineLevel="0" collapsed="false">
      <c r="B24" s="25" t="s">
        <v>1033</v>
      </c>
      <c r="C24" s="61" t="str">
        <f aca="false">IF(ISBLANK(Stmt_Shares_Pct),Style,IF(Stmt_Shares_Pct&gt;=Shares_For_Growth,3,IF(Stmt_Shares_Pct&gt;=Shares_For_Balanced,2,1)))</f>
        <v/>
      </c>
      <c r="D24" s="59" t="str">
        <f aca="false">IF(ISBLANK(Stmt_Shares_Pct),"Your figure","From your statement (holdings in shares)")</f>
        <v>Your figure</v>
      </c>
      <c r="E24" s="49" t="s">
        <v>1034</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17.25" hidden="false" customHeight="true" outlineLevel="0" collapsed="false">
      <c r="B28" s="21" t="s">
        <v>1035</v>
      </c>
      <c r="C28" s="41" t="str">
        <f aca="false">IF(Need_1&lt;&gt;"",Need_1,Used_Amount*(1+Middle_Growth)^Years)</f>
        <v>Choose your years to see this</v>
      </c>
      <c r="D28" s="63" t="str">
        <f aca="false">IF(Need_1&lt;&gt;"",Need_1,Style_Name&amp;" · middle outcome")</f>
        <v>Choose your years to see this</v>
      </c>
      <c r="E28" s="42" t="s">
        <v>1036</v>
      </c>
    </row>
    <row r="29" customFormat="false" ht="17.25" hidden="false" customHeight="true" outlineLevel="0" collapsed="false">
      <c r="B29" s="21" t="s">
        <v>1037</v>
      </c>
      <c r="C29" s="41" t="str">
        <f aca="false">IF(Need_2&lt;&gt;"",Need_2,Used_Amount*(1+Middle_Growth-Spread)^Years)</f>
        <v>Choose your years to see this</v>
      </c>
      <c r="D29" s="27" t="s">
        <v>217</v>
      </c>
      <c r="E29" s="42" t="s">
        <v>1038</v>
      </c>
    </row>
    <row r="30" customFormat="false" ht="17.25" hidden="false" customHeight="true" outlineLevel="0" collapsed="false">
      <c r="B30" s="21" t="s">
        <v>1039</v>
      </c>
      <c r="C30" s="41" t="str">
        <f aca="false">IF(Need_2&lt;&gt;"",Need_2,Used_Amount*(1+Middle_Growth+Spread)^Years)</f>
        <v>Choose your years to see this</v>
      </c>
      <c r="D30" s="27" t="s">
        <v>217</v>
      </c>
      <c r="E30" s="42" t="s">
        <v>1040</v>
      </c>
    </row>
    <row r="31" customFormat="false" ht="15" hidden="false" customHeight="true" outlineLevel="0" collapsed="false">
      <c r="B31" s="25" t="s">
        <v>1041</v>
      </c>
      <c r="C31" s="65" t="str">
        <f aca="false">IF(Need_3&lt;&gt;"",Need_3,ROUND((Volatility*One_In_20_Z-Middle_Growth)*100,0)/100)</f>
        <v>Choose your cautious growth to see this</v>
      </c>
      <c r="D31" s="27" t="s">
        <v>228</v>
      </c>
      <c r="E31" s="42" t="s">
        <v>1042</v>
      </c>
    </row>
    <row r="32" customFormat="false" ht="15" hidden="false" customHeight="true" outlineLevel="0" collapsed="false">
      <c r="B32" s="25" t="s">
        <v>1033</v>
      </c>
      <c r="C32" s="45" t="str">
        <f aca="false">IF(Need_4&lt;&gt;"",Need_4,IF(OR(Used_Style&lt;1,Used_Style&gt;3,Used_Style&lt;&gt;INT(Used_Style)),"Choose 1, 2 or 3",INDEX(Risk_Names,Used_Style)))</f>
        <v>Choose your investment style to see this</v>
      </c>
      <c r="D32" s="27"/>
      <c r="E32" s="42" t="s">
        <v>1043</v>
      </c>
    </row>
    <row r="33" customFormat="false" ht="15" hidden="false" customHeight="true" outlineLevel="0" collapsed="false">
      <c r="B33" s="25" t="s">
        <v>1044</v>
      </c>
      <c r="C33" s="65" t="str">
        <f aca="false">IF(Need_5&lt;&gt;"",Need_5,CHOOSE(Used_Style,Mu_Cautious,Mu_Balanced,Mu_Growth))</f>
        <v>Choose your cautious growth to see this</v>
      </c>
      <c r="D33" s="27" t="s">
        <v>228</v>
      </c>
      <c r="E33" s="42" t="s">
        <v>1045</v>
      </c>
    </row>
    <row r="34" customFormat="false" ht="15" hidden="false" customHeight="true" outlineLevel="0" collapsed="false">
      <c r="B34" s="25" t="s">
        <v>1046</v>
      </c>
      <c r="C34" s="65" t="str">
        <f aca="false">IF(Need_6&lt;&gt;"",Need_6,CHOOSE(Used_Style,Vol_Cautious,Vol_Balanced,Vol_Growth))</f>
        <v>Choose your cautious volatility to see this</v>
      </c>
      <c r="D34" s="27" t="s">
        <v>228</v>
      </c>
      <c r="E34" s="42" t="s">
        <v>1047</v>
      </c>
    </row>
    <row r="35" customFormat="false" ht="15" hidden="false" customHeight="true" outlineLevel="0" collapsed="false">
      <c r="B35" s="25" t="s">
        <v>1048</v>
      </c>
      <c r="C35" s="64" t="str">
        <f aca="false">IF(Need_7&lt;&gt;"",Need_7,Volatility/SQRT(Years))</f>
        <v>Choose your years to see this</v>
      </c>
      <c r="D35" s="27"/>
      <c r="E35" s="42" t="s">
        <v>1049</v>
      </c>
    </row>
    <row r="37" customFormat="false" ht="15" hidden="false" customHeight="true" outlineLevel="0" collapsed="false">
      <c r="B37" s="13" t="s">
        <v>272</v>
      </c>
      <c r="C37" s="14"/>
      <c r="D37" s="14"/>
      <c r="E37" s="14"/>
      <c r="F37" s="14"/>
      <c r="G37" s="14"/>
    </row>
    <row r="38" customFormat="false" ht="27.75" hidden="false" customHeight="true" outlineLevel="0" collapsed="false">
      <c r="B38" s="46" t="s">
        <v>1050</v>
      </c>
      <c r="C38" s="46"/>
      <c r="D38" s="46"/>
      <c r="E38" s="46"/>
    </row>
    <row r="39" customFormat="false" ht="13.5" hidden="false" customHeight="true" outlineLevel="0" collapsed="false">
      <c r="B39" s="46" t="s">
        <v>1051</v>
      </c>
      <c r="C39" s="46"/>
      <c r="D39" s="46"/>
      <c r="E39" s="46"/>
    </row>
    <row r="40" customFormat="false" ht="13.5" hidden="false" customHeight="true" outlineLevel="0" collapsed="false">
      <c r="B40" s="47" t="s">
        <v>276</v>
      </c>
      <c r="C40" s="47"/>
      <c r="D40" s="47"/>
      <c r="E40" s="47"/>
    </row>
    <row r="41" customFormat="false" ht="13.5" hidden="false" customHeight="true" outlineLevel="0" collapsed="false">
      <c r="B41" s="46" t="s">
        <v>1052</v>
      </c>
      <c r="C41" s="46"/>
      <c r="D41" s="46"/>
      <c r="E41" s="46"/>
    </row>
    <row r="42" customFormat="false" ht="13.5" hidden="false" customHeight="true" outlineLevel="0" collapsed="false">
      <c r="B42" s="46" t="s">
        <v>1053</v>
      </c>
      <c r="C42" s="46"/>
      <c r="D42" s="46"/>
      <c r="E42" s="46"/>
    </row>
    <row r="44" customFormat="false" ht="15" hidden="false" customHeight="true" outlineLevel="0" collapsed="false">
      <c r="B44" s="13" t="s">
        <v>281</v>
      </c>
      <c r="C44" s="14"/>
      <c r="D44" s="14"/>
      <c r="E44" s="14"/>
      <c r="F44" s="14"/>
      <c r="G44" s="14"/>
    </row>
    <row r="45" customFormat="false" ht="15" hidden="false" customHeight="true" outlineLevel="0" collapsed="false">
      <c r="B45" s="25" t="s">
        <v>282</v>
      </c>
      <c r="C45" s="48" t="str">
        <f aca="false">"No goal"</f>
        <v>No goal</v>
      </c>
      <c r="E45" s="49" t="s">
        <v>471</v>
      </c>
    </row>
    <row r="47" customFormat="false" ht="15" hidden="false" customHeight="true" outlineLevel="0" collapsed="false">
      <c r="B47" s="13" t="s">
        <v>290</v>
      </c>
      <c r="C47" s="14"/>
      <c r="D47" s="14"/>
      <c r="E47" s="14"/>
      <c r="F47" s="14"/>
      <c r="G47" s="14"/>
    </row>
    <row r="48" customFormat="false" ht="15" hidden="false" customHeight="true" outlineLevel="0" collapsed="false">
      <c r="B48" s="52" t="s">
        <v>1054</v>
      </c>
      <c r="C48" s="52" t="str">
        <f aca="false">IF(Years="","Choose your years to see this",IF(Mu_Cautious="","Choose your cautious growth to see this",IF(Mu_Balanced="","Choose your balanced growth to see this",IF(Mu_Growth="","Choose your growth-style growth to see this",IF(NOT(ISNUMBER(Used_Amount)),IF(Used_Amount="",IF(Amount="","Choose your amount to see this",""),Used_Amount),IF(NOT(ISNUMBER(Used_Style)),IF(Used_Style="",IF(Style="","Choose your investment style to see this",""),Used_Style),""))))))</f>
        <v>Choose your years to see this</v>
      </c>
    </row>
    <row r="49" customFormat="false" ht="15" hidden="false" customHeight="true" outlineLevel="0" collapsed="false">
      <c r="B49" s="52" t="s">
        <v>1055</v>
      </c>
      <c r="C49" s="52" t="str">
        <f aca="false">IF(Years="","Choose your years to see this",IF(Mu_Cautious="","Choose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this",IF(NOT(ISNUMBER(Used_Amount)),IF(Used_Amount="",IF(Amount="","Choose your amount to see this",""),Used_Amount),IF(NOT(ISNUMBER(Used_Style)),IF(Used_Style="",IF(Style="","Choose your investment style to see this",""),Used_Style),"")))))))))</f>
        <v>Choose your years to see this</v>
      </c>
    </row>
    <row r="50" customFormat="false" ht="15" hidden="false" customHeight="true" outlineLevel="0" collapsed="false">
      <c r="B50" s="52" t="s">
        <v>1056</v>
      </c>
      <c r="C50" s="52" t="str">
        <f aca="false">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growth to see this</v>
      </c>
    </row>
    <row r="51" customFormat="false" ht="15" hidden="false" customHeight="true" outlineLevel="0" collapsed="false">
      <c r="B51" s="52" t="s">
        <v>1057</v>
      </c>
      <c r="C51" s="52" t="str">
        <f aca="false">IF(NOT(ISNUMBER(Used_Style)),IF(Used_Style="",IF(Style="","Choose your investment style to see this",""),Used_Style),"")</f>
        <v>Choose your investment style to see this</v>
      </c>
    </row>
    <row r="52" customFormat="false" ht="15" hidden="false" customHeight="true" outlineLevel="0" collapsed="false">
      <c r="B52" s="52" t="s">
        <v>1058</v>
      </c>
      <c r="C52" s="52" t="str">
        <f aca="false">IF(Mu_Cautious="","Choose your cautious growth to see this",IF(Mu_Balanced="","Choose your balanced growth to see this",IF(Mu_Growth="","Choose your growth-style growth to see this",IF(NOT(ISNUMBER(Used_Style)),IF(Used_Style="",IF(Style="","Choose your investment style to see this",""),Used_Style),""))))</f>
        <v>Choose your cautious growth to see this</v>
      </c>
    </row>
    <row r="53" customFormat="false" ht="15" hidden="false" customHeight="true" outlineLevel="0" collapsed="false">
      <c r="B53" s="52" t="s">
        <v>1059</v>
      </c>
      <c r="C53" s="52" t="str">
        <f aca="false">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volatility to see this</v>
      </c>
    </row>
    <row r="54" customFormat="false" ht="15" hidden="false" customHeight="true" outlineLevel="0" collapsed="false">
      <c r="B54" s="52" t="s">
        <v>1060</v>
      </c>
      <c r="C54" s="52" t="str">
        <f aca="false">IF(Years="","Choose your years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years to see this</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1061</v>
      </c>
      <c r="E1" s="3" t="s">
        <v>1062</v>
      </c>
    </row>
    <row r="2" customFormat="false" ht="15" hidden="false" customHeight="true" outlineLevel="0" collapsed="false">
      <c r="B2" s="21" t="s">
        <v>1063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1064</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313</v>
      </c>
      <c r="C8" s="57"/>
      <c r="D8" s="27" t="s">
        <v>314</v>
      </c>
      <c r="E8" s="28" t="s">
        <v>315</v>
      </c>
      <c r="G8" s="52" t="s">
        <v>306</v>
      </c>
    </row>
    <row r="10" customFormat="false" ht="15" hidden="false" customHeight="true" outlineLevel="0" collapsed="false">
      <c r="B10" s="13" t="s">
        <v>316</v>
      </c>
      <c r="C10" s="24" t="s">
        <v>213</v>
      </c>
      <c r="D10" s="24" t="s">
        <v>214</v>
      </c>
      <c r="E10" s="24" t="s">
        <v>215</v>
      </c>
      <c r="F10" s="14"/>
      <c r="G10" s="14"/>
    </row>
    <row r="11" customFormat="false" ht="21.75" hidden="false" customHeight="true" outlineLevel="0" collapsed="false">
      <c r="B11" s="25" t="s">
        <v>216</v>
      </c>
      <c r="C11" s="26"/>
      <c r="D11" s="27" t="s">
        <v>217</v>
      </c>
      <c r="E11" s="28" t="s">
        <v>1065</v>
      </c>
      <c r="F11" s="29" t="n">
        <v>60000</v>
      </c>
      <c r="G11" s="30" t="str">
        <f aca="false">IF(ISBLANK(C11),IF(Fill_Example="Yes",F11,""),C11)</f>
        <v/>
      </c>
    </row>
    <row r="12" customFormat="false" ht="21.75" hidden="false" customHeight="true" outlineLevel="0" collapsed="false">
      <c r="B12" s="25" t="s">
        <v>1066</v>
      </c>
      <c r="C12" s="38"/>
      <c r="D12" s="27" t="s">
        <v>231</v>
      </c>
      <c r="E12" s="35" t="s">
        <v>1067</v>
      </c>
      <c r="F12" s="39" t="n">
        <v>15</v>
      </c>
      <c r="G12" s="40" t="str">
        <f aca="false">IF(ISBLANK(C12),IF(Fill_Example="Yes",F12,""),C12)</f>
        <v/>
      </c>
    </row>
    <row r="13" customFormat="false" ht="21.75" hidden="false" customHeight="true" outlineLevel="0" collapsed="false">
      <c r="B13" s="25" t="s">
        <v>1068</v>
      </c>
      <c r="C13" s="34"/>
      <c r="D13" s="27" t="s">
        <v>228</v>
      </c>
      <c r="E13" s="35" t="s">
        <v>1069</v>
      </c>
      <c r="F13" s="36" t="n">
        <v>0.6</v>
      </c>
      <c r="G13" s="37" t="str">
        <f aca="false">IF(ISBLANK(C13),IF(Fill_Example="Yes",F13,""),C13)</f>
        <v/>
      </c>
    </row>
    <row r="14" customFormat="false" ht="21.75" hidden="false" customHeight="true" outlineLevel="0" collapsed="false">
      <c r="B14" s="25" t="s">
        <v>409</v>
      </c>
      <c r="C14" s="26"/>
      <c r="D14" s="27" t="s">
        <v>217</v>
      </c>
      <c r="E14" s="28" t="s">
        <v>1070</v>
      </c>
      <c r="F14" s="29" t="n">
        <v>250000</v>
      </c>
      <c r="G14" s="30" t="str">
        <f aca="false">IF(ISBLANK(C14),IF(Fill_Example="Yes",F14,""),C14)</f>
        <v/>
      </c>
    </row>
    <row r="15" customFormat="false" ht="15" hidden="false" customHeight="true" outlineLevel="0" collapsed="false">
      <c r="B15" s="25" t="s">
        <v>1071</v>
      </c>
      <c r="C15" s="31"/>
      <c r="D15" s="27" t="s">
        <v>224</v>
      </c>
      <c r="E15" s="28" t="s">
        <v>1072</v>
      </c>
      <c r="F15" s="32" t="s">
        <v>226</v>
      </c>
      <c r="G15" s="33" t="str">
        <f aca="false">IF(ISBLANK(C15),IF(Fill_Example="Yes",F15,""),C15)</f>
        <v/>
      </c>
    </row>
    <row r="16" customFormat="false" ht="21.75" hidden="false" customHeight="true" outlineLevel="0" collapsed="false">
      <c r="B16" s="25" t="s">
        <v>1073</v>
      </c>
      <c r="C16" s="26"/>
      <c r="D16" s="27" t="s">
        <v>217</v>
      </c>
      <c r="E16" s="28" t="s">
        <v>1074</v>
      </c>
      <c r="F16" s="29" t="n">
        <v>10000</v>
      </c>
      <c r="G16" s="30" t="str">
        <f aca="false">IF(ISBLANK(C16),IF(Fill_Example="Yes",F16,""),C16)</f>
        <v/>
      </c>
    </row>
    <row r="17" customFormat="false" ht="21.75" hidden="false" customHeight="true" outlineLevel="0" collapsed="false">
      <c r="B17" s="25" t="s">
        <v>1075</v>
      </c>
      <c r="C17" s="26"/>
      <c r="D17" s="27" t="s">
        <v>217</v>
      </c>
      <c r="E17" s="28" t="s">
        <v>1076</v>
      </c>
      <c r="F17" s="29" t="n">
        <v>20000</v>
      </c>
      <c r="G17" s="30" t="str">
        <f aca="false">IF(ISBLANK(C17),IF(Fill_Example="Yes",F17,""),C17)</f>
        <v/>
      </c>
    </row>
    <row r="18" customFormat="false" ht="15" hidden="false" customHeight="true" outlineLevel="0" collapsed="false">
      <c r="B18" s="25" t="s">
        <v>1077</v>
      </c>
      <c r="C18" s="26"/>
      <c r="D18" s="27" t="s">
        <v>217</v>
      </c>
      <c r="E18" s="28" t="s">
        <v>1078</v>
      </c>
      <c r="F18" s="29" t="n">
        <v>100000</v>
      </c>
      <c r="G18" s="30" t="str">
        <f aca="false">IF(ISBLANK(C18),IF(Fill_Example="Yes",F18,""),C18)</f>
        <v/>
      </c>
    </row>
    <row r="19" customFormat="false" ht="33" hidden="false" customHeight="true" outlineLevel="0" collapsed="false">
      <c r="B19" s="25" t="s">
        <v>1079</v>
      </c>
      <c r="C19" s="82"/>
      <c r="D19" s="27" t="s">
        <v>1080</v>
      </c>
      <c r="E19" s="35" t="s">
        <v>1081</v>
      </c>
      <c r="F19" s="83" t="n">
        <f aca="false">Survivor_Pension_Week</f>
        <v>259.5</v>
      </c>
      <c r="G19" s="84" t="str">
        <f aca="false">IF(ISBLANK(C19),IF(Fill_Example="Yes",F19,""),C19)</f>
        <v/>
      </c>
    </row>
    <row r="21" customFormat="false" ht="15" hidden="false" customHeight="true" outlineLevel="0" collapsed="false">
      <c r="B21" s="13" t="s">
        <v>326</v>
      </c>
      <c r="C21" s="14"/>
      <c r="D21" s="14"/>
      <c r="E21" s="14"/>
      <c r="F21" s="14"/>
      <c r="G21" s="14"/>
    </row>
    <row r="22" customFormat="false" ht="15" hidden="false" customHeight="true" outlineLevel="0" collapsed="false">
      <c r="B22" s="25" t="s">
        <v>409</v>
      </c>
      <c r="C22" s="58" t="str">
        <f aca="false">IF(ISBLANK(Stmt_Balance),Mortgage_Balance,Stmt_Balance)</f>
        <v/>
      </c>
      <c r="D22" s="59" t="str">
        <f aca="false">IF(ISBLANK(Stmt_Balance),"Your figure","From your statement")</f>
        <v>Your figure</v>
      </c>
      <c r="E22" s="49" t="s">
        <v>416</v>
      </c>
    </row>
    <row r="23" customFormat="false" ht="21.75" hidden="false" customHeight="true" outlineLevel="0" collapsed="false">
      <c r="B23" s="25" t="s">
        <v>332</v>
      </c>
      <c r="C23" s="45" t="str">
        <f aca="true">IF(ISBLANK(Stmt_Statement_Date),"",IF(TODAY()-Stmt_Statement_Date&gt;Statement_Max_Age_Days,"Needs a look: statement is more than 12 months old","Up to date"))</f>
        <v/>
      </c>
      <c r="D23" s="27"/>
      <c r="E23" s="42" t="s">
        <v>333</v>
      </c>
    </row>
    <row r="25" customFormat="false" ht="15" hidden="false" customHeight="true" outlineLevel="0" collapsed="false">
      <c r="B25" s="13" t="s">
        <v>239</v>
      </c>
      <c r="C25" s="24" t="s">
        <v>240</v>
      </c>
      <c r="D25" s="24" t="s">
        <v>241</v>
      </c>
      <c r="E25" s="24" t="s">
        <v>242</v>
      </c>
      <c r="F25" s="14"/>
      <c r="G25" s="14"/>
    </row>
    <row r="26" customFormat="false" ht="17.25" hidden="false" customHeight="true" outlineLevel="0" collapsed="false">
      <c r="B26" s="21" t="s">
        <v>1082</v>
      </c>
      <c r="C26" s="41" t="str">
        <f aca="false">IF(Need_1&lt;&gt;"",Need_1,MAX(0,Income_Need+Debts_To_Clear-Already_Have))</f>
        <v>Choose your gross yearly income to see this</v>
      </c>
      <c r="D26" s="27" t="s">
        <v>217</v>
      </c>
      <c r="E26" s="42" t="s">
        <v>1083</v>
      </c>
    </row>
    <row r="27" customFormat="false" ht="17.25" hidden="false" customHeight="true" outlineLevel="0" collapsed="false">
      <c r="B27" s="21" t="s">
        <v>1084</v>
      </c>
      <c r="C27" s="41" t="str">
        <f aca="false">IF(Need_2&lt;&gt;"",Need_2,MAX(0,Yearly_Income*Life_Replace-Survivor_Pension*Weeks_Per_Year)*Years_Support)</f>
        <v>Choose your gross yearly income to see this</v>
      </c>
      <c r="D27" s="27" t="s">
        <v>217</v>
      </c>
      <c r="E27" s="42" t="s">
        <v>1085</v>
      </c>
    </row>
    <row r="28" customFormat="false" ht="17.25" hidden="false" customHeight="true" outlineLevel="0" collapsed="false">
      <c r="B28" s="21" t="s">
        <v>1086</v>
      </c>
      <c r="C28" s="41" t="str">
        <f aca="false">IF(Need_3&lt;&gt;"",Need_3,IF(Mortgage_Protected="Yes",0,Used_Mortgage_Balance)+Other_Debts)</f>
        <v>Choose your mortgage protection answer to see this</v>
      </c>
      <c r="D28" s="27" t="s">
        <v>217</v>
      </c>
      <c r="E28" s="42" t="s">
        <v>1087</v>
      </c>
    </row>
    <row r="29" customFormat="false" ht="15" hidden="false" customHeight="true" outlineLevel="0" collapsed="false">
      <c r="B29" s="25" t="s">
        <v>1088</v>
      </c>
      <c r="C29" s="43" t="str">
        <f aca="false">IF(Need_4&lt;&gt;"",Need_4,Existing_Cover+Savings)</f>
        <v>Choose your savings &amp; investments to see this</v>
      </c>
      <c r="D29" s="27" t="s">
        <v>217</v>
      </c>
      <c r="E29" s="42" t="s">
        <v>1089</v>
      </c>
    </row>
    <row r="30" customFormat="false" ht="15" hidden="false" customHeight="true" outlineLevel="0" collapsed="false">
      <c r="B30" s="25" t="s">
        <v>1090</v>
      </c>
      <c r="C30" s="43" t="str">
        <f aca="false">IF(Need_5&lt;&gt;"",Need_5,Yearly_Income*Life_Replace*Years_Support)</f>
        <v>Choose your gross yearly income to see this</v>
      </c>
      <c r="D30" s="27" t="s">
        <v>217</v>
      </c>
      <c r="E30" s="42" t="s">
        <v>1091</v>
      </c>
    </row>
    <row r="32" customFormat="false" ht="15" hidden="false" customHeight="true" outlineLevel="0" collapsed="false">
      <c r="B32" s="13" t="s">
        <v>272</v>
      </c>
      <c r="C32" s="14"/>
      <c r="D32" s="14"/>
      <c r="E32" s="14"/>
      <c r="F32" s="14"/>
      <c r="G32" s="14"/>
    </row>
    <row r="33" customFormat="false" ht="13.5" hidden="false" customHeight="true" outlineLevel="0" collapsed="false">
      <c r="B33" s="46" t="s">
        <v>1092</v>
      </c>
      <c r="C33" s="46"/>
      <c r="D33" s="46"/>
      <c r="E33" s="46"/>
    </row>
    <row r="34" customFormat="false" ht="27.75" hidden="false" customHeight="true" outlineLevel="0" collapsed="false">
      <c r="B34" s="46" t="s">
        <v>1093</v>
      </c>
      <c r="C34" s="46"/>
      <c r="D34" s="46"/>
      <c r="E34" s="46"/>
    </row>
    <row r="35" customFormat="false" ht="13.5" hidden="false" customHeight="true" outlineLevel="0" collapsed="false">
      <c r="B35" s="46" t="s">
        <v>1094</v>
      </c>
      <c r="C35" s="46"/>
      <c r="D35" s="46"/>
      <c r="E35" s="46"/>
    </row>
    <row r="36" customFormat="false" ht="13.5" hidden="false" customHeight="true" outlineLevel="0" collapsed="false">
      <c r="B36" s="47" t="s">
        <v>276</v>
      </c>
      <c r="C36" s="47"/>
      <c r="D36" s="47"/>
      <c r="E36" s="47"/>
    </row>
    <row r="37" customFormat="false" ht="13.5" hidden="false" customHeight="true" outlineLevel="0" collapsed="false">
      <c r="B37" s="46" t="s">
        <v>1095</v>
      </c>
      <c r="C37" s="46"/>
      <c r="D37" s="46"/>
      <c r="E37" s="46"/>
    </row>
    <row r="38" customFormat="false" ht="13.5" hidden="false" customHeight="true" outlineLevel="0" collapsed="false">
      <c r="B38" s="46" t="s">
        <v>1096</v>
      </c>
      <c r="C38" s="46"/>
      <c r="D38" s="46"/>
      <c r="E38" s="46"/>
    </row>
    <row r="40" customFormat="false" ht="15" hidden="false" customHeight="true" outlineLevel="0" collapsed="false">
      <c r="B40" s="13" t="s">
        <v>281</v>
      </c>
      <c r="C40" s="14"/>
      <c r="D40" s="14"/>
      <c r="E40" s="14"/>
      <c r="F40" s="14"/>
      <c r="G40" s="14"/>
    </row>
    <row r="41" customFormat="false" ht="15" hidden="false" customHeight="true" outlineLevel="0" collapsed="false">
      <c r="B41" s="25" t="s">
        <v>282</v>
      </c>
      <c r="C41" s="48" t="str">
        <f aca="false">"No goal: record a protection need for the adviser"</f>
        <v>No goal: record a protection need for the adviser</v>
      </c>
      <c r="E41" s="49" t="s">
        <v>1097</v>
      </c>
    </row>
    <row r="42" customFormat="false" ht="15" hidden="false" customHeight="true" outlineLevel="0" collapsed="false">
      <c r="B42" s="25" t="s">
        <v>1098</v>
      </c>
      <c r="C42" s="50" t="str">
        <f aca="false">IF(Need_1&lt;&gt;"",Need_1,Cover_Gap)</f>
        <v>Choose your gross yearly income to see this</v>
      </c>
      <c r="E42" s="49" t="s">
        <v>1099</v>
      </c>
    </row>
    <row r="43" customFormat="false" ht="13.5" hidden="false" customHeight="true" outlineLevel="0" collapsed="false">
      <c r="B43" s="53" t="s">
        <v>1100</v>
      </c>
      <c r="C43" s="53"/>
      <c r="D43" s="53"/>
      <c r="E43" s="53"/>
    </row>
    <row r="45" customFormat="false" ht="15" hidden="false" customHeight="true" outlineLevel="0" collapsed="false">
      <c r="B45" s="13" t="s">
        <v>290</v>
      </c>
      <c r="C45" s="14"/>
      <c r="D45" s="14"/>
      <c r="E45" s="14"/>
      <c r="F45" s="14"/>
      <c r="G45" s="14"/>
    </row>
    <row r="46" customFormat="false" ht="15" hidden="false" customHeight="true" outlineLevel="0" collapsed="false">
      <c r="B46" s="52" t="s">
        <v>1101</v>
      </c>
      <c r="C46" s="52" t="str">
        <f aca="false">IF(Yearly_Income="","Choose your gross yearly income to see this",IF(Years_Support="","Choose your years of support to see this",IF(Life_Replace="","Choose your share of income needed to see this",IF(Mortgage_Protected="","Choose your mortgage protection answer to see this",IF(Other_Debts="","Choose your other debts to see this",IF(Savings="","Choose your savings &amp; investments to see this",IF(Existing_Cover="","Choose your existing life cover to see this",IF(Survivor_Pension="","Choose your survivor's pension to see this",IF(NOT(ISNUMBER(Used_Mortgage_Balance)),IF(Used_Mortgage_Balance="",IF(Mortgage_Balance="","Choose your mortgage balance to see this",""),Used_Mortgage_Balance),"")))))))))</f>
        <v>Choose your gross yearly income to see this</v>
      </c>
    </row>
    <row r="47" customFormat="false" ht="15" hidden="false" customHeight="true" outlineLevel="0" collapsed="false">
      <c r="B47" s="52" t="s">
        <v>1102</v>
      </c>
      <c r="C47" s="52" t="str">
        <f aca="false">IF(Yearly_Income="","Choose your gross yearly income to see this",IF(Years_Support="","Choose your years of support to see this",IF(Life_Replace="","Choose your share of income needed to see this",IF(Survivor_Pension="","Choose your survivor's pension to see this",""))))</f>
        <v>Choose your gross yearly income to see this</v>
      </c>
    </row>
    <row r="48" customFormat="false" ht="15" hidden="false" customHeight="true" outlineLevel="0" collapsed="false">
      <c r="B48" s="52" t="s">
        <v>1103</v>
      </c>
      <c r="C48" s="52" t="str">
        <f aca="false">IF(Mortgage_Protected="","Choose your mortgage protection answer to see this",IF(Other_Debts="","Choose your other debts to see this",IF(NOT(ISNUMBER(Used_Mortgage_Balance)),IF(Used_Mortgage_Balance="",IF(Mortgage_Balance="","Choose your mortgage balance to see this",""),Used_Mortgage_Balance),"")))</f>
        <v>Choose your mortgage protection answer to see this</v>
      </c>
    </row>
    <row r="49" customFormat="false" ht="15" hidden="false" customHeight="true" outlineLevel="0" collapsed="false">
      <c r="B49" s="52" t="s">
        <v>1104</v>
      </c>
      <c r="C49" s="52" t="str">
        <f aca="false">IF(Savings="","Choose your savings &amp; investments to see this",IF(Existing_Cover="","Choose your existing life cover to see this",""))</f>
        <v>Choose your savings &amp; investments to see this</v>
      </c>
    </row>
    <row r="50" customFormat="false" ht="15" hidden="false" customHeight="true" outlineLevel="0" collapsed="false">
      <c r="B50" s="52" t="s">
        <v>1105</v>
      </c>
      <c r="C50" s="52" t="str">
        <f aca="false">IF(Yearly_Income="","Choose your gross yearly income to see this",IF(Years_Support="","Choose your years of support to see this",IF(Life_Replace="","Choose your share of income needed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1106</v>
      </c>
      <c r="E1" s="3" t="s">
        <v>1107</v>
      </c>
    </row>
    <row r="2" customFormat="false" ht="15" hidden="false" customHeight="true" outlineLevel="0" collapsed="false">
      <c r="B2" s="21" t="s">
        <v>1108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1109</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676</v>
      </c>
      <c r="C6" s="26"/>
      <c r="D6" s="27" t="s">
        <v>217</v>
      </c>
      <c r="E6" s="28" t="s">
        <v>677</v>
      </c>
      <c r="F6" s="29" t="n">
        <v>2500</v>
      </c>
      <c r="G6" s="30" t="str">
        <f aca="false">IF(ISBLANK(C6),IF(Fill_Example="Yes",F6,""),C6)</f>
        <v/>
      </c>
    </row>
    <row r="7" customFormat="false" ht="15" hidden="false" customHeight="true" outlineLevel="0" collapsed="false">
      <c r="B7" s="25" t="s">
        <v>1110</v>
      </c>
      <c r="C7" s="38"/>
      <c r="D7" s="27" t="s">
        <v>679</v>
      </c>
      <c r="E7" s="28" t="s">
        <v>1111</v>
      </c>
      <c r="F7" s="39" t="n">
        <v>3</v>
      </c>
      <c r="G7" s="40" t="str">
        <f aca="false">IF(ISBLANK(C7),IF(Fill_Example="Yes",F7,""),C7)</f>
        <v/>
      </c>
    </row>
    <row r="8" customFormat="false" ht="21.75" hidden="false" customHeight="true" outlineLevel="0" collapsed="false">
      <c r="B8" s="25" t="s">
        <v>683</v>
      </c>
      <c r="C8" s="26"/>
      <c r="D8" s="27" t="s">
        <v>217</v>
      </c>
      <c r="E8" s="28" t="s">
        <v>1112</v>
      </c>
      <c r="F8" s="29" t="n">
        <v>8000</v>
      </c>
      <c r="G8" s="30" t="str">
        <f aca="false">IF(ISBLANK(C8),IF(Fill_Example="Yes",F8,""),C8)</f>
        <v/>
      </c>
    </row>
    <row r="9" customFormat="false" ht="21.75" hidden="false" customHeight="true" outlineLevel="0" collapsed="false">
      <c r="B9" s="25" t="s">
        <v>216</v>
      </c>
      <c r="C9" s="26"/>
      <c r="D9" s="27" t="s">
        <v>217</v>
      </c>
      <c r="E9" s="28" t="s">
        <v>1065</v>
      </c>
      <c r="F9" s="29" t="n">
        <v>60000</v>
      </c>
      <c r="G9" s="30" t="str">
        <f aca="false">IF(ISBLANK(C9),IF(Fill_Example="Yes",F9,""),C9)</f>
        <v/>
      </c>
    </row>
    <row r="10" customFormat="false" ht="21.75" hidden="false" customHeight="true" outlineLevel="0" collapsed="false">
      <c r="B10" s="25" t="s">
        <v>1113</v>
      </c>
      <c r="C10" s="82"/>
      <c r="D10" s="27" t="s">
        <v>1080</v>
      </c>
      <c r="E10" s="35" t="s">
        <v>1114</v>
      </c>
      <c r="F10" s="83" t="n">
        <f aca="false">Illness_Benefit_Week</f>
        <v>254</v>
      </c>
      <c r="G10" s="84" t="str">
        <f aca="false">IF(ISBLANK(C10),IF(Fill_Example="Yes",F10,""),C10)</f>
        <v/>
      </c>
    </row>
    <row r="12" customFormat="false" ht="15" hidden="false" customHeight="true" outlineLevel="0" collapsed="false">
      <c r="B12" s="13" t="s">
        <v>239</v>
      </c>
      <c r="C12" s="24" t="s">
        <v>240</v>
      </c>
      <c r="D12" s="24" t="s">
        <v>241</v>
      </c>
      <c r="E12" s="24" t="s">
        <v>242</v>
      </c>
      <c r="F12" s="14"/>
      <c r="G12" s="14"/>
    </row>
    <row r="13" customFormat="false" ht="23.25" hidden="false" customHeight="true" outlineLevel="0" collapsed="false">
      <c r="B13" s="21" t="s">
        <v>1115</v>
      </c>
      <c r="C13" s="70" t="str">
        <f aca="false">IF(Need_1&lt;&gt;"",Need_1,IF(Monthly_Gap=0,"Indefinitely",Sick_Pay_Months+Savings/Monthly_Gap))</f>
        <v>Choose your essential monthly spending to see this</v>
      </c>
      <c r="D13" s="63" t="str">
        <f aca="false">IF(Need_1&lt;&gt;"",Need_1,IF(Months_Coping="Indefinitely","Indefinitely",IF(ROUND(Months_Coping,1)=1,"1 month",FIXED(Months_Coping,1)&amp;" months")))</f>
        <v>Choose your essential monthly spending to see this</v>
      </c>
      <c r="E13" s="42" t="s">
        <v>1116</v>
      </c>
    </row>
    <row r="14" customFormat="false" ht="17.25" hidden="false" customHeight="true" outlineLevel="0" collapsed="false">
      <c r="B14" s="21" t="s">
        <v>1117</v>
      </c>
      <c r="C14" s="41" t="str">
        <f aca="false">IF(Need_2&lt;&gt;"",Need_2,MAX(0,Essential_Spending-Illness_Benefit_Month))</f>
        <v>Choose your essential monthly spending to see this</v>
      </c>
      <c r="D14" s="27" t="s">
        <v>217</v>
      </c>
      <c r="E14" s="42" t="s">
        <v>1118</v>
      </c>
    </row>
    <row r="15" customFormat="false" ht="17.25" hidden="false" customHeight="true" outlineLevel="0" collapsed="false">
      <c r="B15" s="21" t="s">
        <v>1119</v>
      </c>
      <c r="C15" s="41" t="str">
        <f aca="false">IF(Need_3&lt;&gt;"",Need_3,MIN(Monthly_Gap,IP_Max))</f>
        <v>Choose your essential monthly spending to see this</v>
      </c>
      <c r="D15" s="27" t="s">
        <v>217</v>
      </c>
      <c r="E15" s="42" t="s">
        <v>1120</v>
      </c>
    </row>
    <row r="16" customFormat="false" ht="15" hidden="false" customHeight="true" outlineLevel="0" collapsed="false">
      <c r="B16" s="25" t="s">
        <v>1121</v>
      </c>
      <c r="C16" s="43" t="str">
        <f aca="false">IF(Need_4&lt;&gt;"",Need_4,Illness_Benefit*Weeks_Per_Year/12)</f>
        <v>Choose your Illness Benefit amount to see this</v>
      </c>
      <c r="D16" s="27" t="s">
        <v>217</v>
      </c>
      <c r="E16" s="42" t="s">
        <v>1122</v>
      </c>
    </row>
    <row r="17" customFormat="false" ht="23.25" hidden="false" customHeight="true" outlineLevel="0" collapsed="false">
      <c r="B17" s="25" t="s">
        <v>1123</v>
      </c>
      <c r="C17" s="85" t="str">
        <f aca="false">IF(Need_5&lt;&gt;"",Need_5,IF(Monthly_Gap=0,"Indefinitely",Savings/Monthly_Gap))</f>
        <v>Choose your essential monthly spending to see this</v>
      </c>
      <c r="D17" s="67" t="str">
        <f aca="false">IF(Need_5&lt;&gt;"",Need_5,IF(Savings_Months="Indefinitely","Indefinitely",IF(ROUND(Savings_Months,1)=1,"1 month",FIXED(Savings_Months,1)&amp;" months")))</f>
        <v>Choose your essential monthly spending to see this</v>
      </c>
      <c r="E17" s="42" t="s">
        <v>1124</v>
      </c>
    </row>
    <row r="18" customFormat="false" ht="15" hidden="false" customHeight="true" outlineLevel="0" collapsed="false">
      <c r="B18" s="25" t="s">
        <v>1125</v>
      </c>
      <c r="C18" s="43" t="str">
        <f aca="false">IF(Need_6&lt;&gt;"",Need_6,MAX(0,Gross_Income*IP_Max_Pct/12-Illness_Benefit_Month))</f>
        <v>Choose your gross yearly income to see this</v>
      </c>
      <c r="D18" s="27" t="s">
        <v>217</v>
      </c>
      <c r="E18" s="42" t="s">
        <v>1126</v>
      </c>
    </row>
    <row r="20" customFormat="false" ht="15" hidden="false" customHeight="true" outlineLevel="0" collapsed="false">
      <c r="B20" s="13" t="s">
        <v>272</v>
      </c>
      <c r="C20" s="14"/>
      <c r="D20" s="14"/>
      <c r="E20" s="14"/>
      <c r="F20" s="14"/>
      <c r="G20" s="14"/>
    </row>
    <row r="21" customFormat="false" ht="27.75" hidden="false" customHeight="true" outlineLevel="0" collapsed="false">
      <c r="B21" s="46" t="s">
        <v>1127</v>
      </c>
      <c r="C21" s="46"/>
      <c r="D21" s="46"/>
      <c r="E21" s="46"/>
    </row>
    <row r="22" customFormat="false" ht="13.5" hidden="false" customHeight="true" outlineLevel="0" collapsed="false">
      <c r="B22" s="46" t="s">
        <v>1128</v>
      </c>
      <c r="C22" s="46"/>
      <c r="D22" s="46"/>
      <c r="E22" s="46"/>
    </row>
    <row r="23" customFormat="false" ht="13.5" hidden="false" customHeight="true" outlineLevel="0" collapsed="false">
      <c r="B23" s="46" t="s">
        <v>1129</v>
      </c>
      <c r="C23" s="46"/>
      <c r="D23" s="46"/>
      <c r="E23" s="46"/>
    </row>
    <row r="24" customFormat="false" ht="13.5" hidden="false" customHeight="true" outlineLevel="0" collapsed="false">
      <c r="B24" s="47" t="s">
        <v>276</v>
      </c>
      <c r="C24" s="47"/>
      <c r="D24" s="47"/>
      <c r="E24" s="47"/>
    </row>
    <row r="25" customFormat="false" ht="13.5" hidden="false" customHeight="true" outlineLevel="0" collapsed="false">
      <c r="B25" s="46" t="s">
        <v>1130</v>
      </c>
      <c r="C25" s="46"/>
      <c r="D25" s="46"/>
      <c r="E25" s="46"/>
    </row>
    <row r="26" customFormat="false" ht="13.5" hidden="false" customHeight="true" outlineLevel="0" collapsed="false">
      <c r="B26" s="46" t="s">
        <v>1131</v>
      </c>
      <c r="C26" s="46"/>
      <c r="D26" s="46"/>
      <c r="E26" s="46"/>
    </row>
    <row r="28" customFormat="false" ht="15" hidden="false" customHeight="true" outlineLevel="0" collapsed="false">
      <c r="B28" s="13" t="s">
        <v>281</v>
      </c>
      <c r="C28" s="14"/>
      <c r="D28" s="14"/>
      <c r="E28" s="14"/>
      <c r="F28" s="14"/>
      <c r="G28" s="14"/>
    </row>
    <row r="29" customFormat="false" ht="15" hidden="false" customHeight="true" outlineLevel="0" collapsed="false">
      <c r="B29" s="25" t="s">
        <v>282</v>
      </c>
      <c r="C29" s="48" t="str">
        <f aca="false">"No goal: record an income protection need for the adviser"</f>
        <v>No goal: record an income protection need for the adviser</v>
      </c>
      <c r="E29" s="49" t="s">
        <v>1132</v>
      </c>
    </row>
    <row r="30" customFormat="false" ht="15" hidden="false" customHeight="true" outlineLevel="0" collapsed="false">
      <c r="B30" s="25" t="s">
        <v>1133</v>
      </c>
      <c r="C30" s="50" t="str">
        <f aca="false">IF(Need_3&lt;&gt;"",Need_3,IP_Needed)</f>
        <v>Choose your essential monthly spending to see this</v>
      </c>
      <c r="E30" s="49" t="s">
        <v>1134</v>
      </c>
    </row>
    <row r="32" customFormat="false" ht="15" hidden="false" customHeight="true" outlineLevel="0" collapsed="false">
      <c r="B32" s="13" t="s">
        <v>290</v>
      </c>
      <c r="C32" s="14"/>
      <c r="D32" s="14"/>
      <c r="E32" s="14"/>
      <c r="F32" s="14"/>
      <c r="G32" s="14"/>
    </row>
    <row r="33" customFormat="false" ht="15" hidden="false" customHeight="true" outlineLevel="0" collapsed="false">
      <c r="B33" s="52" t="s">
        <v>1135</v>
      </c>
      <c r="C33" s="52" t="str">
        <f aca="false">IF(Essential_Spending="","Choose your essential monthly spending to see this",IF(Sick_Pay_Months="","Choose your months of sick pay from your employer's scheme to see this",IF(Savings="","Choose your easy-access savings to see this",IF(Illness_Benefit="","Choose your Illness Benefit amount to see this",""))))</f>
        <v>Choose your essential monthly spending to see this</v>
      </c>
    </row>
    <row r="34" customFormat="false" ht="15" hidden="false" customHeight="true" outlineLevel="0" collapsed="false">
      <c r="B34" s="52" t="s">
        <v>1136</v>
      </c>
      <c r="C34" s="52" t="str">
        <f aca="false">IF(Essential_Spending="","Choose your essential monthly spending to see this",IF(Illness_Benefit="","Choose your Illness Benefit amount to see this",""))</f>
        <v>Choose your essential monthly spending to see this</v>
      </c>
    </row>
    <row r="35" customFormat="false" ht="15" hidden="false" customHeight="true" outlineLevel="0" collapsed="false">
      <c r="B35" s="52" t="s">
        <v>1137</v>
      </c>
      <c r="C35" s="52" t="str">
        <f aca="false">IF(Essential_Spending="","Choose your essential monthly spending to see this",IF(Gross_Income="","Choose your gross yearly income to see this",IF(Illness_Benefit="","Choose your Illness Benefit amount to see this","")))</f>
        <v>Choose your essential monthly spending to see this</v>
      </c>
    </row>
    <row r="36" customFormat="false" ht="15" hidden="false" customHeight="true" outlineLevel="0" collapsed="false">
      <c r="B36" s="52" t="s">
        <v>1138</v>
      </c>
      <c r="C36" s="52" t="str">
        <f aca="false">IF(Illness_Benefit="","Choose your Illness Benefit amount to see this","")</f>
        <v>Choose your Illness Benefit amount to see this</v>
      </c>
    </row>
    <row r="37" customFormat="false" ht="15" hidden="false" customHeight="true" outlineLevel="0" collapsed="false">
      <c r="B37" s="52" t="s">
        <v>1139</v>
      </c>
      <c r="C37" s="52" t="str">
        <f aca="false">IF(Essential_Spending="","Choose your essential monthly spending to see this",IF(Savings="","Choose your easy-access savings to see this",IF(Illness_Benefit="","Choose your Illness Benefit amount to see this","")))</f>
        <v>Choose your essential monthly spending to see this</v>
      </c>
    </row>
    <row r="38" customFormat="false" ht="15" hidden="false" customHeight="true" outlineLevel="0" collapsed="false">
      <c r="B38" s="52" t="s">
        <v>1140</v>
      </c>
      <c r="C38" s="52" t="str">
        <f aca="false">IF(Gross_Income="","Choose your gross yearly income to see this",IF(Illness_Benefit="","Choose your Illness Benefit amount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1141</v>
      </c>
      <c r="E1" s="3" t="s">
        <v>1142</v>
      </c>
    </row>
    <row r="2" customFormat="false" ht="15" hidden="false" customHeight="true" outlineLevel="0" collapsed="false">
      <c r="B2" s="21" t="s">
        <v>1143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1144</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311</v>
      </c>
      <c r="C10" s="54"/>
      <c r="D10" s="27" t="s">
        <v>217</v>
      </c>
      <c r="E10" s="28" t="s">
        <v>312</v>
      </c>
      <c r="G10" s="52" t="s">
        <v>306</v>
      </c>
    </row>
    <row r="11" customFormat="false" ht="15" hidden="false" customHeight="true" outlineLevel="0" collapsed="false">
      <c r="B11" s="25" t="s">
        <v>313</v>
      </c>
      <c r="C11" s="57"/>
      <c r="D11" s="27" t="s">
        <v>314</v>
      </c>
      <c r="E11" s="28" t="s">
        <v>315</v>
      </c>
      <c r="G11" s="52" t="s">
        <v>306</v>
      </c>
    </row>
    <row r="13" customFormat="false" ht="15" hidden="false" customHeight="true" outlineLevel="0" collapsed="false">
      <c r="B13" s="13" t="s">
        <v>316</v>
      </c>
      <c r="C13" s="24" t="s">
        <v>213</v>
      </c>
      <c r="D13" s="24" t="s">
        <v>214</v>
      </c>
      <c r="E13" s="24" t="s">
        <v>215</v>
      </c>
      <c r="F13" s="14"/>
      <c r="G13" s="14"/>
    </row>
    <row r="14" customFormat="false" ht="21.75" hidden="false" customHeight="true" outlineLevel="0" collapsed="false">
      <c r="B14" s="25" t="s">
        <v>409</v>
      </c>
      <c r="C14" s="26"/>
      <c r="D14" s="27" t="s">
        <v>217</v>
      </c>
      <c r="E14" s="28" t="s">
        <v>1145</v>
      </c>
      <c r="F14" s="29" t="n">
        <v>250000</v>
      </c>
      <c r="G14" s="30" t="str">
        <f aca="false">IF(ISBLANK(C14),IF(Fill_Example="Yes",F14,""),C14)</f>
        <v/>
      </c>
    </row>
    <row r="15" customFormat="false" ht="21.75" hidden="false" customHeight="true" outlineLevel="0" collapsed="false">
      <c r="B15" s="25" t="s">
        <v>307</v>
      </c>
      <c r="C15" s="34"/>
      <c r="D15" s="27" t="s">
        <v>228</v>
      </c>
      <c r="E15" s="28" t="s">
        <v>1146</v>
      </c>
      <c r="F15" s="36" t="n">
        <v>0.0375</v>
      </c>
      <c r="G15" s="37" t="str">
        <f aca="false">IF(ISBLANK(C15),IF(Fill_Example="Yes",F15,""),C15)</f>
        <v/>
      </c>
    </row>
    <row r="16" customFormat="false" ht="21.75" hidden="false" customHeight="true" outlineLevel="0" collapsed="false">
      <c r="B16" s="25" t="s">
        <v>412</v>
      </c>
      <c r="C16" s="38"/>
      <c r="D16" s="27" t="s">
        <v>231</v>
      </c>
      <c r="E16" s="28" t="s">
        <v>321</v>
      </c>
      <c r="F16" s="39" t="n">
        <v>25</v>
      </c>
      <c r="G16" s="40" t="str">
        <f aca="false">IF(ISBLANK(C16),IF(Fill_Example="Yes",F16,""),C16)</f>
        <v/>
      </c>
    </row>
    <row r="17" customFormat="false" ht="21.75" hidden="false" customHeight="true" outlineLevel="0" collapsed="false">
      <c r="B17" s="25" t="s">
        <v>322</v>
      </c>
      <c r="C17" s="26"/>
      <c r="D17" s="27" t="s">
        <v>217</v>
      </c>
      <c r="E17" s="28" t="s">
        <v>1147</v>
      </c>
      <c r="F17" s="29" t="n">
        <v>0</v>
      </c>
      <c r="G17" s="30" t="str">
        <f aca="false">IF(ISBLANK(C17),IF(Fill_Example="Yes",F17,""),C17)</f>
        <v/>
      </c>
    </row>
    <row r="19" customFormat="false" ht="15" hidden="false" customHeight="true" outlineLevel="0" collapsed="false">
      <c r="B19" s="13" t="s">
        <v>326</v>
      </c>
      <c r="C19" s="14"/>
      <c r="D19" s="14"/>
      <c r="E19" s="14"/>
      <c r="F19" s="14"/>
      <c r="G19" s="14"/>
    </row>
    <row r="20" customFormat="false" ht="15" hidden="false" customHeight="true" outlineLevel="0" collapsed="false">
      <c r="B20" s="25" t="s">
        <v>409</v>
      </c>
      <c r="C20" s="58" t="str">
        <f aca="false">IF(ISBLANK(Stmt_Balance),Mortgage_Balance,Stmt_Balance)</f>
        <v/>
      </c>
      <c r="D20" s="59" t="str">
        <f aca="false">IF(ISBLANK(Stmt_Balance),"Your figure","From your statement")</f>
        <v>Your figure</v>
      </c>
      <c r="E20" s="49" t="s">
        <v>416</v>
      </c>
    </row>
    <row r="21" customFormat="false" ht="15" hidden="false" customHeight="true" outlineLevel="0" collapsed="false">
      <c r="B21" s="25" t="s">
        <v>307</v>
      </c>
      <c r="C21" s="60" t="str">
        <f aca="false">IF(ISBLANK(Stmt_Rate),Interest_Rate,Stmt_Rate)</f>
        <v/>
      </c>
      <c r="D21" s="59" t="str">
        <f aca="false">IF(ISBLANK(Stmt_Rate),"Your figure","From your statement")</f>
        <v>Your figure</v>
      </c>
      <c r="E21" s="49" t="s">
        <v>328</v>
      </c>
    </row>
    <row r="22" customFormat="false" ht="15" hidden="false" customHeight="true" outlineLevel="0" collapsed="false">
      <c r="B22" s="25" t="s">
        <v>412</v>
      </c>
      <c r="C22" s="61" t="str">
        <f aca="false">IF(ISBLANK(Stmt_Term),Years_Left,Stmt_Term)</f>
        <v/>
      </c>
      <c r="D22" s="59" t="str">
        <f aca="false">IF(ISBLANK(Stmt_Term),"Your figure","From your statement")</f>
        <v>Your figure</v>
      </c>
      <c r="E22" s="49" t="s">
        <v>417</v>
      </c>
    </row>
    <row r="23" customFormat="false" ht="15" hidden="false" customHeight="true" outlineLevel="0" collapsed="false">
      <c r="B23" s="25" t="s">
        <v>330</v>
      </c>
      <c r="C23" s="58" t="str">
        <f aca="false">IF(ISBLANK(Stmt_Repayment),Actual_Repayment,Stmt_Repayment)</f>
        <v/>
      </c>
      <c r="D23" s="59" t="str">
        <f aca="false">IF(ISBLANK(Stmt_Repayment),"Your figure","From your statement")</f>
        <v>Your figure</v>
      </c>
      <c r="E23" s="49" t="s">
        <v>331</v>
      </c>
    </row>
    <row r="24" customFormat="false" ht="21.75" hidden="false" customHeight="true" outlineLevel="0" collapsed="false">
      <c r="B24" s="25" t="s">
        <v>332</v>
      </c>
      <c r="C24" s="45" t="str">
        <f aca="true">IF(ISBLANK(Stmt_Statement_Date),"",IF(TODAY()-Stmt_Statement_Date&gt;Statement_Max_Age_Days,"Needs a look: statement is more than 12 months old","Up to date"))</f>
        <v/>
      </c>
      <c r="D24" s="27"/>
      <c r="E24" s="42" t="s">
        <v>333</v>
      </c>
    </row>
    <row r="26" customFormat="false" ht="15" hidden="false" customHeight="true" outlineLevel="0" collapsed="false">
      <c r="B26" s="13" t="s">
        <v>239</v>
      </c>
      <c r="C26" s="24" t="s">
        <v>240</v>
      </c>
      <c r="D26" s="24" t="s">
        <v>241</v>
      </c>
      <c r="E26" s="24" t="s">
        <v>242</v>
      </c>
      <c r="F26" s="14"/>
      <c r="G26" s="14"/>
    </row>
    <row r="27" customFormat="false" ht="17.25" hidden="false" customHeight="true" outlineLevel="0" collapsed="false">
      <c r="B27" s="21" t="s">
        <v>1148</v>
      </c>
      <c r="C27" s="41" t="str">
        <f aca="false">IF(Need_1&lt;&gt;"",Need_1,Used_Mortgage_Balance)</f>
        <v>Choose your mortgage balance to see this</v>
      </c>
      <c r="D27" s="27" t="s">
        <v>217</v>
      </c>
      <c r="E27" s="42" t="s">
        <v>1149</v>
      </c>
    </row>
    <row r="28" customFormat="false" ht="15" hidden="false" customHeight="true" outlineLevel="0" collapsed="false">
      <c r="B28" s="72" t="s">
        <v>768</v>
      </c>
      <c r="C28" s="73" t="str">
        <f aca="false">IF(Need_2&lt;&gt;"","",IF(Repayment&lt;=Used_Mortgage_Balance*Monthly_Rate,"Your repayment doesn't cover the interest: please check the figures.",""))</f>
        <v/>
      </c>
      <c r="D28" s="73"/>
      <c r="E28" s="73"/>
    </row>
    <row r="29" customFormat="false" ht="17.25" hidden="false" customHeight="true" outlineLevel="0" collapsed="false">
      <c r="B29" s="21" t="s">
        <v>1150</v>
      </c>
      <c r="C29" s="41" t="str">
        <f aca="false">IF(Need_2&lt;&gt;"",Need_2,IF(Warning&lt;&gt;"","—",MAX(0,-FV(Monthly_Rate,MP_Year_1*12,-Repayment,Used_Mortgage_Balance))))</f>
        <v>Choose your mortgage balance to see this</v>
      </c>
      <c r="D29" s="27" t="s">
        <v>217</v>
      </c>
      <c r="E29" s="42" t="s">
        <v>1151</v>
      </c>
    </row>
    <row r="30" customFormat="false" ht="17.25" hidden="false" customHeight="true" outlineLevel="0" collapsed="false">
      <c r="B30" s="21" t="s">
        <v>1152</v>
      </c>
      <c r="C30" s="41" t="str">
        <f aca="false">IF(Need_2&lt;&gt;"",Need_2,IF(Warning&lt;&gt;"","—",MAX(0,-FV(Monthly_Rate,MP_Year_2*12,-Repayment,Used_Mortgage_Balance))))</f>
        <v>Choose your mortgage balance to see this</v>
      </c>
      <c r="D30" s="27" t="s">
        <v>217</v>
      </c>
      <c r="E30" s="42" t="s">
        <v>1153</v>
      </c>
    </row>
    <row r="31" customFormat="false" ht="17.25" hidden="false" customHeight="true" outlineLevel="0" collapsed="false">
      <c r="B31" s="21" t="s">
        <v>1154</v>
      </c>
      <c r="C31" s="41" t="str">
        <f aca="false">IF(Need_2&lt;&gt;"",Need_2,IF(Warning&lt;&gt;"","—",MAX(0,-FV(Monthly_Rate,MP_Year_3*12,-Repayment,Used_Mortgage_Balance))))</f>
        <v>Choose your mortgage balance to see this</v>
      </c>
      <c r="D31" s="27" t="s">
        <v>217</v>
      </c>
      <c r="E31" s="42" t="s">
        <v>1155</v>
      </c>
    </row>
    <row r="32" customFormat="false" ht="15" hidden="false" customHeight="true" outlineLevel="0" collapsed="false">
      <c r="B32" s="25" t="s">
        <v>341</v>
      </c>
      <c r="C32" s="64" t="str">
        <f aca="false">IF(Need_3&lt;&gt;"",Need_3,Used_Interest_Rate/12)</f>
        <v>Choose your interest rate to see this</v>
      </c>
      <c r="D32" s="27"/>
      <c r="E32" s="42" t="s">
        <v>342</v>
      </c>
    </row>
    <row r="33" customFormat="false" ht="15" hidden="false" customHeight="true" outlineLevel="0" collapsed="false">
      <c r="B33" s="25" t="s">
        <v>1156</v>
      </c>
      <c r="C33" s="43" t="str">
        <f aca="false">IF(Need_2&lt;&gt;"",Need_2,IF(Used_Actual_Repayment&gt;0,Used_Actual_Repayment,PMT(Monthly_Rate,Used_Years_Left*12,-Used_Mortgage_Balance)))</f>
        <v>Choose your mortgage balance to see this</v>
      </c>
      <c r="D33" s="27" t="s">
        <v>217</v>
      </c>
      <c r="E33" s="42" t="s">
        <v>427</v>
      </c>
    </row>
    <row r="35" customFormat="false" ht="15" hidden="false" customHeight="true" outlineLevel="0" collapsed="false">
      <c r="B35" s="13" t="s">
        <v>272</v>
      </c>
      <c r="C35" s="14"/>
      <c r="D35" s="14"/>
      <c r="E35" s="14"/>
      <c r="F35" s="14"/>
      <c r="G35" s="14"/>
    </row>
    <row r="36" customFormat="false" ht="13.5" hidden="false" customHeight="true" outlineLevel="0" collapsed="false">
      <c r="B36" s="46" t="s">
        <v>1157</v>
      </c>
      <c r="C36" s="46"/>
      <c r="D36" s="46"/>
      <c r="E36" s="46"/>
    </row>
    <row r="37" customFormat="false" ht="13.5" hidden="false" customHeight="true" outlineLevel="0" collapsed="false">
      <c r="B37" s="47" t="s">
        <v>276</v>
      </c>
      <c r="C37" s="47"/>
      <c r="D37" s="47"/>
      <c r="E37" s="47"/>
    </row>
    <row r="38" customFormat="false" ht="13.5" hidden="false" customHeight="true" outlineLevel="0" collapsed="false">
      <c r="B38" s="46" t="s">
        <v>1158</v>
      </c>
      <c r="C38" s="46"/>
      <c r="D38" s="46"/>
      <c r="E38" s="46"/>
    </row>
    <row r="40" customFormat="false" ht="15" hidden="false" customHeight="true" outlineLevel="0" collapsed="false">
      <c r="B40" s="13" t="s">
        <v>281</v>
      </c>
      <c r="C40" s="14"/>
      <c r="D40" s="14"/>
      <c r="E40" s="14"/>
      <c r="F40" s="14"/>
      <c r="G40" s="14"/>
    </row>
    <row r="41" customFormat="false" ht="15" hidden="false" customHeight="true" outlineLevel="0" collapsed="false">
      <c r="B41" s="25" t="s">
        <v>282</v>
      </c>
      <c r="C41" s="48" t="str">
        <f aca="false">"No goal"</f>
        <v>No goal</v>
      </c>
      <c r="E41" s="49" t="s">
        <v>471</v>
      </c>
    </row>
    <row r="43" customFormat="false" ht="15" hidden="false" customHeight="true" outlineLevel="0" collapsed="false">
      <c r="B43" s="13" t="s">
        <v>290</v>
      </c>
      <c r="C43" s="14"/>
      <c r="D43" s="14"/>
      <c r="E43" s="14"/>
      <c r="F43" s="14"/>
      <c r="G43" s="14"/>
    </row>
    <row r="44" customFormat="false" ht="15" hidden="false" customHeight="true" outlineLevel="0" collapsed="false">
      <c r="B44" s="52" t="s">
        <v>1159</v>
      </c>
      <c r="C44" s="52" t="str">
        <f aca="false">IF(NOT(ISNUMBER(Used_Mortgage_Balance)),IF(Used_Mortgage_Balance="",IF(Mortgage_Balance="","Choose your mortgage balance to see this",""),Used_Mortgage_Balance),"")</f>
        <v>Choose your mortgage balance to see this</v>
      </c>
    </row>
    <row r="45" customFormat="false" ht="15" hidden="false" customHeight="true" outlineLevel="0" collapsed="false">
      <c r="B45" s="52" t="s">
        <v>447</v>
      </c>
      <c r="C45"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this",""),Used_Years_Left),IF(NOT(ISNUMBER(Used_Actual_Repayment)),IF(Used_Actual_Repayment="",IF(Actual_Repayment="","Choose your actual monthly repayment to see this",""),Used_Actual_Repayment),""))))</f>
        <v>Choose your mortgage balance to see this</v>
      </c>
    </row>
    <row r="46" customFormat="false" ht="15" hidden="false" customHeight="true" outlineLevel="0" collapsed="false">
      <c r="B46" s="52" t="s">
        <v>363</v>
      </c>
      <c r="C46" s="52" t="str">
        <f aca="false">IF(NOT(ISNUMBER(Used_Interest_Rate)),IF(Used_Interest_Rate="",IF(Interest_Rate="","Choose your interest rate to see this",""),Used_Interest_Rate),"")</f>
        <v>Choose your interest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1% to 8% · steps of 0.05%." errorStyle="stop" errorTitle="Outside the allowed range" operator="between" prompt="Your own figure. In the app it is pre-filled from Your finances / statement: rate.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1160</v>
      </c>
      <c r="E1" s="3" t="s">
        <v>1161</v>
      </c>
    </row>
    <row r="2" customFormat="false" ht="15" hidden="false" customHeight="true" outlineLevel="0" collapsed="false">
      <c r="B2" s="21" t="s">
        <v>1162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1163</v>
      </c>
    </row>
    <row r="5" customFormat="false" ht="15" hidden="false" customHeight="true" outlineLevel="0" collapsed="false">
      <c r="B5" s="13" t="s">
        <v>302</v>
      </c>
      <c r="C5" s="14"/>
      <c r="D5" s="14"/>
      <c r="E5" s="14"/>
      <c r="F5" s="14"/>
      <c r="G5" s="14"/>
    </row>
    <row r="6" customFormat="false" ht="27.75" hidden="false" customHeight="true" outlineLevel="0" collapsed="false">
      <c r="B6" s="53" t="s">
        <v>1164</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1165</v>
      </c>
      <c r="C8" s="54"/>
      <c r="D8" s="27" t="s">
        <v>217</v>
      </c>
      <c r="E8" s="28" t="s">
        <v>631</v>
      </c>
      <c r="G8" s="52" t="s">
        <v>306</v>
      </c>
    </row>
    <row r="9" customFormat="false" ht="15" hidden="false" customHeight="true" outlineLevel="0" collapsed="false">
      <c r="B9" s="25" t="s">
        <v>707</v>
      </c>
      <c r="C9" s="54"/>
      <c r="D9" s="27" t="s">
        <v>217</v>
      </c>
      <c r="E9" s="28" t="s">
        <v>708</v>
      </c>
      <c r="G9" s="52" t="s">
        <v>306</v>
      </c>
    </row>
    <row r="10" customFormat="false" ht="15" hidden="false" customHeight="true" outlineLevel="0" collapsed="false">
      <c r="B10" s="25" t="s">
        <v>630</v>
      </c>
      <c r="C10" s="54"/>
      <c r="D10" s="27" t="s">
        <v>217</v>
      </c>
      <c r="E10" s="28" t="s">
        <v>631</v>
      </c>
      <c r="G10" s="52" t="s">
        <v>306</v>
      </c>
    </row>
    <row r="12" customFormat="false" ht="15" hidden="false" customHeight="true" outlineLevel="0" collapsed="false">
      <c r="B12" s="13" t="s">
        <v>316</v>
      </c>
      <c r="C12" s="24" t="s">
        <v>213</v>
      </c>
      <c r="D12" s="24" t="s">
        <v>214</v>
      </c>
      <c r="E12" s="24" t="s">
        <v>215</v>
      </c>
      <c r="F12" s="14"/>
      <c r="G12" s="14"/>
    </row>
    <row r="13" customFormat="false" ht="21.75" hidden="false" customHeight="true" outlineLevel="0" collapsed="false">
      <c r="B13" s="25" t="s">
        <v>1166</v>
      </c>
      <c r="C13" s="26"/>
      <c r="D13" s="27" t="s">
        <v>217</v>
      </c>
      <c r="E13" s="28" t="s">
        <v>1167</v>
      </c>
      <c r="F13" s="29" t="n">
        <v>15000</v>
      </c>
      <c r="G13" s="30" t="str">
        <f aca="false">IF(ISBLANK(C13),IF(Fill_Example="Yes",F13,""),C13)</f>
        <v/>
      </c>
    </row>
    <row r="14" customFormat="false" ht="21.75" hidden="false" customHeight="true" outlineLevel="0" collapsed="false">
      <c r="B14" s="25" t="s">
        <v>54</v>
      </c>
      <c r="C14" s="26"/>
      <c r="D14" s="27" t="s">
        <v>217</v>
      </c>
      <c r="E14" s="28" t="s">
        <v>1168</v>
      </c>
      <c r="F14" s="29" t="n">
        <v>10000</v>
      </c>
      <c r="G14" s="30" t="str">
        <f aca="false">IF(ISBLANK(C14),IF(Fill_Example="Yes",F14,""),C14)</f>
        <v/>
      </c>
    </row>
    <row r="15" customFormat="false" ht="21.75" hidden="false" customHeight="true" outlineLevel="0" collapsed="false">
      <c r="B15" s="25" t="s">
        <v>1169</v>
      </c>
      <c r="C15" s="26"/>
      <c r="D15" s="27" t="s">
        <v>217</v>
      </c>
      <c r="E15" s="28" t="s">
        <v>1170</v>
      </c>
      <c r="F15" s="29" t="n">
        <v>60000</v>
      </c>
      <c r="G15" s="30" t="str">
        <f aca="false">IF(ISBLANK(C15),IF(Fill_Example="Yes",F15,""),C15)</f>
        <v/>
      </c>
    </row>
    <row r="16" customFormat="false" ht="21.75" hidden="false" customHeight="true" outlineLevel="0" collapsed="false">
      <c r="B16" s="25" t="s">
        <v>1171</v>
      </c>
      <c r="C16" s="26"/>
      <c r="D16" s="27" t="s">
        <v>217</v>
      </c>
      <c r="E16" s="28" t="s">
        <v>1172</v>
      </c>
      <c r="F16" s="29" t="n">
        <v>350000</v>
      </c>
      <c r="G16" s="30" t="str">
        <f aca="false">IF(ISBLANK(C16),IF(Fill_Example="Yes",F16,""),C16)</f>
        <v/>
      </c>
    </row>
    <row r="17" customFormat="false" ht="21.75" hidden="false" customHeight="true" outlineLevel="0" collapsed="false">
      <c r="B17" s="25" t="s">
        <v>525</v>
      </c>
      <c r="C17" s="26"/>
      <c r="D17" s="27" t="s">
        <v>217</v>
      </c>
      <c r="E17" s="28" t="s">
        <v>1173</v>
      </c>
      <c r="F17" s="29" t="n">
        <v>250000</v>
      </c>
      <c r="G17" s="30" t="str">
        <f aca="false">IF(ISBLANK(C17),IF(Fill_Example="Yes",F17,""),C17)</f>
        <v/>
      </c>
    </row>
    <row r="18" customFormat="false" ht="21.75" hidden="false" customHeight="true" outlineLevel="0" collapsed="false">
      <c r="B18" s="25" t="s">
        <v>1174</v>
      </c>
      <c r="C18" s="26"/>
      <c r="D18" s="27" t="s">
        <v>217</v>
      </c>
      <c r="E18" s="28" t="s">
        <v>1175</v>
      </c>
      <c r="F18" s="29" t="n">
        <v>8000</v>
      </c>
      <c r="G18" s="30" t="str">
        <f aca="false">IF(ISBLANK(C18),IF(Fill_Example="Yes",F18,""),C18)</f>
        <v/>
      </c>
    </row>
    <row r="20" customFormat="false" ht="15" hidden="false" customHeight="true" outlineLevel="0" collapsed="false">
      <c r="B20" s="13" t="s">
        <v>326</v>
      </c>
      <c r="C20" s="14"/>
      <c r="D20" s="14"/>
      <c r="E20" s="14"/>
      <c r="F20" s="14"/>
      <c r="G20" s="14"/>
    </row>
    <row r="21" customFormat="false" ht="15" hidden="false" customHeight="true" outlineLevel="0" collapsed="false">
      <c r="B21" s="25" t="s">
        <v>525</v>
      </c>
      <c r="C21" s="58" t="str">
        <f aca="false">IF(ISBLANK(Stmt_Mortgage_Balance),Mortgage,Stmt_Mortgage_Balance)</f>
        <v/>
      </c>
      <c r="D21" s="59" t="str">
        <f aca="false">IF(ISBLANK(Stmt_Mortgage_Balance),"Your figure","From your statement")</f>
        <v>Your figure</v>
      </c>
      <c r="E21" s="49" t="s">
        <v>1176</v>
      </c>
    </row>
    <row r="22" customFormat="false" ht="15" hidden="false" customHeight="true" outlineLevel="0" collapsed="false">
      <c r="B22" s="25" t="s">
        <v>1171</v>
      </c>
      <c r="C22" s="58" t="str">
        <f aca="false">IF(ISBLANK(Stmt_Property_Value),Property,Stmt_Property_Value)</f>
        <v/>
      </c>
      <c r="D22" s="59" t="str">
        <f aca="false">IF(ISBLANK(Stmt_Property_Value),"Your figure","From your statement")</f>
        <v>Your figure</v>
      </c>
      <c r="E22" s="49" t="s">
        <v>1177</v>
      </c>
    </row>
    <row r="23" customFormat="false" ht="15" hidden="false" customHeight="true" outlineLevel="0" collapsed="false">
      <c r="B23" s="25" t="s">
        <v>1169</v>
      </c>
      <c r="C23" s="58" t="str">
        <f aca="false">IF(ISBLANK(Stmt_Pension_Value),Pensions,Stmt_Pension_Value)</f>
        <v/>
      </c>
      <c r="D23" s="59" t="str">
        <f aca="false">IF(ISBLANK(Stmt_Pension_Value),"Your figure","From your statement")</f>
        <v>Your figure</v>
      </c>
      <c r="E23" s="49" t="s">
        <v>1178</v>
      </c>
    </row>
    <row r="24" customFormat="false" ht="15" hidden="false" customHeight="true" outlineLevel="0" collapsed="false">
      <c r="B24" s="25" t="s">
        <v>54</v>
      </c>
      <c r="C24" s="58" t="str">
        <f aca="false">IF(ISBLANK(Stmt_Investment_Value),Investments,Stmt_Investment_Value)</f>
        <v/>
      </c>
      <c r="D24" s="59" t="str">
        <f aca="false">IF(ISBLANK(Stmt_Investment_Value),"Your figure","From your statement")</f>
        <v>Your figure</v>
      </c>
      <c r="E24" s="49" t="s">
        <v>1179</v>
      </c>
    </row>
    <row r="26" customFormat="false" ht="15" hidden="false" customHeight="true" outlineLevel="0" collapsed="false">
      <c r="B26" s="13" t="s">
        <v>239</v>
      </c>
      <c r="C26" s="24" t="s">
        <v>240</v>
      </c>
      <c r="D26" s="24" t="s">
        <v>241</v>
      </c>
      <c r="E26" s="24" t="s">
        <v>242</v>
      </c>
      <c r="F26" s="14"/>
      <c r="G26" s="14"/>
    </row>
    <row r="27" customFormat="false" ht="17.25" hidden="false" customHeight="true" outlineLevel="0" collapsed="false">
      <c r="B27" s="21" t="s">
        <v>1180</v>
      </c>
      <c r="C27" s="41" t="str">
        <f aca="false">IF(Need_1&lt;&gt;"",Need_1,You_Own-You_Owe)</f>
        <v>Choose your savings to see this</v>
      </c>
      <c r="D27" s="27" t="s">
        <v>217</v>
      </c>
      <c r="E27" s="42" t="s">
        <v>1181</v>
      </c>
    </row>
    <row r="28" customFormat="false" ht="17.25" hidden="false" customHeight="true" outlineLevel="0" collapsed="false">
      <c r="B28" s="21" t="s">
        <v>1182</v>
      </c>
      <c r="C28" s="41" t="str">
        <f aca="false">IF(Need_2&lt;&gt;"",Need_2,Savings+Used_Investments+Used_Pensions+Used_Property)</f>
        <v>Choose your savings to see this</v>
      </c>
      <c r="D28" s="27" t="s">
        <v>217</v>
      </c>
      <c r="E28" s="42" t="s">
        <v>1183</v>
      </c>
    </row>
    <row r="29" customFormat="false" ht="17.25" hidden="false" customHeight="true" outlineLevel="0" collapsed="false">
      <c r="B29" s="21" t="s">
        <v>1184</v>
      </c>
      <c r="C29" s="41" t="str">
        <f aca="false">IF(Need_3&lt;&gt;"",Need_3,Used_Mortgage+Other_Loans)</f>
        <v>Choose your other loans to see this</v>
      </c>
      <c r="D29" s="27" t="s">
        <v>217</v>
      </c>
      <c r="E29" s="42" t="s">
        <v>1185</v>
      </c>
    </row>
    <row r="31" customFormat="false" ht="15" hidden="false" customHeight="true" outlineLevel="0" collapsed="false">
      <c r="B31" s="13" t="s">
        <v>272</v>
      </c>
      <c r="C31" s="14"/>
      <c r="D31" s="14"/>
      <c r="E31" s="14"/>
      <c r="F31" s="14"/>
      <c r="G31" s="14"/>
    </row>
    <row r="32" customFormat="false" ht="13.5" hidden="false" customHeight="true" outlineLevel="0" collapsed="false">
      <c r="B32" s="46" t="s">
        <v>1186</v>
      </c>
      <c r="C32" s="46"/>
      <c r="D32" s="46"/>
      <c r="E32" s="46"/>
    </row>
    <row r="33" customFormat="false" ht="13.5" hidden="false" customHeight="true" outlineLevel="0" collapsed="false">
      <c r="B33" s="47" t="s">
        <v>276</v>
      </c>
      <c r="C33" s="47"/>
      <c r="D33" s="47"/>
      <c r="E33" s="47"/>
    </row>
    <row r="34" customFormat="false" ht="13.5" hidden="false" customHeight="true" outlineLevel="0" collapsed="false">
      <c r="B34" s="46" t="s">
        <v>1187</v>
      </c>
      <c r="C34" s="46"/>
      <c r="D34" s="46"/>
      <c r="E34" s="46"/>
    </row>
    <row r="36" customFormat="false" ht="15" hidden="false" customHeight="true" outlineLevel="0" collapsed="false">
      <c r="B36" s="13" t="s">
        <v>281</v>
      </c>
      <c r="C36" s="14"/>
      <c r="D36" s="14"/>
      <c r="E36" s="14"/>
      <c r="F36" s="14"/>
      <c r="G36" s="14"/>
    </row>
    <row r="37" customFormat="false" ht="15" hidden="false" customHeight="true" outlineLevel="0" collapsed="false">
      <c r="B37" s="25" t="s">
        <v>282</v>
      </c>
      <c r="C37" s="48" t="str">
        <f aca="false">"No goal"</f>
        <v>No goal</v>
      </c>
      <c r="E37" s="49" t="s">
        <v>471</v>
      </c>
    </row>
    <row r="39" customFormat="false" ht="15" hidden="false" customHeight="true" outlineLevel="0" collapsed="false">
      <c r="B39" s="13" t="s">
        <v>290</v>
      </c>
      <c r="C39" s="14"/>
      <c r="D39" s="14"/>
      <c r="E39" s="14"/>
      <c r="F39" s="14"/>
      <c r="G39" s="14"/>
    </row>
    <row r="40" customFormat="false" ht="15" hidden="false" customHeight="true" outlineLevel="0" collapsed="false">
      <c r="B40" s="52" t="s">
        <v>1188</v>
      </c>
      <c r="C40" s="52"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2" t="s">
        <v>1189</v>
      </c>
      <c r="C41" s="52"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2" t="s">
        <v>1190</v>
      </c>
      <c r="C42" s="52"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1191</v>
      </c>
      <c r="E1" s="3" t="s">
        <v>1192</v>
      </c>
    </row>
    <row r="2" customFormat="false" ht="15" hidden="false" customHeight="true" outlineLevel="0" collapsed="false">
      <c r="B2" s="21" t="s">
        <v>1193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1194</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1195</v>
      </c>
      <c r="C6" s="26"/>
      <c r="D6" s="27" t="s">
        <v>217</v>
      </c>
      <c r="E6" s="28" t="s">
        <v>1196</v>
      </c>
      <c r="F6" s="29"/>
      <c r="G6" s="30" t="str">
        <f aca="false">IF(ISBLANK(C6),"",C6)</f>
        <v/>
      </c>
    </row>
    <row r="7" customFormat="false" ht="21.75" hidden="false" customHeight="true" outlineLevel="0" collapsed="false">
      <c r="B7" s="25" t="s">
        <v>1197</v>
      </c>
      <c r="C7" s="26"/>
      <c r="D7" s="27" t="s">
        <v>217</v>
      </c>
      <c r="E7" s="28" t="s">
        <v>1198</v>
      </c>
      <c r="F7" s="29" t="n">
        <v>2000</v>
      </c>
      <c r="G7" s="30" t="str">
        <f aca="false">IF(ISBLANK(C7),IF(Fill_Example="Yes",F7,""),C7)</f>
        <v/>
      </c>
    </row>
    <row r="8" customFormat="false" ht="15" hidden="false" customHeight="true" outlineLevel="0" collapsed="false">
      <c r="B8" s="25" t="s">
        <v>1199</v>
      </c>
      <c r="C8" s="26"/>
      <c r="D8" s="27" t="s">
        <v>217</v>
      </c>
      <c r="E8" s="28" t="s">
        <v>1200</v>
      </c>
      <c r="F8" s="29" t="n">
        <v>800</v>
      </c>
      <c r="G8" s="30" t="str">
        <f aca="false">IF(ISBLANK(C8),IF(Fill_Example="Yes",F8,""),C8)</f>
        <v/>
      </c>
    </row>
    <row r="9" customFormat="false" ht="21.75" hidden="false" customHeight="true" outlineLevel="0" collapsed="false">
      <c r="B9" s="25" t="s">
        <v>1201</v>
      </c>
      <c r="C9" s="26"/>
      <c r="D9" s="27" t="s">
        <v>217</v>
      </c>
      <c r="E9" s="28" t="s">
        <v>1202</v>
      </c>
      <c r="F9" s="29" t="n">
        <v>200</v>
      </c>
      <c r="G9" s="30" t="str">
        <f aca="false">IF(ISBLANK(C9),IF(Fill_Example="Yes",F9,""),C9)</f>
        <v/>
      </c>
    </row>
    <row r="11" customFormat="false" ht="15" hidden="false" customHeight="true" outlineLevel="0" collapsed="false">
      <c r="B11" s="13" t="s">
        <v>326</v>
      </c>
      <c r="C11" s="14"/>
      <c r="D11" s="14"/>
      <c r="E11" s="14"/>
      <c r="F11" s="14"/>
      <c r="G11" s="14"/>
    </row>
    <row r="12" customFormat="false" ht="15" hidden="false" customHeight="true" outlineLevel="0" collapsed="false">
      <c r="B12" s="25" t="s">
        <v>1203</v>
      </c>
      <c r="C12" s="58" t="str">
        <f aca="false">IF(Take_Home="",TE_Take_Home_Month,Take_Home)</f>
        <v>Choose your tax status to see this</v>
      </c>
      <c r="D12" s="59" t="str">
        <f aca="false">IF(Take_Home="","From the Tax engine","Your figure")</f>
        <v>From the Tax engine</v>
      </c>
      <c r="E12" s="49" t="s">
        <v>1204</v>
      </c>
    </row>
    <row r="14" customFormat="false" ht="15" hidden="false" customHeight="true" outlineLevel="0" collapsed="false">
      <c r="B14" s="13" t="s">
        <v>239</v>
      </c>
      <c r="C14" s="24" t="s">
        <v>240</v>
      </c>
      <c r="D14" s="24" t="s">
        <v>241</v>
      </c>
      <c r="E14" s="24" t="s">
        <v>242</v>
      </c>
      <c r="F14" s="14"/>
      <c r="G14" s="14"/>
    </row>
    <row r="15" customFormat="false" ht="17.25" hidden="false" customHeight="true" outlineLevel="0" collapsed="false">
      <c r="B15" s="21" t="s">
        <v>1205</v>
      </c>
      <c r="C15" s="41" t="str">
        <f aca="false">IF(Need_1&lt;&gt;"",Need_1,Used_Take_Home-Essentials-Lifestyle-Debt_Repayments)</f>
        <v>Choose your essentials to see this</v>
      </c>
      <c r="D15" s="63" t="str">
        <f aca="false">IF(Need_1&lt;&gt;"",Need_1,IF(Surplus&gt;0,"About "&amp;ROUND(Surplus/Used_Take_Home*100,0)&amp;"% of take-home is free for goals",IF(Surplus=0,"Nothing left over this month","Spending is above income")))</f>
        <v>Choose your essentials to see this</v>
      </c>
      <c r="E15" s="42" t="s">
        <v>1206</v>
      </c>
    </row>
    <row r="16" customFormat="false" ht="17.25" hidden="false" customHeight="true" outlineLevel="0" collapsed="false">
      <c r="B16" s="21" t="s">
        <v>1207</v>
      </c>
      <c r="C16" s="41" t="str">
        <f aca="false">IF(Need_2&lt;&gt;"",Need_2,Essentials+Lifestyle+Debt_Repayments)</f>
        <v>Choose your essentials to see this</v>
      </c>
      <c r="D16" s="27" t="s">
        <v>217</v>
      </c>
      <c r="E16" s="42" t="s">
        <v>1208</v>
      </c>
    </row>
    <row r="18" customFormat="false" ht="15" hidden="false" customHeight="true" outlineLevel="0" collapsed="false">
      <c r="B18" s="13" t="s">
        <v>272</v>
      </c>
      <c r="C18" s="14"/>
      <c r="D18" s="14"/>
      <c r="E18" s="14"/>
      <c r="F18" s="14"/>
      <c r="G18" s="14"/>
    </row>
    <row r="19" customFormat="false" ht="13.5" hidden="false" customHeight="true" outlineLevel="0" collapsed="false">
      <c r="B19" s="46" t="s">
        <v>1209</v>
      </c>
      <c r="C19" s="46"/>
      <c r="D19" s="46"/>
      <c r="E19" s="46"/>
    </row>
    <row r="20" customFormat="false" ht="13.5" hidden="false" customHeight="true" outlineLevel="0" collapsed="false">
      <c r="B20" s="47" t="s">
        <v>276</v>
      </c>
      <c r="C20" s="47"/>
      <c r="D20" s="47"/>
      <c r="E20" s="47"/>
    </row>
    <row r="21" customFormat="false" ht="13.5" hidden="false" customHeight="true" outlineLevel="0" collapsed="false">
      <c r="B21" s="46" t="s">
        <v>1210</v>
      </c>
      <c r="C21" s="46"/>
      <c r="D21" s="46"/>
      <c r="E21" s="46"/>
    </row>
    <row r="23" customFormat="false" ht="15" hidden="false" customHeight="true" outlineLevel="0" collapsed="false">
      <c r="B23" s="13" t="s">
        <v>281</v>
      </c>
      <c r="C23" s="14"/>
      <c r="D23" s="14"/>
      <c r="E23" s="14"/>
      <c r="F23" s="14"/>
      <c r="G23" s="14"/>
    </row>
    <row r="24" customFormat="false" ht="15" hidden="false" customHeight="true" outlineLevel="0" collapsed="false">
      <c r="B24" s="25" t="s">
        <v>282</v>
      </c>
      <c r="C24" s="48" t="str">
        <f aca="false">IF(Need_1&lt;&gt;"",Need_1,IF(Surplus&gt;0,"Save my surplus (plan kind pot)","No goal"))</f>
        <v>Choose your essentials to see this</v>
      </c>
      <c r="E24" s="49" t="s">
        <v>1211</v>
      </c>
    </row>
    <row r="25" customFormat="false" ht="15" hidden="false" customHeight="true" outlineLevel="0" collapsed="false">
      <c r="B25" s="25" t="s">
        <v>1212</v>
      </c>
      <c r="C25" s="50" t="str">
        <f aca="false">IF(Need_1&lt;&gt;"",Need_1,IF(Surplus&gt;0,ROUND(Surplus*12,0),"—"))</f>
        <v>Choose your essentials to see this</v>
      </c>
      <c r="E25" s="49" t="s">
        <v>1213</v>
      </c>
    </row>
    <row r="26" customFormat="false" ht="15" hidden="false" customHeight="true" outlineLevel="0" collapsed="false">
      <c r="B26" s="25" t="s">
        <v>288</v>
      </c>
      <c r="C26" s="51" t="str">
        <f aca="false">IF(Need_1&lt;&gt;"",Need_1,IF(Surplus&gt;0,1,"—"))</f>
        <v>Choose your essentials to see this</v>
      </c>
      <c r="E26" s="49" t="s">
        <v>1214</v>
      </c>
    </row>
    <row r="28" customFormat="false" ht="15" hidden="false" customHeight="true" outlineLevel="0" collapsed="false">
      <c r="B28" s="13" t="s">
        <v>290</v>
      </c>
      <c r="C28" s="14"/>
      <c r="D28" s="14"/>
      <c r="E28" s="14"/>
      <c r="F28" s="14"/>
      <c r="G28" s="14"/>
    </row>
    <row r="29" customFormat="false" ht="15" hidden="false" customHeight="true" outlineLevel="0" collapsed="false">
      <c r="B29" s="52" t="s">
        <v>1215</v>
      </c>
      <c r="C29" s="52"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2" t="s">
        <v>1216</v>
      </c>
      <c r="C30" s="52"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1217</v>
      </c>
      <c r="E1" s="3" t="s">
        <v>1218</v>
      </c>
    </row>
    <row r="2" customFormat="false" ht="15" hidden="false" customHeight="true" outlineLevel="0" collapsed="false">
      <c r="B2" s="21" t="s">
        <v>1219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1220</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1195</v>
      </c>
      <c r="C6" s="26"/>
      <c r="D6" s="27" t="s">
        <v>217</v>
      </c>
      <c r="E6" s="28" t="s">
        <v>1196</v>
      </c>
      <c r="F6" s="29"/>
      <c r="G6" s="30" t="str">
        <f aca="false">IF(ISBLANK(C6),"",C6)</f>
        <v/>
      </c>
    </row>
    <row r="7" customFormat="false" ht="21.75" hidden="false" customHeight="true" outlineLevel="0" collapsed="false">
      <c r="B7" s="25" t="s">
        <v>1221</v>
      </c>
      <c r="C7" s="34"/>
      <c r="D7" s="27" t="s">
        <v>228</v>
      </c>
      <c r="E7" s="35" t="s">
        <v>1222</v>
      </c>
      <c r="F7" s="36" t="n">
        <v>0.5</v>
      </c>
      <c r="G7" s="37" t="str">
        <f aca="false">IF(ISBLANK(C7),IF(Fill_Example="Yes",F7,""),C7)</f>
        <v/>
      </c>
    </row>
    <row r="8" customFormat="false" ht="21.75" hidden="false" customHeight="true" outlineLevel="0" collapsed="false">
      <c r="B8" s="25" t="s">
        <v>1223</v>
      </c>
      <c r="C8" s="34"/>
      <c r="D8" s="27" t="s">
        <v>228</v>
      </c>
      <c r="E8" s="35" t="s">
        <v>1224</v>
      </c>
      <c r="F8" s="36" t="n">
        <v>0.3</v>
      </c>
      <c r="G8" s="37" t="str">
        <f aca="false">IF(ISBLANK(C8),IF(Fill_Example="Yes",F8,""),C8)</f>
        <v/>
      </c>
    </row>
    <row r="9" customFormat="false" ht="21.75" hidden="false" customHeight="true" outlineLevel="0" collapsed="false">
      <c r="B9" s="25" t="s">
        <v>1225</v>
      </c>
      <c r="C9" s="34"/>
      <c r="D9" s="27" t="s">
        <v>228</v>
      </c>
      <c r="E9" s="35" t="s">
        <v>1226</v>
      </c>
      <c r="F9" s="36" t="n">
        <v>0.2</v>
      </c>
      <c r="G9" s="37" t="str">
        <f aca="false">IF(ISBLANK(C9),IF(Fill_Example="Yes",F9,""),C9)</f>
        <v/>
      </c>
    </row>
    <row r="11" customFormat="false" ht="15" hidden="false" customHeight="true" outlineLevel="0" collapsed="false">
      <c r="B11" s="13" t="s">
        <v>326</v>
      </c>
      <c r="C11" s="14"/>
      <c r="D11" s="14"/>
      <c r="E11" s="14"/>
      <c r="F11" s="14"/>
      <c r="G11" s="14"/>
    </row>
    <row r="12" customFormat="false" ht="15" hidden="false" customHeight="true" outlineLevel="0" collapsed="false">
      <c r="B12" s="25" t="s">
        <v>1203</v>
      </c>
      <c r="C12" s="58" t="str">
        <f aca="false">IF(Take_Home="",TE_Take_Home_Month,Take_Home)</f>
        <v>Choose your tax status to see this</v>
      </c>
      <c r="D12" s="59" t="str">
        <f aca="false">IF(Take_Home="","From the Tax engine","Your figure")</f>
        <v>From the Tax engine</v>
      </c>
      <c r="E12" s="49" t="s">
        <v>1204</v>
      </c>
    </row>
    <row r="14" customFormat="false" ht="15" hidden="false" customHeight="true" outlineLevel="0" collapsed="false">
      <c r="B14" s="13" t="s">
        <v>239</v>
      </c>
      <c r="C14" s="24" t="s">
        <v>240</v>
      </c>
      <c r="D14" s="24" t="s">
        <v>241</v>
      </c>
      <c r="E14" s="24" t="s">
        <v>242</v>
      </c>
      <c r="F14" s="14"/>
      <c r="G14" s="14"/>
    </row>
    <row r="15" customFormat="false" ht="15" hidden="false" customHeight="true" outlineLevel="0" collapsed="false">
      <c r="B15" s="72" t="s">
        <v>768</v>
      </c>
      <c r="C15" s="73" t="str">
        <f aca="false">IF(Need_1&lt;&gt;"","",IF(ROUND(Budget_Needs+Budget_Wants+Budget_Save,6)&lt;&gt;1,"Your shares add up to "&amp;TEXT(Budget_Needs+Budget_Wants+Budget_Save,"0%")&amp;", not 100%.",""))</f>
        <v/>
      </c>
      <c r="D15" s="73"/>
      <c r="E15" s="73"/>
    </row>
    <row r="16" customFormat="false" ht="17.25" hidden="false" customHeight="true" outlineLevel="0" collapsed="false">
      <c r="B16" s="21" t="s">
        <v>1227</v>
      </c>
      <c r="C16" s="41" t="str">
        <f aca="false">IF(Need_2&lt;&gt;"",Need_2,Used_Take_Home*Budget_Save)</f>
        <v>Choose your share for savings to see this</v>
      </c>
      <c r="D16" s="27" t="s">
        <v>217</v>
      </c>
      <c r="E16" s="42" t="s">
        <v>1228</v>
      </c>
    </row>
    <row r="17" customFormat="false" ht="17.25" hidden="false" customHeight="true" outlineLevel="0" collapsed="false">
      <c r="B17" s="21" t="s">
        <v>1229</v>
      </c>
      <c r="C17" s="41" t="str">
        <f aca="false">IF(Need_3&lt;&gt;"",Need_3,Used_Take_Home*Budget_Needs)</f>
        <v>Choose your share for needs to see this</v>
      </c>
      <c r="D17" s="27" t="s">
        <v>217</v>
      </c>
      <c r="E17" s="42" t="s">
        <v>1230</v>
      </c>
    </row>
    <row r="18" customFormat="false" ht="17.25" hidden="false" customHeight="true" outlineLevel="0" collapsed="false">
      <c r="B18" s="21" t="s">
        <v>1231</v>
      </c>
      <c r="C18" s="41" t="str">
        <f aca="false">IF(Need_4&lt;&gt;"",Need_4,Used_Take_Home*Budget_Wants)</f>
        <v>Choose your share for wants to see this</v>
      </c>
      <c r="D18" s="27" t="s">
        <v>217</v>
      </c>
      <c r="E18" s="42" t="s">
        <v>1232</v>
      </c>
    </row>
    <row r="20" customFormat="false" ht="15" hidden="false" customHeight="true" outlineLevel="0" collapsed="false">
      <c r="B20" s="13" t="s">
        <v>272</v>
      </c>
      <c r="C20" s="14"/>
      <c r="D20" s="14"/>
      <c r="E20" s="14"/>
      <c r="F20" s="14"/>
      <c r="G20" s="14"/>
    </row>
    <row r="21" customFormat="false" ht="13.5" hidden="false" customHeight="true" outlineLevel="0" collapsed="false">
      <c r="B21" s="46" t="s">
        <v>1233</v>
      </c>
      <c r="C21" s="46"/>
      <c r="D21" s="46"/>
      <c r="E21" s="46"/>
    </row>
    <row r="22" customFormat="false" ht="13.5" hidden="false" customHeight="true" outlineLevel="0" collapsed="false">
      <c r="B22" s="47" t="s">
        <v>276</v>
      </c>
      <c r="C22" s="47"/>
      <c r="D22" s="47"/>
      <c r="E22" s="47"/>
    </row>
    <row r="23" customFormat="false" ht="13.5" hidden="false" customHeight="true" outlineLevel="0" collapsed="false">
      <c r="B23" s="46" t="s">
        <v>1234</v>
      </c>
      <c r="C23" s="46"/>
      <c r="D23" s="46"/>
      <c r="E23" s="46"/>
    </row>
    <row r="25" customFormat="false" ht="15" hidden="false" customHeight="true" outlineLevel="0" collapsed="false">
      <c r="B25" s="13" t="s">
        <v>281</v>
      </c>
      <c r="C25" s="14"/>
      <c r="D25" s="14"/>
      <c r="E25" s="14"/>
      <c r="F25" s="14"/>
      <c r="G25" s="14"/>
    </row>
    <row r="26" customFormat="false" ht="15" hidden="false" customHeight="true" outlineLevel="0" collapsed="false">
      <c r="B26" s="25" t="s">
        <v>282</v>
      </c>
      <c r="C26" s="48" t="str">
        <f aca="false">"No goal"</f>
        <v>No goal</v>
      </c>
      <c r="E26" s="49" t="s">
        <v>471</v>
      </c>
    </row>
    <row r="28" customFormat="false" ht="15" hidden="false" customHeight="true" outlineLevel="0" collapsed="false">
      <c r="B28" s="13" t="s">
        <v>290</v>
      </c>
      <c r="C28" s="14"/>
      <c r="D28" s="14"/>
      <c r="E28" s="14"/>
      <c r="F28" s="14"/>
      <c r="G28" s="14"/>
    </row>
    <row r="29" customFormat="false" ht="15" hidden="false" customHeight="true" outlineLevel="0" collapsed="false">
      <c r="B29" s="52" t="s">
        <v>1235</v>
      </c>
      <c r="C29" s="52" t="str">
        <f aca="false">IF(Budget_Needs="","Choose your share for needs to see this",IF(Budget_Wants="","Choose your share for wants to see this",IF(Budget_Save="","Choose your share for savings to see this","")))</f>
        <v>Choose your share for needs to see this</v>
      </c>
    </row>
    <row r="30" customFormat="false" ht="15" hidden="false" customHeight="true" outlineLevel="0" collapsed="false">
      <c r="B30" s="52" t="s">
        <v>1236</v>
      </c>
      <c r="C30" s="52" t="str">
        <f aca="false">IF(Budget_Save="","Choose your share for savings to see this",IF(NOT(ISNUMBER(Used_Take_Home)),IF(Used_Take_Home="","Choose your take-home pay per month to see this",Used_Take_Home),""))</f>
        <v>Choose your share for savings to see this</v>
      </c>
    </row>
    <row r="31" customFormat="false" ht="15" hidden="false" customHeight="true" outlineLevel="0" collapsed="false">
      <c r="B31" s="52" t="s">
        <v>1237</v>
      </c>
      <c r="C31" s="52" t="str">
        <f aca="false">IF(Budget_Needs="","Choose your share for needs to see this",IF(NOT(ISNUMBER(Used_Take_Home)),IF(Used_Take_Home="","Choose your take-home pay per month to see this",Used_Take_Home),""))</f>
        <v>Choose your share for needs to see this</v>
      </c>
    </row>
    <row r="32" customFormat="false" ht="15" hidden="false" customHeight="true" outlineLevel="0" collapsed="false">
      <c r="B32" s="52" t="s">
        <v>1238</v>
      </c>
      <c r="C32" s="52" t="str">
        <f aca="false">IF(Budget_Wants="","Choose your share for wants to see this",IF(NOT(ISNUMBER(Used_Take_Home)),IF(Used_Take_Home="","Choose your take-home pay per month to see this",Used_Take_Home),""))</f>
        <v>Choose your share for wants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1239</v>
      </c>
      <c r="E1" s="3" t="s">
        <v>1240</v>
      </c>
    </row>
    <row r="2" customFormat="false" ht="15" hidden="false" customHeight="true" outlineLevel="0" collapsed="false">
      <c r="B2" s="21" t="s">
        <v>1241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1242</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1243</v>
      </c>
      <c r="C6" s="26"/>
      <c r="D6" s="27" t="s">
        <v>217</v>
      </c>
      <c r="E6" s="28" t="s">
        <v>1244</v>
      </c>
      <c r="F6" s="29" t="n">
        <v>5000</v>
      </c>
      <c r="G6" s="30" t="str">
        <f aca="false">IF(ISBLANK(C6),IF(Fill_Example="Yes",F6,""),C6)</f>
        <v/>
      </c>
    </row>
    <row r="7" customFormat="false" ht="33" hidden="false" customHeight="true" outlineLevel="0" collapsed="false">
      <c r="B7" s="25" t="s">
        <v>1245</v>
      </c>
      <c r="C7" s="34"/>
      <c r="D7" s="27" t="s">
        <v>228</v>
      </c>
      <c r="E7" s="35" t="s">
        <v>1246</v>
      </c>
      <c r="F7" s="36" t="n">
        <v>0.2</v>
      </c>
      <c r="G7" s="37" t="str">
        <f aca="false">IF(ISBLANK(C7),IF(Fill_Example="Yes",F7,""),C7)</f>
        <v/>
      </c>
    </row>
    <row r="8" customFormat="false" ht="21.75" hidden="false" customHeight="true" outlineLevel="0" collapsed="false">
      <c r="B8" s="25" t="s">
        <v>1247</v>
      </c>
      <c r="C8" s="26"/>
      <c r="D8" s="27" t="s">
        <v>217</v>
      </c>
      <c r="E8" s="28" t="s">
        <v>1248</v>
      </c>
      <c r="F8" s="29" t="n">
        <v>250</v>
      </c>
      <c r="G8" s="30" t="str">
        <f aca="false">IF(ISBLANK(C8),IF(Fill_Example="Yes",F8,""),C8)</f>
        <v/>
      </c>
    </row>
    <row r="9" customFormat="false" ht="15" hidden="false" customHeight="true" outlineLevel="0" collapsed="false">
      <c r="B9" s="25" t="s">
        <v>1249</v>
      </c>
      <c r="C9" s="26"/>
      <c r="D9" s="27" t="s">
        <v>217</v>
      </c>
      <c r="E9" s="28" t="s">
        <v>1250</v>
      </c>
      <c r="F9" s="29" t="n">
        <v>0</v>
      </c>
      <c r="G9" s="30" t="n">
        <f aca="false">IF(ISBLANK(C9),F9,C9)</f>
        <v>0</v>
      </c>
    </row>
    <row r="11" customFormat="false" ht="15" hidden="false" customHeight="true" outlineLevel="0" collapsed="false">
      <c r="B11" s="13" t="s">
        <v>239</v>
      </c>
      <c r="C11" s="24" t="s">
        <v>240</v>
      </c>
      <c r="D11" s="24" t="s">
        <v>241</v>
      </c>
      <c r="E11" s="24" t="s">
        <v>242</v>
      </c>
      <c r="F11" s="14"/>
      <c r="G11" s="14"/>
    </row>
    <row r="12" customFormat="false" ht="17.25" hidden="false" customHeight="true" outlineLevel="0" collapsed="false">
      <c r="B12" s="21" t="s">
        <v>1251</v>
      </c>
      <c r="C12" s="62" t="str">
        <f aca="false">IF(Need_1&lt;&gt;"",Need_1,IF(Payment&lt;=Balance*Monthly_Rate,"Never",ROUNDUP(ROUND(NPER(Monthly_Rate,-Payment,Balance),6),0)))</f>
        <v>Choose your balance to see this</v>
      </c>
      <c r="D12" s="63"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2" t="s">
        <v>1252</v>
      </c>
    </row>
    <row r="13" customFormat="false" ht="17.25" hidden="false" customHeight="true" outlineLevel="0" collapsed="false">
      <c r="B13" s="21" t="s">
        <v>337</v>
      </c>
      <c r="C13" s="41" t="str">
        <f aca="false">IF(Need_1&lt;&gt;"",Need_1,IF(Months_To_Clear="Never","—",Payment*(Months_To_Clear-1)+Final_Payment-Balance))</f>
        <v>Choose your balance to see this</v>
      </c>
      <c r="D13" s="27" t="s">
        <v>217</v>
      </c>
      <c r="E13" s="42" t="s">
        <v>1253</v>
      </c>
    </row>
    <row r="14" customFormat="false" ht="15" hidden="false" customHeight="true" outlineLevel="0" collapsed="false">
      <c r="B14" s="25" t="s">
        <v>1254</v>
      </c>
      <c r="C14" s="64" t="str">
        <f aca="false">IF(Need_2&lt;&gt;"",Need_2,(1+APR)^(1/12)-1)</f>
        <v>Choose your interest rate (APR) to see this</v>
      </c>
      <c r="D14" s="27"/>
      <c r="E14" s="42" t="s">
        <v>1255</v>
      </c>
    </row>
    <row r="15" customFormat="false" ht="15" hidden="false" customHeight="true" outlineLevel="0" collapsed="false">
      <c r="B15" s="25" t="s">
        <v>1256</v>
      </c>
      <c r="C15" s="43" t="str">
        <f aca="false">IF(Need_3&lt;&gt;"",Need_3,Monthly_Payment+Extra_Payment)</f>
        <v>Choose your monthly payment to see this</v>
      </c>
      <c r="D15" s="27" t="s">
        <v>217</v>
      </c>
      <c r="E15" s="42" t="s">
        <v>1257</v>
      </c>
    </row>
    <row r="16" customFormat="false" ht="15" hidden="false" customHeight="true" outlineLevel="0" collapsed="false">
      <c r="B16" s="25" t="s">
        <v>345</v>
      </c>
      <c r="C16" s="43" t="str">
        <f aca="false">IF(Need_1&lt;&gt;"",Need_1,IF(Months_To_Clear="Never","—",-FV(Monthly_Rate,Months_To_Clear-1,-Payment,Balance)*(1+Monthly_Rate)))</f>
        <v>Choose your balance to see this</v>
      </c>
      <c r="D16" s="27" t="s">
        <v>217</v>
      </c>
      <c r="E16" s="42" t="s">
        <v>1258</v>
      </c>
    </row>
    <row r="18" customFormat="false" ht="15" hidden="false" customHeight="true" outlineLevel="0" collapsed="false">
      <c r="B18" s="13" t="s">
        <v>272</v>
      </c>
      <c r="C18" s="14"/>
      <c r="D18" s="14"/>
      <c r="E18" s="14"/>
      <c r="F18" s="14"/>
      <c r="G18" s="14"/>
    </row>
    <row r="19" customFormat="false" ht="13.5" hidden="false" customHeight="true" outlineLevel="0" collapsed="false">
      <c r="B19" s="46" t="s">
        <v>1259</v>
      </c>
      <c r="C19" s="46"/>
      <c r="D19" s="46"/>
      <c r="E19" s="46"/>
    </row>
    <row r="20" customFormat="false" ht="13.5" hidden="false" customHeight="true" outlineLevel="0" collapsed="false">
      <c r="B20" s="46" t="s">
        <v>1260</v>
      </c>
      <c r="C20" s="46"/>
      <c r="D20" s="46"/>
      <c r="E20" s="46"/>
    </row>
    <row r="21" customFormat="false" ht="13.5" hidden="false" customHeight="true" outlineLevel="0" collapsed="false">
      <c r="B21" s="47" t="s">
        <v>276</v>
      </c>
      <c r="C21" s="47"/>
      <c r="D21" s="47"/>
      <c r="E21" s="47"/>
    </row>
    <row r="22" customFormat="false" ht="27.75" hidden="false" customHeight="true" outlineLevel="0" collapsed="false">
      <c r="B22" s="46" t="s">
        <v>356</v>
      </c>
      <c r="C22" s="46"/>
      <c r="D22" s="46"/>
      <c r="E22" s="46"/>
    </row>
    <row r="23" customFormat="false" ht="13.5" hidden="false" customHeight="true" outlineLevel="0" collapsed="false">
      <c r="B23" s="46" t="s">
        <v>1261</v>
      </c>
      <c r="C23" s="46"/>
      <c r="D23" s="46"/>
      <c r="E23" s="46"/>
    </row>
    <row r="24" customFormat="false" ht="27.75" hidden="false" customHeight="true" outlineLevel="0" collapsed="false">
      <c r="B24" s="46" t="s">
        <v>358</v>
      </c>
      <c r="C24" s="46"/>
      <c r="D24" s="46"/>
      <c r="E24" s="46"/>
    </row>
    <row r="25" customFormat="false" ht="13.5" hidden="false" customHeight="true" outlineLevel="0" collapsed="false">
      <c r="B25" s="46" t="s">
        <v>280</v>
      </c>
      <c r="C25" s="46"/>
      <c r="D25" s="46"/>
      <c r="E25" s="46"/>
    </row>
    <row r="27" customFormat="false" ht="15" hidden="false" customHeight="true" outlineLevel="0" collapsed="false">
      <c r="B27" s="13" t="s">
        <v>281</v>
      </c>
      <c r="C27" s="14"/>
      <c r="D27" s="14"/>
      <c r="E27" s="14"/>
      <c r="F27" s="14"/>
      <c r="G27" s="14"/>
    </row>
    <row r="28" customFormat="false" ht="15" hidden="false" customHeight="true" outlineLevel="0" collapsed="false">
      <c r="B28" s="25" t="s">
        <v>282</v>
      </c>
      <c r="C28" s="48" t="str">
        <f aca="false">"No goal (the plan already repays this debt)"</f>
        <v>No goal (the plan already repays this debt)</v>
      </c>
      <c r="E28" s="49" t="s">
        <v>1262</v>
      </c>
    </row>
    <row r="29" customFormat="false" ht="13.5" hidden="false" customHeight="true" outlineLevel="0" collapsed="false">
      <c r="B29" s="53" t="s">
        <v>1263</v>
      </c>
      <c r="C29" s="53"/>
      <c r="D29" s="53"/>
      <c r="E29" s="53"/>
    </row>
    <row r="31" customFormat="false" ht="15" hidden="false" customHeight="true" outlineLevel="0" collapsed="false">
      <c r="B31" s="13" t="s">
        <v>290</v>
      </c>
      <c r="C31" s="14"/>
      <c r="D31" s="14"/>
      <c r="E31" s="14"/>
      <c r="F31" s="14"/>
      <c r="G31" s="14"/>
    </row>
    <row r="32" customFormat="false" ht="15" hidden="false" customHeight="true" outlineLevel="0" collapsed="false">
      <c r="B32" s="52" t="s">
        <v>1264</v>
      </c>
      <c r="C32" s="52" t="str">
        <f aca="false">IF(Balance="","Choose your balance to see this",IF(APR="","Choose your interest rate (APR) to see this",IF(Monthly_Payment="","Choose your monthly payment to see this","")))</f>
        <v>Choose your balance to see this</v>
      </c>
    </row>
    <row r="33" customFormat="false" ht="15" hidden="false" customHeight="true" outlineLevel="0" collapsed="false">
      <c r="B33" s="52" t="s">
        <v>1265</v>
      </c>
      <c r="C33" s="52" t="str">
        <f aca="false">IF(APR="","Choose your interest rate (APR) to see this","")</f>
        <v>Choose your interest rate (APR) to see this</v>
      </c>
    </row>
    <row r="34" customFormat="false" ht="15" hidden="false" customHeight="true" outlineLevel="0" collapsed="false">
      <c r="B34" s="52" t="s">
        <v>1266</v>
      </c>
      <c r="C34" s="52" t="str">
        <f aca="false">IF(Monthly_Payment="","Choose your monthly payment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Usually between 13% and 23% APR for Irish credit cards (Central Bank review, 2026); your statement shows yours. In the app it is pre-filled from Your finances: that debt's rate (else 20% card / 8% loan). Enter your own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1267</v>
      </c>
      <c r="E1" s="3" t="s">
        <v>1268</v>
      </c>
    </row>
    <row r="2" customFormat="false" ht="15" hidden="false" customHeight="true" outlineLevel="0" collapsed="false">
      <c r="B2" s="21" t="s">
        <v>1269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1270</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1271</v>
      </c>
      <c r="C6" s="26"/>
      <c r="D6" s="27" t="s">
        <v>217</v>
      </c>
      <c r="E6" s="28" t="s">
        <v>1272</v>
      </c>
      <c r="F6" s="29" t="n">
        <v>15000</v>
      </c>
      <c r="G6" s="30" t="str">
        <f aca="false">IF(ISBLANK(C6),IF(Fill_Example="Yes",F6,""),C6)</f>
        <v/>
      </c>
    </row>
    <row r="7" customFormat="false" ht="21.75" hidden="false" customHeight="true" outlineLevel="0" collapsed="false">
      <c r="B7" s="25" t="s">
        <v>1245</v>
      </c>
      <c r="C7" s="34"/>
      <c r="D7" s="27" t="s">
        <v>228</v>
      </c>
      <c r="E7" s="35" t="s">
        <v>1273</v>
      </c>
      <c r="F7" s="36" t="n">
        <v>0.08</v>
      </c>
      <c r="G7" s="37" t="str">
        <f aca="false">IF(ISBLANK(C7),IF(Fill_Example="Yes",F7,""),C7)</f>
        <v/>
      </c>
    </row>
    <row r="8" customFormat="false" ht="15" hidden="false" customHeight="true" outlineLevel="0" collapsed="false">
      <c r="B8" s="25" t="s">
        <v>603</v>
      </c>
      <c r="C8" s="38"/>
      <c r="D8" s="27" t="s">
        <v>231</v>
      </c>
      <c r="E8" s="28" t="s">
        <v>682</v>
      </c>
      <c r="F8" s="39" t="n">
        <v>5</v>
      </c>
      <c r="G8" s="40" t="str">
        <f aca="false">IF(ISBLANK(C8),IF(Fill_Example="Yes",F8,""),C8)</f>
        <v/>
      </c>
    </row>
    <row r="10" customFormat="false" ht="15" hidden="false" customHeight="true" outlineLevel="0" collapsed="false">
      <c r="B10" s="13" t="s">
        <v>239</v>
      </c>
      <c r="C10" s="24" t="s">
        <v>240</v>
      </c>
      <c r="D10" s="24" t="s">
        <v>241</v>
      </c>
      <c r="E10" s="24" t="s">
        <v>242</v>
      </c>
      <c r="F10" s="14"/>
      <c r="G10" s="14"/>
    </row>
    <row r="11" customFormat="false" ht="17.25" hidden="false" customHeight="true" outlineLevel="0" collapsed="false">
      <c r="B11" s="21" t="s">
        <v>311</v>
      </c>
      <c r="C11" s="41" t="str">
        <f aca="false">IF(Need_1&lt;&gt;"",Need_1,PMT(Monthly_Rate,Years*12,-Loan_Amount))</f>
        <v>Choose your loan amount to see this</v>
      </c>
      <c r="D11" s="27" t="s">
        <v>217</v>
      </c>
      <c r="E11" s="42" t="s">
        <v>1274</v>
      </c>
    </row>
    <row r="12" customFormat="false" ht="17.25" hidden="false" customHeight="true" outlineLevel="0" collapsed="false">
      <c r="B12" s="21" t="s">
        <v>337</v>
      </c>
      <c r="C12" s="41" t="str">
        <f aca="false">IF(Need_1&lt;&gt;"",Need_1,Total_Repaid-Loan_Amount)</f>
        <v>Choose your loan amount to see this</v>
      </c>
      <c r="D12" s="27" t="s">
        <v>217</v>
      </c>
      <c r="E12" s="42" t="s">
        <v>1275</v>
      </c>
    </row>
    <row r="13" customFormat="false" ht="15" hidden="false" customHeight="true" outlineLevel="0" collapsed="false">
      <c r="B13" s="25" t="s">
        <v>339</v>
      </c>
      <c r="C13" s="43" t="str">
        <f aca="false">IF(Need_1&lt;&gt;"",Need_1,Monthly_Repayment*Years*12)</f>
        <v>Choose your loan amount to see this</v>
      </c>
      <c r="D13" s="27" t="s">
        <v>217</v>
      </c>
      <c r="E13" s="42" t="s">
        <v>1276</v>
      </c>
    </row>
    <row r="14" customFormat="false" ht="15" hidden="false" customHeight="true" outlineLevel="0" collapsed="false">
      <c r="B14" s="25" t="s">
        <v>1254</v>
      </c>
      <c r="C14" s="64" t="str">
        <f aca="false">IF(Need_2&lt;&gt;"",Need_2,(1+APR)^(1/12)-1)</f>
        <v>Choose your interest rate (APR) to see this</v>
      </c>
      <c r="D14" s="27"/>
      <c r="E14" s="42" t="s">
        <v>1255</v>
      </c>
    </row>
    <row r="16" customFormat="false" ht="15" hidden="false" customHeight="true" outlineLevel="0" collapsed="false">
      <c r="B16" s="13" t="s">
        <v>272</v>
      </c>
      <c r="C16" s="14"/>
      <c r="D16" s="14"/>
      <c r="E16" s="14"/>
      <c r="F16" s="14"/>
      <c r="G16" s="14"/>
    </row>
    <row r="17" customFormat="false" ht="13.5" hidden="false" customHeight="true" outlineLevel="0" collapsed="false">
      <c r="B17" s="46" t="s">
        <v>1277</v>
      </c>
      <c r="C17" s="46"/>
      <c r="D17" s="46"/>
      <c r="E17" s="46"/>
    </row>
    <row r="18" customFormat="false" ht="13.5" hidden="false" customHeight="true" outlineLevel="0" collapsed="false">
      <c r="B18" s="46" t="s">
        <v>1278</v>
      </c>
      <c r="C18" s="46"/>
      <c r="D18" s="46"/>
      <c r="E18" s="46"/>
    </row>
    <row r="19" customFormat="false" ht="13.5" hidden="false" customHeight="true" outlineLevel="0" collapsed="false">
      <c r="B19" s="47" t="s">
        <v>276</v>
      </c>
      <c r="C19" s="47"/>
      <c r="D19" s="47"/>
      <c r="E19" s="47"/>
    </row>
    <row r="20" customFormat="false" ht="13.5" hidden="false" customHeight="true" outlineLevel="0" collapsed="false">
      <c r="B20" s="46" t="s">
        <v>280</v>
      </c>
      <c r="C20" s="46"/>
      <c r="D20" s="46"/>
      <c r="E20" s="46"/>
    </row>
    <row r="22" customFormat="false" ht="15" hidden="false" customHeight="true" outlineLevel="0" collapsed="false">
      <c r="B22" s="13" t="s">
        <v>281</v>
      </c>
      <c r="C22" s="14"/>
      <c r="D22" s="14"/>
      <c r="E22" s="14"/>
      <c r="F22" s="14"/>
      <c r="G22" s="14"/>
    </row>
    <row r="23" customFormat="false" ht="15" hidden="false" customHeight="true" outlineLevel="0" collapsed="false">
      <c r="B23" s="25" t="s">
        <v>282</v>
      </c>
      <c r="C23" s="48" t="str">
        <f aca="false">"No goal"</f>
        <v>No goal</v>
      </c>
      <c r="E23" s="49" t="s">
        <v>471</v>
      </c>
    </row>
    <row r="25" customFormat="false" ht="15" hidden="false" customHeight="true" outlineLevel="0" collapsed="false">
      <c r="B25" s="13" t="s">
        <v>290</v>
      </c>
      <c r="C25" s="14"/>
      <c r="D25" s="14"/>
      <c r="E25" s="14"/>
      <c r="F25" s="14"/>
      <c r="G25" s="14"/>
    </row>
    <row r="26" customFormat="false" ht="15" hidden="false" customHeight="true" outlineLevel="0" collapsed="false">
      <c r="B26" s="52" t="s">
        <v>1279</v>
      </c>
      <c r="C26" s="52" t="str">
        <f aca="false">IF(Loan_Amount="","Choose your loan amount to see this",IF(APR="","Choose your interest rate (APR) to see this",IF(Years="","Choose your years to see this","")))</f>
        <v>Choose your loan amount to see this</v>
      </c>
    </row>
    <row r="27" customFormat="false" ht="15" hidden="false" customHeight="true" outlineLevel="0" collapsed="false">
      <c r="B27" s="52" t="s">
        <v>1265</v>
      </c>
      <c r="C27" s="52" t="str">
        <f aca="false">IF(APR="","Choose your interest rate (APR) to see this","")</f>
        <v>Choose your interest rate (APR) to see this</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5%." errorStyle="stop" errorTitle="Outside the allowed range" operator="between" prompt="Usually between 6% and 10% APR for personal loans (Central Bank: new lending averaged 7.48%, June 2026); credit unions often charge less. Enter your own figure.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0" t="s">
        <v>1280</v>
      </c>
    </row>
    <row r="2" customFormat="false" ht="15" hidden="false" customHeight="true" outlineLevel="0" collapsed="false">
      <c r="B2" s="86" t="s">
        <v>1281</v>
      </c>
    </row>
    <row r="4" customFormat="false" ht="15" hidden="false" customHeight="true" outlineLevel="0" collapsed="false">
      <c r="B4" s="13" t="s">
        <v>212</v>
      </c>
      <c r="C4" s="14"/>
      <c r="D4" s="14"/>
      <c r="E4" s="14"/>
      <c r="F4" s="24" t="s">
        <v>1282</v>
      </c>
      <c r="G4" s="24" t="s">
        <v>1283</v>
      </c>
    </row>
    <row r="5" customFormat="false" ht="15" hidden="false" customHeight="true" outlineLevel="0" collapsed="false">
      <c r="B5" s="25" t="s">
        <v>1284</v>
      </c>
      <c r="C5" s="31"/>
      <c r="E5" s="3" t="s">
        <v>1285</v>
      </c>
      <c r="F5" s="32" t="s">
        <v>1286</v>
      </c>
      <c r="G5" s="33" t="str">
        <f aca="false">IF(ISBLANK(C5),IF(Fill_Example="Yes",F5,""),C5)</f>
        <v/>
      </c>
    </row>
    <row r="6" customFormat="false" ht="15" hidden="false" customHeight="true" outlineLevel="0" collapsed="false">
      <c r="B6" s="25" t="s">
        <v>1287</v>
      </c>
      <c r="C6" s="26"/>
      <c r="E6" s="3" t="s">
        <v>1288</v>
      </c>
      <c r="F6" s="29" t="n">
        <v>60000</v>
      </c>
      <c r="G6" s="30" t="str">
        <f aca="false">IF(ISBLANK(C6),IF(Fill_Example="Yes",F6,""),C6)</f>
        <v/>
      </c>
    </row>
    <row r="7" customFormat="false" ht="15" hidden="false" customHeight="true" outlineLevel="0" collapsed="false">
      <c r="B7" s="25" t="s">
        <v>1289</v>
      </c>
      <c r="C7" s="26"/>
      <c r="E7" s="3" t="s">
        <v>1290</v>
      </c>
      <c r="F7" s="29" t="n">
        <v>0</v>
      </c>
      <c r="G7" s="30" t="n">
        <f aca="false">IF(ISBLANK(C7),F7,C7)</f>
        <v>0</v>
      </c>
    </row>
    <row r="8" customFormat="false" ht="15" hidden="false" customHeight="true" outlineLevel="0" collapsed="false">
      <c r="B8" s="25" t="s">
        <v>1291</v>
      </c>
      <c r="C8" s="31"/>
      <c r="E8" s="3" t="s">
        <v>1292</v>
      </c>
      <c r="F8" s="32" t="s">
        <v>3</v>
      </c>
      <c r="G8" s="33" t="str">
        <f aca="false">IF(ISBLANK(C8),IF(Fill_Example="Yes",F8,""),C8)</f>
        <v/>
      </c>
    </row>
    <row r="9" customFormat="false" ht="15" hidden="false" customHeight="true" outlineLevel="0" collapsed="false">
      <c r="B9" s="25" t="s">
        <v>1293</v>
      </c>
      <c r="C9" s="31"/>
      <c r="E9" s="3" t="s">
        <v>1294</v>
      </c>
      <c r="F9" s="32" t="s">
        <v>3</v>
      </c>
      <c r="G9" s="33" t="str">
        <f aca="false">IF(ISBLANK(C9),IF(Fill_Example="Yes",F9,""),C9)</f>
        <v/>
      </c>
    </row>
    <row r="10" customFormat="false" ht="15" hidden="false" customHeight="true" outlineLevel="0" collapsed="false">
      <c r="B10" s="25" t="s">
        <v>1295</v>
      </c>
      <c r="C10" s="31"/>
      <c r="E10" s="3" t="s">
        <v>1296</v>
      </c>
      <c r="F10" s="32" t="s">
        <v>1297</v>
      </c>
      <c r="G10" s="33" t="str">
        <f aca="false">IF(ISBLANK(C10),F10,C10)</f>
        <v>From 1 Oct 2026</v>
      </c>
    </row>
    <row r="12" customFormat="false" ht="15" hidden="false" customHeight="true" outlineLevel="0" collapsed="false">
      <c r="B12" s="13" t="s">
        <v>1298</v>
      </c>
      <c r="C12" s="14"/>
      <c r="D12" s="14"/>
      <c r="E12" s="14"/>
    </row>
    <row r="13" customFormat="false" ht="15" hidden="false" customHeight="true" outlineLevel="0" collapsed="false">
      <c r="B13" s="25" t="s">
        <v>1299</v>
      </c>
      <c r="C13" s="87" t="n">
        <f aca="false">IF(TE_PRSI_Basis="Calendar 2026 blend",PRSI_Rate_2026_Blend,PRSI_Rate)</f>
        <v>0.0435</v>
      </c>
      <c r="E13" s="88" t="s">
        <v>1300</v>
      </c>
    </row>
    <row r="14" customFormat="false" ht="15" hidden="false" customHeight="true" outlineLevel="0" collapsed="false">
      <c r="B14" s="25" t="s">
        <v>1301</v>
      </c>
      <c r="C14" s="89" t="str">
        <f aca="false">IF(TE_Need&lt;&gt;"",TE_Need,IF(TE_Status="Married two earners",TE_Gross_2,0))</f>
        <v>Choose your tax status to see this</v>
      </c>
      <c r="E14" s="88" t="s">
        <v>1302</v>
      </c>
    </row>
    <row r="15" customFormat="false" ht="30" hidden="false" customHeight="true" outlineLevel="0" collapsed="false">
      <c r="B15" s="25" t="s">
        <v>1303</v>
      </c>
      <c r="C15" s="89" t="str">
        <f aca="false">IF(TE_Need&lt;&gt;"",TE_Need,IF(TE_Status="Single",Band_Single,IF(TE_Status="Single parent",Band_Single_Parent,IF(TE_Status="Married one earner",Band_Married,Band_Married+MIN(MIN(TE_Gross_1,TE_Gross_2),Band_Second_Earner_Max)))))</f>
        <v>Choose your tax status to see this</v>
      </c>
      <c r="E15" s="88" t="s">
        <v>1304</v>
      </c>
    </row>
    <row r="16" customFormat="false" ht="15" hidden="false" customHeight="true" outlineLevel="0" collapsed="false">
      <c r="B16" s="25" t="s">
        <v>1305</v>
      </c>
      <c r="C16" s="89" t="str">
        <f aca="false">IF(TE_Need&lt;&gt;"",TE_Need,TE_Gross_1+TE_Earner_2)</f>
        <v>Choose your tax status to see this</v>
      </c>
      <c r="E16" s="88" t="s">
        <v>1306</v>
      </c>
    </row>
    <row r="17" customFormat="false" ht="15" hidden="false" customHeight="true" outlineLevel="0" collapsed="false">
      <c r="B17" s="25" t="s">
        <v>1307</v>
      </c>
      <c r="C17" s="90" t="str">
        <f aca="false">IF(TE_Need&lt;&gt;"",TE_Need,Rate_Standard*MIN(TE_Taxable,TE_Band)+Rate_Higher*MAX(0,TE_Taxable-TE_Band))</f>
        <v>Choose your tax status to see this</v>
      </c>
      <c r="E17" s="88" t="s">
        <v>1308</v>
      </c>
    </row>
    <row r="18" customFormat="false" ht="30" hidden="false" customHeight="true" outlineLevel="0" collapsed="false">
      <c r="B18" s="25" t="s">
        <v>1309</v>
      </c>
      <c r="C18" s="90"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88" t="s">
        <v>1310</v>
      </c>
    </row>
    <row r="19" customFormat="false" ht="15" hidden="false" customHeight="true" outlineLevel="0" collapsed="false">
      <c r="B19" s="10" t="s">
        <v>1311</v>
      </c>
      <c r="C19" s="91" t="str">
        <f aca="false">IF(TE_Need&lt;&gt;"",TE_Need,MAX(0,TE_Tax_Before_Credits-TE_Credits))</f>
        <v>Choose your tax status to see this</v>
      </c>
      <c r="E19" s="88" t="s">
        <v>1312</v>
      </c>
    </row>
    <row r="20" customFormat="false" ht="30" hidden="false" customHeight="true" outlineLevel="0" collapsed="false">
      <c r="B20" s="10" t="s">
        <v>1313</v>
      </c>
      <c r="C20" s="91"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88" t="s">
        <v>1314</v>
      </c>
    </row>
    <row r="21" customFormat="false" ht="30" hidden="false" customHeight="true" outlineLevel="0" collapsed="false">
      <c r="B21" s="10" t="s">
        <v>1315</v>
      </c>
      <c r="C21" s="91"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88" t="s">
        <v>1316</v>
      </c>
    </row>
    <row r="22" customFormat="false" ht="15" hidden="false" customHeight="true" outlineLevel="0" collapsed="false">
      <c r="B22" s="10" t="s">
        <v>1317</v>
      </c>
      <c r="C22" s="91" t="str">
        <f aca="false">IF(TE_Need&lt;&gt;"",TE_Need,TE_Taxable-TE_Income_Tax-TE_USC-TE_PRSI)</f>
        <v>Choose your tax status to see this</v>
      </c>
      <c r="E22" s="88" t="s">
        <v>1318</v>
      </c>
    </row>
    <row r="23" customFormat="false" ht="15" hidden="false" customHeight="true" outlineLevel="0" collapsed="false">
      <c r="B23" s="10" t="s">
        <v>1319</v>
      </c>
      <c r="C23" s="91" t="str">
        <f aca="false">IF(TE_Need&lt;&gt;"",TE_Need,TE_Take_Home/12)</f>
        <v>Choose your tax status to see this</v>
      </c>
      <c r="E23" s="88" t="s">
        <v>1320</v>
      </c>
    </row>
    <row r="24" customFormat="false" ht="15" hidden="false" customHeight="true" outlineLevel="0" collapsed="false">
      <c r="B24" s="10" t="s">
        <v>1321</v>
      </c>
      <c r="C24" s="92" t="str">
        <f aca="false">IF(TE_Need&lt;&gt;"",TE_Need,IF(TE_Taxable&gt;TE_Band,Rate_Higher,Rate_Standard))</f>
        <v>Choose your tax status to see this</v>
      </c>
      <c r="E24" s="88" t="s">
        <v>1322</v>
      </c>
    </row>
    <row r="25" customFormat="false" ht="15" hidden="false" customHeight="true" outlineLevel="0" collapsed="false">
      <c r="B25" s="52" t="s">
        <v>1323</v>
      </c>
      <c r="C25" s="52"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3" t="s">
        <v>272</v>
      </c>
      <c r="C27" s="14"/>
      <c r="D27" s="14"/>
      <c r="E27" s="14"/>
    </row>
    <row r="28" customFormat="false" ht="15" hidden="false" customHeight="true" outlineLevel="0" collapsed="false">
      <c r="B28" s="93" t="s">
        <v>1324</v>
      </c>
      <c r="C28" s="93"/>
      <c r="D28" s="93"/>
      <c r="E28" s="93"/>
    </row>
    <row r="29" customFormat="false" ht="15" hidden="false" customHeight="true" outlineLevel="0" collapsed="false">
      <c r="B29" s="93" t="s">
        <v>1325</v>
      </c>
      <c r="C29" s="93"/>
      <c r="D29" s="93"/>
      <c r="E29" s="93"/>
    </row>
    <row r="30" customFormat="false" ht="15" hidden="false" customHeight="true" outlineLevel="0" collapsed="false">
      <c r="B30" s="93" t="s">
        <v>1326</v>
      </c>
      <c r="C30" s="93"/>
      <c r="D30" s="93"/>
      <c r="E30" s="93"/>
    </row>
    <row r="31" customFormat="false" ht="15" hidden="false" customHeight="true" outlineLevel="0" collapsed="false">
      <c r="B31" s="93" t="s">
        <v>1327</v>
      </c>
      <c r="C31" s="93"/>
      <c r="D31" s="93"/>
      <c r="E31" s="93"/>
    </row>
    <row r="33" customFormat="false" ht="15" hidden="false" customHeight="true" outlineLevel="0" collapsed="false">
      <c r="B33" s="13" t="s">
        <v>1328</v>
      </c>
      <c r="C33" s="14"/>
      <c r="D33" s="14"/>
      <c r="E33" s="14"/>
      <c r="F33" s="14"/>
      <c r="G33" s="14"/>
      <c r="H33" s="14"/>
      <c r="I33" s="14"/>
      <c r="J33" s="14"/>
      <c r="K33" s="14"/>
      <c r="L33" s="14"/>
      <c r="M33" s="14"/>
      <c r="N33" s="14"/>
      <c r="O33" s="14"/>
      <c r="P33" s="14"/>
      <c r="Q33" s="14"/>
      <c r="R33" s="14"/>
    </row>
    <row r="34" customFormat="false" ht="30" hidden="false" customHeight="true" outlineLevel="0" collapsed="false">
      <c r="B34" s="94" t="s">
        <v>1329</v>
      </c>
      <c r="C34" s="94" t="s">
        <v>1330</v>
      </c>
      <c r="D34" s="94" t="s">
        <v>1331</v>
      </c>
      <c r="E34" s="94" t="s">
        <v>1332</v>
      </c>
      <c r="F34" s="94" t="s">
        <v>1311</v>
      </c>
      <c r="G34" s="94" t="s">
        <v>1333</v>
      </c>
      <c r="H34" s="94" t="s">
        <v>1334</v>
      </c>
      <c r="I34" s="94" t="s">
        <v>1335</v>
      </c>
      <c r="J34" s="94" t="s">
        <v>1336</v>
      </c>
      <c r="K34" s="94" t="s">
        <v>1337</v>
      </c>
      <c r="L34" s="94" t="s">
        <v>1338</v>
      </c>
      <c r="M34" s="94" t="s">
        <v>1339</v>
      </c>
      <c r="N34" s="94" t="s">
        <v>1340</v>
      </c>
      <c r="O34" s="94" t="s">
        <v>1341</v>
      </c>
      <c r="P34" s="94" t="s">
        <v>1342</v>
      </c>
      <c r="Q34" s="94" t="s">
        <v>240</v>
      </c>
      <c r="R34" s="94"/>
    </row>
    <row r="35" customFormat="false" ht="15" hidden="false" customHeight="true" outlineLevel="0" collapsed="false">
      <c r="B35" s="12" t="s">
        <v>1343</v>
      </c>
      <c r="C35" s="80" t="n">
        <v>25000</v>
      </c>
      <c r="D35" s="12" t="s">
        <v>1286</v>
      </c>
      <c r="E35" s="12" t="s">
        <v>1344</v>
      </c>
      <c r="F35" s="95"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95" t="n">
        <f aca="false">IF(C35&lt;=USC_Exempt,0,USC_Rate_1*MIN(C35,USC_Band_1)+USC_Rate_2*MAX(0,MIN(C35,USC_Band_2)-USC_Band_1)+USC_Rate_3*MAX(0,MIN(C35,USC_Band_3)-USC_Band_2)+USC_Rate_4*MAX(0,C35-USC_Band_3))</f>
        <v>319.82</v>
      </c>
      <c r="H35" s="95" t="n">
        <f aca="false">IF(C35/Weeks_Per_Year&lt;=PRSI_Free_Week,0,MAX(0,C35/Weeks_Per_Year*PRSI_Rate-IF(C35/Weeks_Per_Year&lt;=PRSI_Credit_Top,MAX(0,PRSI_Credit_Max-(C35/Weeks_Per_Year-(PRSI_Free_Week+0.01))/PRSI_Credit_Taper),0))*Weeks_Per_Year)</f>
        <v>1087.5</v>
      </c>
      <c r="I35" s="95" t="n">
        <f aca="false">IF(C35/Weeks_Per_Year&lt;=PRSI_Free_Week,0,MAX(0,C35/Weeks_Per_Year*PRSI_Rate_2026_Blend-IF(C35/Weeks_Per_Year&lt;=PRSI_Credit_Top,MAX(0,PRSI_Credit_Max-(C35/Weeks_Per_Year-(PRSI_Free_Week+0.01))/PRSI_Credit_Taper),0))*Weeks_Per_Year)</f>
        <v>1059.375</v>
      </c>
      <c r="J35" s="95" t="n">
        <f aca="false">C35-F35-G35-H35</f>
        <v>22592.68</v>
      </c>
      <c r="K35" s="95" t="n">
        <f aca="false">C35-F35-G35-I35</f>
        <v>22620.805</v>
      </c>
      <c r="L35" s="95" t="n">
        <v>1000</v>
      </c>
      <c r="M35" s="95" t="n">
        <v>319.82</v>
      </c>
      <c r="N35" s="95" t="n">
        <v>22592.68</v>
      </c>
      <c r="O35" s="95" t="n">
        <v>22620.81</v>
      </c>
      <c r="P35" s="95" t="n">
        <f aca="false">MAX(ABS(ROUND(F35,2)-L35),ABS(ROUND(G35,2)-M35),ABS(ROUND(J35,2)-N35),ABS(ROUND(K35,2)-O35))</f>
        <v>0</v>
      </c>
      <c r="Q35" s="18" t="str">
        <f aca="false">IF(P35&lt;0.005,"PASS","FAIL")</f>
        <v>PASS</v>
      </c>
    </row>
    <row r="36" customFormat="false" ht="15" hidden="false" customHeight="true" outlineLevel="0" collapsed="false">
      <c r="B36" s="12" t="s">
        <v>1345</v>
      </c>
      <c r="C36" s="80" t="n">
        <v>25000</v>
      </c>
      <c r="D36" s="12" t="s">
        <v>1346</v>
      </c>
      <c r="E36" s="12" t="s">
        <v>1344</v>
      </c>
      <c r="F36" s="95"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95" t="n">
        <f aca="false">IF(C36&lt;=USC_Exempt,0,USC_Rate_1*MIN(C36,USC_Band_1)+USC_Rate_2*MAX(0,MIN(C36,USC_Band_2)-USC_Band_1)+USC_Rate_3*MAX(0,MIN(C36,USC_Band_3)-USC_Band_2)+USC_Rate_4*MAX(0,C36-USC_Band_3))</f>
        <v>319.82</v>
      </c>
      <c r="H36" s="95" t="n">
        <f aca="false">IF(C36/Weeks_Per_Year&lt;=PRSI_Free_Week,0,MAX(0,C36/Weeks_Per_Year*PRSI_Rate-IF(C36/Weeks_Per_Year&lt;=PRSI_Credit_Top,MAX(0,PRSI_Credit_Max-(C36/Weeks_Per_Year-(PRSI_Free_Week+0.01))/PRSI_Credit_Taper),0))*Weeks_Per_Year)</f>
        <v>1087.5</v>
      </c>
      <c r="I36" s="95" t="n">
        <f aca="false">IF(C36/Weeks_Per_Year&lt;=PRSI_Free_Week,0,MAX(0,C36/Weeks_Per_Year*PRSI_Rate_2026_Blend-IF(C36/Weeks_Per_Year&lt;=PRSI_Credit_Top,MAX(0,PRSI_Credit_Max-(C36/Weeks_Per_Year-(PRSI_Free_Week+0.01))/PRSI_Credit_Taper),0))*Weeks_Per_Year)</f>
        <v>1059.375</v>
      </c>
      <c r="J36" s="95" t="n">
        <f aca="false">C36-F36-G36-H36</f>
        <v>23592.68</v>
      </c>
      <c r="K36" s="95" t="n">
        <f aca="false">C36-F36-G36-I36</f>
        <v>23620.805</v>
      </c>
      <c r="L36" s="95" t="n">
        <v>0</v>
      </c>
      <c r="M36" s="95" t="n">
        <v>319.82</v>
      </c>
      <c r="N36" s="95" t="n">
        <v>23592.68</v>
      </c>
      <c r="O36" s="95" t="n">
        <v>23620.81</v>
      </c>
      <c r="P36" s="95" t="n">
        <f aca="false">MAX(ABS(ROUND(F36,2)-L36),ABS(ROUND(G36,2)-M36),ABS(ROUND(J36,2)-N36),ABS(ROUND(K36,2)-O36))</f>
        <v>0</v>
      </c>
      <c r="Q36" s="18" t="str">
        <f aca="false">IF(P36&lt;0.005,"PASS","FAIL")</f>
        <v>PASS</v>
      </c>
    </row>
    <row r="37" customFormat="false" ht="15" hidden="false" customHeight="true" outlineLevel="0" collapsed="false">
      <c r="B37" s="12" t="s">
        <v>1347</v>
      </c>
      <c r="C37" s="80" t="n">
        <v>45000</v>
      </c>
      <c r="D37" s="12" t="s">
        <v>1286</v>
      </c>
      <c r="E37" s="12" t="s">
        <v>1344</v>
      </c>
      <c r="F37" s="95"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95" t="n">
        <f aca="false">IF(C37&lt;=USC_Exempt,0,USC_Rate_1*MIN(C37,USC_Band_1)+USC_Rate_2*MAX(0,MIN(C37,USC_Band_2)-USC_Band_1)+USC_Rate_3*MAX(0,MIN(C37,USC_Band_3)-USC_Band_2)+USC_Rate_4*MAX(0,C37-USC_Band_3))</f>
        <v>882.82</v>
      </c>
      <c r="H37" s="95" t="n">
        <f aca="false">IF(C37/Weeks_Per_Year&lt;=PRSI_Free_Week,0,MAX(0,C37/Weeks_Per_Year*PRSI_Rate-IF(C37/Weeks_Per_Year&lt;=PRSI_Credit_Top,MAX(0,PRSI_Credit_Max-(C37/Weeks_Per_Year-(PRSI_Free_Week+0.01))/PRSI_Credit_Taper),0))*Weeks_Per_Year)</f>
        <v>1957.5</v>
      </c>
      <c r="I37" s="95" t="n">
        <f aca="false">IF(C37/Weeks_Per_Year&lt;=PRSI_Free_Week,0,MAX(0,C37/Weeks_Per_Year*PRSI_Rate_2026_Blend-IF(C37/Weeks_Per_Year&lt;=PRSI_Credit_Top,MAX(0,PRSI_Credit_Max-(C37/Weeks_Per_Year-(PRSI_Free_Week+0.01))/PRSI_Credit_Taper),0))*Weeks_Per_Year)</f>
        <v>1906.875</v>
      </c>
      <c r="J37" s="95" t="n">
        <f aca="false">C37-F37-G37-H37</f>
        <v>36959.68</v>
      </c>
      <c r="K37" s="95" t="n">
        <f aca="false">C37-F37-G37-I37</f>
        <v>37010.305</v>
      </c>
      <c r="L37" s="95" t="n">
        <v>5200</v>
      </c>
      <c r="M37" s="95" t="n">
        <v>882.82</v>
      </c>
      <c r="N37" s="95" t="n">
        <v>36959.68</v>
      </c>
      <c r="O37" s="95" t="n">
        <v>37010.31</v>
      </c>
      <c r="P37" s="95" t="n">
        <f aca="false">MAX(ABS(ROUND(F37,2)-L37),ABS(ROUND(G37,2)-M37),ABS(ROUND(J37,2)-N37),ABS(ROUND(K37,2)-O37))</f>
        <v>0</v>
      </c>
      <c r="Q37" s="18" t="str">
        <f aca="false">IF(P37&lt;0.005,"PASS","FAIL")</f>
        <v>PASS</v>
      </c>
    </row>
    <row r="38" customFormat="false" ht="15" hidden="false" customHeight="true" outlineLevel="0" collapsed="false">
      <c r="B38" s="12" t="s">
        <v>1348</v>
      </c>
      <c r="C38" s="80" t="n">
        <v>45000</v>
      </c>
      <c r="D38" s="12" t="s">
        <v>1346</v>
      </c>
      <c r="E38" s="12" t="s">
        <v>1344</v>
      </c>
      <c r="F38" s="95"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95" t="n">
        <f aca="false">IF(C38&lt;=USC_Exempt,0,USC_Rate_1*MIN(C38,USC_Band_1)+USC_Rate_2*MAX(0,MIN(C38,USC_Band_2)-USC_Band_1)+USC_Rate_3*MAX(0,MIN(C38,USC_Band_3)-USC_Band_2)+USC_Rate_4*MAX(0,C38-USC_Band_3))</f>
        <v>882.82</v>
      </c>
      <c r="H38" s="95" t="n">
        <f aca="false">IF(C38/Weeks_Per_Year&lt;=PRSI_Free_Week,0,MAX(0,C38/Weeks_Per_Year*PRSI_Rate-IF(C38/Weeks_Per_Year&lt;=PRSI_Credit_Top,MAX(0,PRSI_Credit_Max-(C38/Weeks_Per_Year-(PRSI_Free_Week+0.01))/PRSI_Credit_Taper),0))*Weeks_Per_Year)</f>
        <v>1957.5</v>
      </c>
      <c r="I38" s="95" t="n">
        <f aca="false">IF(C38/Weeks_Per_Year&lt;=PRSI_Free_Week,0,MAX(0,C38/Weeks_Per_Year*PRSI_Rate_2026_Blend-IF(C38/Weeks_Per_Year&lt;=PRSI_Credit_Top,MAX(0,PRSI_Credit_Max-(C38/Weeks_Per_Year-(PRSI_Free_Week+0.01))/PRSI_Credit_Taper),0))*Weeks_Per_Year)</f>
        <v>1906.875</v>
      </c>
      <c r="J38" s="95" t="n">
        <f aca="false">C38-F38-G38-H38</f>
        <v>39159.68</v>
      </c>
      <c r="K38" s="95" t="n">
        <f aca="false">C38-F38-G38-I38</f>
        <v>39210.305</v>
      </c>
      <c r="L38" s="95" t="n">
        <v>3000</v>
      </c>
      <c r="M38" s="95" t="n">
        <v>882.82</v>
      </c>
      <c r="N38" s="95" t="n">
        <v>39159.68</v>
      </c>
      <c r="O38" s="95" t="n">
        <v>39210.31</v>
      </c>
      <c r="P38" s="95" t="n">
        <f aca="false">MAX(ABS(ROUND(F38,2)-L38),ABS(ROUND(G38,2)-M38),ABS(ROUND(J38,2)-N38),ABS(ROUND(K38,2)-O38))</f>
        <v>0</v>
      </c>
      <c r="Q38" s="18" t="str">
        <f aca="false">IF(P38&lt;0.005,"PASS","FAIL")</f>
        <v>PASS</v>
      </c>
    </row>
    <row r="39" customFormat="false" ht="15" hidden="false" customHeight="true" outlineLevel="0" collapsed="false">
      <c r="B39" s="12" t="s">
        <v>1349</v>
      </c>
      <c r="C39" s="80" t="n">
        <v>80000</v>
      </c>
      <c r="D39" s="12" t="s">
        <v>1286</v>
      </c>
      <c r="E39" s="12" t="s">
        <v>1344</v>
      </c>
      <c r="F39" s="95"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95" t="n">
        <f aca="false">IF(C39&lt;=USC_Exempt,0,USC_Rate_1*MIN(C39,USC_Band_1)+USC_Rate_2*MAX(0,MIN(C39,USC_Band_2)-USC_Band_1)+USC_Rate_3*MAX(0,MIN(C39,USC_Band_3)-USC_Band_2)+USC_Rate_4*MAX(0,C39-USC_Band_3))</f>
        <v>2430.62</v>
      </c>
      <c r="H39" s="95" t="n">
        <f aca="false">IF(C39/Weeks_Per_Year&lt;=PRSI_Free_Week,0,MAX(0,C39/Weeks_Per_Year*PRSI_Rate-IF(C39/Weeks_Per_Year&lt;=PRSI_Credit_Top,MAX(0,PRSI_Credit_Max-(C39/Weeks_Per_Year-(PRSI_Free_Week+0.01))/PRSI_Credit_Taper),0))*Weeks_Per_Year)</f>
        <v>3480</v>
      </c>
      <c r="I39" s="95" t="n">
        <f aca="false">IF(C39/Weeks_Per_Year&lt;=PRSI_Free_Week,0,MAX(0,C39/Weeks_Per_Year*PRSI_Rate_2026_Blend-IF(C39/Weeks_Per_Year&lt;=PRSI_Credit_Top,MAX(0,PRSI_Credit_Max-(C39/Weeks_Per_Year-(PRSI_Free_Week+0.01))/PRSI_Credit_Taper),0))*Weeks_Per_Year)</f>
        <v>3390</v>
      </c>
      <c r="J39" s="95" t="n">
        <f aca="false">C39-F39-G39-H39</f>
        <v>54889.38</v>
      </c>
      <c r="K39" s="95" t="n">
        <f aca="false">C39-F39-G39-I39</f>
        <v>54979.38</v>
      </c>
      <c r="L39" s="95" t="n">
        <v>19200</v>
      </c>
      <c r="M39" s="95" t="n">
        <v>2430.62</v>
      </c>
      <c r="N39" s="95" t="n">
        <v>54889.38</v>
      </c>
      <c r="O39" s="95" t="n">
        <v>54979.38</v>
      </c>
      <c r="P39" s="95" t="n">
        <f aca="false">MAX(ABS(ROUND(F39,2)-L39),ABS(ROUND(G39,2)-M39),ABS(ROUND(J39,2)-N39),ABS(ROUND(K39,2)-O39))</f>
        <v>0</v>
      </c>
      <c r="Q39" s="18" t="str">
        <f aca="false">IF(P39&lt;0.005,"PASS","FAIL")</f>
        <v>PASS</v>
      </c>
    </row>
    <row r="40" customFormat="false" ht="15" hidden="false" customHeight="true" outlineLevel="0" collapsed="false">
      <c r="B40" s="12" t="s">
        <v>1350</v>
      </c>
      <c r="C40" s="80" t="n">
        <v>80000</v>
      </c>
      <c r="D40" s="12" t="s">
        <v>1346</v>
      </c>
      <c r="E40" s="12" t="s">
        <v>1344</v>
      </c>
      <c r="F40" s="95"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95" t="n">
        <f aca="false">IF(C40&lt;=USC_Exempt,0,USC_Rate_1*MIN(C40,USC_Band_1)+USC_Rate_2*MAX(0,MIN(C40,USC_Band_2)-USC_Band_1)+USC_Rate_3*MAX(0,MIN(C40,USC_Band_3)-USC_Band_2)+USC_Rate_4*MAX(0,C40-USC_Band_3))</f>
        <v>2430.62</v>
      </c>
      <c r="H40" s="95" t="n">
        <f aca="false">IF(C40/Weeks_Per_Year&lt;=PRSI_Free_Week,0,MAX(0,C40/Weeks_Per_Year*PRSI_Rate-IF(C40/Weeks_Per_Year&lt;=PRSI_Credit_Top,MAX(0,PRSI_Credit_Max-(C40/Weeks_Per_Year-(PRSI_Free_Week+0.01))/PRSI_Credit_Taper),0))*Weeks_Per_Year)</f>
        <v>3480</v>
      </c>
      <c r="I40" s="95" t="n">
        <f aca="false">IF(C40/Weeks_Per_Year&lt;=PRSI_Free_Week,0,MAX(0,C40/Weeks_Per_Year*PRSI_Rate_2026_Blend-IF(C40/Weeks_Per_Year&lt;=PRSI_Credit_Top,MAX(0,PRSI_Credit_Max-(C40/Weeks_Per_Year-(PRSI_Free_Week+0.01))/PRSI_Credit_Taper),0))*Weeks_Per_Year)</f>
        <v>3390</v>
      </c>
      <c r="J40" s="95" t="n">
        <f aca="false">C40-F40-G40-H40</f>
        <v>58689.38</v>
      </c>
      <c r="K40" s="95" t="n">
        <f aca="false">C40-F40-G40-I40</f>
        <v>58779.38</v>
      </c>
      <c r="L40" s="95" t="n">
        <v>15400</v>
      </c>
      <c r="M40" s="95" t="n">
        <v>2430.62</v>
      </c>
      <c r="N40" s="95" t="n">
        <v>58689.38</v>
      </c>
      <c r="O40" s="95" t="n">
        <v>58779.38</v>
      </c>
      <c r="P40" s="95" t="n">
        <f aca="false">MAX(ABS(ROUND(F40,2)-L40),ABS(ROUND(G40,2)-M40),ABS(ROUND(J40,2)-N40),ABS(ROUND(K40,2)-O40))</f>
        <v>0</v>
      </c>
      <c r="Q40" s="18" t="str">
        <f aca="false">IF(P40&lt;0.005,"PASS","FAIL")</f>
        <v>PASS</v>
      </c>
    </row>
    <row r="41" customFormat="false" ht="15" hidden="false" customHeight="true" outlineLevel="0" collapsed="false">
      <c r="B41" s="12" t="s">
        <v>1351</v>
      </c>
      <c r="C41" s="80" t="n">
        <v>150000</v>
      </c>
      <c r="D41" s="12" t="s">
        <v>1286</v>
      </c>
      <c r="E41" s="12" t="s">
        <v>1344</v>
      </c>
      <c r="F41" s="95"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95" t="n">
        <f aca="false">IF(C41&lt;=USC_Exempt,0,USC_Rate_1*MIN(C41,USC_Band_1)+USC_Rate_2*MAX(0,MIN(C41,USC_Band_2)-USC_Band_1)+USC_Rate_3*MAX(0,MIN(C41,USC_Band_3)-USC_Band_2)+USC_Rate_4*MAX(0,C41-USC_Band_3))</f>
        <v>8030.62</v>
      </c>
      <c r="H41" s="95" t="n">
        <f aca="false">IF(C41/Weeks_Per_Year&lt;=PRSI_Free_Week,0,MAX(0,C41/Weeks_Per_Year*PRSI_Rate-IF(C41/Weeks_Per_Year&lt;=PRSI_Credit_Top,MAX(0,PRSI_Credit_Max-(C41/Weeks_Per_Year-(PRSI_Free_Week+0.01))/PRSI_Credit_Taper),0))*Weeks_Per_Year)</f>
        <v>6525</v>
      </c>
      <c r="I41" s="95" t="n">
        <f aca="false">IF(C41/Weeks_Per_Year&lt;=PRSI_Free_Week,0,MAX(0,C41/Weeks_Per_Year*PRSI_Rate_2026_Blend-IF(C41/Weeks_Per_Year&lt;=PRSI_Credit_Top,MAX(0,PRSI_Credit_Max-(C41/Weeks_Per_Year-(PRSI_Free_Week+0.01))/PRSI_Credit_Taper),0))*Weeks_Per_Year)</f>
        <v>6356.25</v>
      </c>
      <c r="J41" s="95" t="n">
        <f aca="false">C41-F41-G41-H41</f>
        <v>88244.38</v>
      </c>
      <c r="K41" s="95" t="n">
        <f aca="false">C41-F41-G41-I41</f>
        <v>88413.13</v>
      </c>
      <c r="L41" s="95" t="n">
        <v>47200</v>
      </c>
      <c r="M41" s="95" t="n">
        <v>8030.62</v>
      </c>
      <c r="N41" s="95" t="n">
        <v>88244.38</v>
      </c>
      <c r="O41" s="95" t="n">
        <v>88413.13</v>
      </c>
      <c r="P41" s="95" t="n">
        <f aca="false">MAX(ABS(ROUND(F41,2)-L41),ABS(ROUND(G41,2)-M41),ABS(ROUND(J41,2)-N41),ABS(ROUND(K41,2)-O41))</f>
        <v>0</v>
      </c>
      <c r="Q41" s="18" t="str">
        <f aca="false">IF(P41&lt;0.005,"PASS","FAIL")</f>
        <v>PASS</v>
      </c>
    </row>
    <row r="42" customFormat="false" ht="15" hidden="false" customHeight="true" outlineLevel="0" collapsed="false">
      <c r="B42" s="12" t="s">
        <v>1352</v>
      </c>
      <c r="C42" s="80" t="n">
        <v>150000</v>
      </c>
      <c r="D42" s="12" t="s">
        <v>1346</v>
      </c>
      <c r="E42" s="12" t="s">
        <v>1344</v>
      </c>
      <c r="F42" s="95"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95" t="n">
        <f aca="false">IF(C42&lt;=USC_Exempt,0,USC_Rate_1*MIN(C42,USC_Band_1)+USC_Rate_2*MAX(0,MIN(C42,USC_Band_2)-USC_Band_1)+USC_Rate_3*MAX(0,MIN(C42,USC_Band_3)-USC_Band_2)+USC_Rate_4*MAX(0,C42-USC_Band_3))</f>
        <v>8030.62</v>
      </c>
      <c r="H42" s="95" t="n">
        <f aca="false">IF(C42/Weeks_Per_Year&lt;=PRSI_Free_Week,0,MAX(0,C42/Weeks_Per_Year*PRSI_Rate-IF(C42/Weeks_Per_Year&lt;=PRSI_Credit_Top,MAX(0,PRSI_Credit_Max-(C42/Weeks_Per_Year-(PRSI_Free_Week+0.01))/PRSI_Credit_Taper),0))*Weeks_Per_Year)</f>
        <v>6525</v>
      </c>
      <c r="I42" s="95" t="n">
        <f aca="false">IF(C42/Weeks_Per_Year&lt;=PRSI_Free_Week,0,MAX(0,C42/Weeks_Per_Year*PRSI_Rate_2026_Blend-IF(C42/Weeks_Per_Year&lt;=PRSI_Credit_Top,MAX(0,PRSI_Credit_Max-(C42/Weeks_Per_Year-(PRSI_Free_Week+0.01))/PRSI_Credit_Taper),0))*Weeks_Per_Year)</f>
        <v>6356.25</v>
      </c>
      <c r="J42" s="95" t="n">
        <f aca="false">C42-F42-G42-H42</f>
        <v>92044.38</v>
      </c>
      <c r="K42" s="95" t="n">
        <f aca="false">C42-F42-G42-I42</f>
        <v>92213.13</v>
      </c>
      <c r="L42" s="95" t="n">
        <v>43400</v>
      </c>
      <c r="M42" s="95" t="n">
        <v>8030.62</v>
      </c>
      <c r="N42" s="95" t="n">
        <v>92044.38</v>
      </c>
      <c r="O42" s="95" t="n">
        <v>92213.13</v>
      </c>
      <c r="P42" s="95" t="n">
        <f aca="false">MAX(ABS(ROUND(F42,2)-L42),ABS(ROUND(G42,2)-M42),ABS(ROUND(J42,2)-N42),ABS(ROUND(K42,2)-O42))</f>
        <v>0</v>
      </c>
      <c r="Q42" s="18" t="str">
        <f aca="false">IF(P42&lt;0.005,"PASS","FAIL")</f>
        <v>PASS</v>
      </c>
    </row>
    <row r="43" customFormat="false" ht="15" hidden="false" customHeight="true" outlineLevel="0" collapsed="false">
      <c r="B43" s="12" t="s">
        <v>1353</v>
      </c>
      <c r="C43" s="80" t="n">
        <v>60000</v>
      </c>
      <c r="D43" s="12" t="s">
        <v>1354</v>
      </c>
      <c r="E43" s="12" t="s">
        <v>1355</v>
      </c>
      <c r="F43" s="95"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2"/>
      <c r="H43" s="12"/>
      <c r="I43" s="12"/>
      <c r="J43" s="12"/>
      <c r="K43" s="12"/>
      <c r="L43" s="95" t="n">
        <v>11400</v>
      </c>
      <c r="M43" s="12"/>
      <c r="N43" s="12"/>
      <c r="O43" s="12"/>
      <c r="P43" s="95" t="n">
        <f aca="false">ABS(ROUND(F43,2)-L43)</f>
        <v>0</v>
      </c>
      <c r="Q43" s="18" t="str">
        <f aca="false">IF(P43&lt;0.005,"PASS","FAIL")</f>
        <v>PASS</v>
      </c>
      <c r="R43" s="80" t="n">
        <v>30000</v>
      </c>
    </row>
    <row r="44" customFormat="false" ht="15" hidden="false" customHeight="true" outlineLevel="0" collapsed="false">
      <c r="B44" s="12" t="s">
        <v>1356</v>
      </c>
      <c r="C44" s="80" t="n">
        <v>80000</v>
      </c>
      <c r="D44" s="12" t="s">
        <v>1354</v>
      </c>
      <c r="E44" s="12" t="s">
        <v>1357</v>
      </c>
      <c r="F44" s="95"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2"/>
      <c r="H44" s="12"/>
      <c r="I44" s="12"/>
      <c r="J44" s="12"/>
      <c r="K44" s="12"/>
      <c r="L44" s="95" t="n">
        <v>26400</v>
      </c>
      <c r="M44" s="12"/>
      <c r="N44" s="12"/>
      <c r="O44" s="12"/>
      <c r="P44" s="95" t="n">
        <f aca="false">ABS(ROUND(F44,2)-L44)</f>
        <v>0</v>
      </c>
      <c r="Q44" s="18" t="str">
        <f aca="false">IF(P44&lt;0.005,"PASS","FAIL")</f>
        <v>PASS</v>
      </c>
      <c r="R44" s="80" t="n">
        <v>50000</v>
      </c>
    </row>
    <row r="45" customFormat="false" ht="15" hidden="false" customHeight="true" outlineLevel="0" collapsed="false">
      <c r="B45" s="12" t="s">
        <v>1358</v>
      </c>
      <c r="C45" s="80" t="n">
        <v>45000</v>
      </c>
      <c r="D45" s="12" t="s">
        <v>1354</v>
      </c>
      <c r="E45" s="12" t="s">
        <v>1359</v>
      </c>
      <c r="F45" s="95"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2"/>
      <c r="H45" s="12"/>
      <c r="I45" s="12"/>
      <c r="J45" s="12"/>
      <c r="K45" s="12"/>
      <c r="L45" s="95" t="n">
        <v>10400</v>
      </c>
      <c r="M45" s="12"/>
      <c r="N45" s="12"/>
      <c r="O45" s="12"/>
      <c r="P45" s="95" t="n">
        <f aca="false">ABS(ROUND(F45,2)-L45)</f>
        <v>0</v>
      </c>
      <c r="Q45" s="18" t="str">
        <f aca="false">IF(P45&lt;0.005,"PASS","FAIL")</f>
        <v>PASS</v>
      </c>
      <c r="R45" s="80" t="n">
        <v>45000</v>
      </c>
    </row>
    <row r="46" customFormat="false" ht="15" hidden="false" customHeight="true" outlineLevel="0" collapsed="false">
      <c r="B46" s="10" t="s">
        <v>1360</v>
      </c>
      <c r="Q46" s="96"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0" t="s">
        <v>1361</v>
      </c>
    </row>
    <row r="3" customFormat="false" ht="15" hidden="false" customHeight="true" outlineLevel="0" collapsed="false">
      <c r="B3" s="8" t="s">
        <v>1362</v>
      </c>
      <c r="C3" s="8"/>
      <c r="D3" s="8"/>
      <c r="E3" s="8"/>
      <c r="F3" s="8"/>
    </row>
    <row r="4" customFormat="false" ht="15" hidden="false" customHeight="true" outlineLevel="0" collapsed="false">
      <c r="B4" s="8" t="s">
        <v>1363</v>
      </c>
      <c r="C4" s="8"/>
      <c r="D4" s="8"/>
      <c r="E4" s="8"/>
      <c r="F4" s="8"/>
    </row>
    <row r="5" customFormat="false" ht="15" hidden="false" customHeight="true" outlineLevel="0" collapsed="false">
      <c r="B5" s="8" t="s">
        <v>1364</v>
      </c>
      <c r="C5" s="8"/>
      <c r="D5" s="8"/>
      <c r="E5" s="8"/>
      <c r="F5" s="8"/>
    </row>
    <row r="6" customFormat="false" ht="15" hidden="false" customHeight="true" outlineLevel="0" collapsed="false">
      <c r="B6" s="8" t="s">
        <v>1365</v>
      </c>
      <c r="C6" s="8"/>
      <c r="D6" s="8"/>
      <c r="E6" s="8"/>
      <c r="F6" s="8"/>
    </row>
    <row r="7" customFormat="false" ht="15" hidden="false" customHeight="true" outlineLevel="0" collapsed="false">
      <c r="B7" s="8" t="s">
        <v>1366</v>
      </c>
      <c r="C7" s="8"/>
      <c r="D7" s="8"/>
      <c r="E7" s="8"/>
      <c r="F7" s="8"/>
    </row>
    <row r="8" customFormat="false" ht="15" hidden="false" customHeight="true" outlineLevel="0" collapsed="false">
      <c r="B8" s="8" t="s">
        <v>1367</v>
      </c>
      <c r="C8" s="8"/>
      <c r="D8" s="8"/>
      <c r="E8" s="8"/>
      <c r="F8" s="8"/>
    </row>
    <row r="10" customFormat="false" ht="23.25" hidden="false" customHeight="true" outlineLevel="0" collapsed="false">
      <c r="B10" s="97" t="s">
        <v>1368</v>
      </c>
      <c r="C10" s="97" t="s">
        <v>1369</v>
      </c>
      <c r="D10" s="97" t="s">
        <v>1370</v>
      </c>
      <c r="E10" s="97" t="s">
        <v>1371</v>
      </c>
      <c r="F10" s="97" t="s">
        <v>1372</v>
      </c>
      <c r="G10" s="97" t="s">
        <v>1373</v>
      </c>
    </row>
    <row r="11" customFormat="false" ht="36" hidden="false" customHeight="true" outlineLevel="0" collapsed="false">
      <c r="B11" s="98" t="s">
        <v>1374</v>
      </c>
      <c r="C11" s="99" t="s">
        <v>707</v>
      </c>
      <c r="D11" s="99" t="s">
        <v>1375</v>
      </c>
      <c r="E11" s="99" t="s">
        <v>1376</v>
      </c>
      <c r="F11" s="99" t="s">
        <v>1377</v>
      </c>
      <c r="G11" s="99" t="s">
        <v>1378</v>
      </c>
    </row>
    <row r="12" customFormat="false" ht="36" hidden="false" customHeight="true" outlineLevel="0" collapsed="false">
      <c r="B12" s="98"/>
      <c r="C12" s="99" t="s">
        <v>1379</v>
      </c>
      <c r="D12" s="99" t="s">
        <v>1380</v>
      </c>
      <c r="E12" s="99" t="s">
        <v>1381</v>
      </c>
      <c r="F12" s="99" t="s">
        <v>1382</v>
      </c>
      <c r="G12" s="99" t="s">
        <v>1378</v>
      </c>
    </row>
    <row r="13" customFormat="false" ht="24" hidden="false" customHeight="true" outlineLevel="0" collapsed="false">
      <c r="B13" s="98"/>
      <c r="C13" s="99" t="s">
        <v>1383</v>
      </c>
      <c r="D13" s="99" t="s">
        <v>1384</v>
      </c>
      <c r="E13" s="99" t="s">
        <v>1385</v>
      </c>
      <c r="F13" s="99" t="s">
        <v>1386</v>
      </c>
      <c r="G13" s="99" t="s">
        <v>1378</v>
      </c>
    </row>
    <row r="14" customFormat="false" ht="24" hidden="false" customHeight="true" outlineLevel="0" collapsed="false">
      <c r="B14" s="98"/>
      <c r="C14" s="99" t="s">
        <v>711</v>
      </c>
      <c r="D14" s="99" t="s">
        <v>1387</v>
      </c>
      <c r="E14" s="99" t="s">
        <v>1388</v>
      </c>
      <c r="F14" s="99" t="s">
        <v>1389</v>
      </c>
      <c r="G14" s="99" t="s">
        <v>1378</v>
      </c>
    </row>
    <row r="15" customFormat="false" ht="60" hidden="false" customHeight="true" outlineLevel="0" collapsed="false">
      <c r="B15" s="98"/>
      <c r="C15" s="99" t="s">
        <v>752</v>
      </c>
      <c r="D15" s="99" t="s">
        <v>1390</v>
      </c>
      <c r="E15" s="99" t="s">
        <v>1385</v>
      </c>
      <c r="F15" s="99" t="s">
        <v>1391</v>
      </c>
      <c r="G15" s="99" t="s">
        <v>1378</v>
      </c>
    </row>
    <row r="16" customFormat="false" ht="36" hidden="false" customHeight="true" outlineLevel="0" collapsed="false">
      <c r="B16" s="98"/>
      <c r="C16" s="99" t="s">
        <v>1392</v>
      </c>
      <c r="D16" s="99" t="s">
        <v>1393</v>
      </c>
      <c r="E16" s="99" t="s">
        <v>1394</v>
      </c>
      <c r="F16" s="99" t="s">
        <v>1395</v>
      </c>
      <c r="G16" s="99" t="s">
        <v>1378</v>
      </c>
    </row>
    <row r="17" customFormat="false" ht="24" hidden="false" customHeight="true" outlineLevel="0" collapsed="false">
      <c r="B17" s="98"/>
      <c r="C17" s="99" t="s">
        <v>1396</v>
      </c>
      <c r="D17" s="99" t="s">
        <v>1397</v>
      </c>
      <c r="E17" s="99" t="s">
        <v>1398</v>
      </c>
      <c r="F17" s="99" t="s">
        <v>1399</v>
      </c>
      <c r="G17" s="99" t="s">
        <v>1378</v>
      </c>
    </row>
    <row r="18" customFormat="false" ht="24" hidden="false" customHeight="true" outlineLevel="0" collapsed="false">
      <c r="B18" s="98"/>
      <c r="C18" s="99" t="s">
        <v>1400</v>
      </c>
      <c r="D18" s="99" t="s">
        <v>1401</v>
      </c>
      <c r="E18" s="99" t="s">
        <v>1402</v>
      </c>
      <c r="F18" s="99" t="s">
        <v>1403</v>
      </c>
      <c r="G18" s="99" t="s">
        <v>1378</v>
      </c>
    </row>
    <row r="19" customFormat="false" ht="24" hidden="false" customHeight="true" outlineLevel="0" collapsed="false">
      <c r="B19" s="98"/>
      <c r="C19" s="99" t="s">
        <v>313</v>
      </c>
      <c r="D19" s="99" t="s">
        <v>1404</v>
      </c>
      <c r="E19" s="99" t="s">
        <v>1405</v>
      </c>
      <c r="F19" s="99" t="s">
        <v>1406</v>
      </c>
      <c r="G19" s="99" t="s">
        <v>1378</v>
      </c>
    </row>
    <row r="20" customFormat="false" ht="36" hidden="false" customHeight="true" outlineLevel="0" collapsed="false">
      <c r="B20" s="98" t="s">
        <v>1407</v>
      </c>
      <c r="C20" s="99" t="s">
        <v>1408</v>
      </c>
      <c r="D20" s="99" t="s">
        <v>1409</v>
      </c>
      <c r="E20" s="99" t="s">
        <v>1410</v>
      </c>
      <c r="F20" s="99" t="s">
        <v>1410</v>
      </c>
      <c r="G20" s="99" t="s">
        <v>1378</v>
      </c>
    </row>
    <row r="21" customFormat="false" ht="24" hidden="false" customHeight="true" outlineLevel="0" collapsed="false">
      <c r="B21" s="98" t="s">
        <v>1411</v>
      </c>
      <c r="C21" s="99" t="s">
        <v>1412</v>
      </c>
      <c r="D21" s="99" t="s">
        <v>1413</v>
      </c>
      <c r="E21" s="99" t="s">
        <v>1414</v>
      </c>
      <c r="F21" s="99" t="s">
        <v>1415</v>
      </c>
      <c r="G21" s="99" t="s">
        <v>1378</v>
      </c>
    </row>
    <row r="22" customFormat="false" ht="24" hidden="false" customHeight="true" outlineLevel="0" collapsed="false">
      <c r="B22" s="98"/>
      <c r="C22" s="99" t="s">
        <v>711</v>
      </c>
      <c r="D22" s="99" t="s">
        <v>1410</v>
      </c>
      <c r="E22" s="99" t="s">
        <v>1416</v>
      </c>
      <c r="F22" s="99" t="s">
        <v>1417</v>
      </c>
      <c r="G22" s="99" t="s">
        <v>1378</v>
      </c>
    </row>
    <row r="23" customFormat="false" ht="36" hidden="false" customHeight="true" outlineLevel="0" collapsed="false">
      <c r="B23" s="98" t="s">
        <v>1418</v>
      </c>
      <c r="C23" s="99" t="s">
        <v>1419</v>
      </c>
      <c r="D23" s="99" t="s">
        <v>1420</v>
      </c>
      <c r="E23" s="99" t="s">
        <v>1421</v>
      </c>
      <c r="F23" s="99" t="s">
        <v>1422</v>
      </c>
      <c r="G23" s="99" t="s">
        <v>1378</v>
      </c>
    </row>
    <row r="24" customFormat="false" ht="24" hidden="false" customHeight="true" outlineLevel="0" collapsed="false">
      <c r="B24" s="98"/>
      <c r="C24" s="99" t="s">
        <v>313</v>
      </c>
      <c r="D24" s="99" t="s">
        <v>1423</v>
      </c>
      <c r="E24" s="99" t="s">
        <v>314</v>
      </c>
      <c r="F24" s="99" t="s">
        <v>1424</v>
      </c>
      <c r="G24" s="99" t="s">
        <v>1378</v>
      </c>
    </row>
    <row r="25" customFormat="false" ht="24" hidden="false" customHeight="true" outlineLevel="0" collapsed="false">
      <c r="B25" s="98" t="s">
        <v>1425</v>
      </c>
      <c r="C25" s="99" t="s">
        <v>304</v>
      </c>
      <c r="D25" s="99" t="s">
        <v>1426</v>
      </c>
      <c r="E25" s="99" t="s">
        <v>1427</v>
      </c>
      <c r="F25" s="99" t="s">
        <v>1428</v>
      </c>
      <c r="G25" s="99" t="s">
        <v>1378</v>
      </c>
    </row>
    <row r="26" customFormat="false" ht="24" hidden="false" customHeight="true" outlineLevel="0" collapsed="false">
      <c r="B26" s="98"/>
      <c r="C26" s="99" t="s">
        <v>307</v>
      </c>
      <c r="D26" s="99" t="s">
        <v>1429</v>
      </c>
      <c r="E26" s="99" t="s">
        <v>1430</v>
      </c>
      <c r="F26" s="99" t="s">
        <v>1431</v>
      </c>
      <c r="G26" s="99" t="s">
        <v>1378</v>
      </c>
    </row>
    <row r="27" customFormat="false" ht="24" hidden="false" customHeight="true" outlineLevel="0" collapsed="false">
      <c r="B27" s="98"/>
      <c r="C27" s="99" t="s">
        <v>1432</v>
      </c>
      <c r="D27" s="99" t="s">
        <v>1433</v>
      </c>
      <c r="E27" s="99" t="s">
        <v>1434</v>
      </c>
      <c r="F27" s="99" t="s">
        <v>1435</v>
      </c>
      <c r="G27" s="99" t="s">
        <v>1378</v>
      </c>
    </row>
    <row r="28" customFormat="false" ht="24" hidden="false" customHeight="true" outlineLevel="0" collapsed="false">
      <c r="B28" s="98"/>
      <c r="C28" s="99" t="s">
        <v>309</v>
      </c>
      <c r="D28" s="99" t="s">
        <v>1436</v>
      </c>
      <c r="E28" s="99" t="s">
        <v>1437</v>
      </c>
      <c r="F28" s="99" t="s">
        <v>1438</v>
      </c>
      <c r="G28" s="99" t="s">
        <v>1378</v>
      </c>
    </row>
    <row r="29" customFormat="false" ht="24" hidden="false" customHeight="true" outlineLevel="0" collapsed="false">
      <c r="B29" s="98"/>
      <c r="C29" s="99" t="s">
        <v>311</v>
      </c>
      <c r="D29" s="99" t="s">
        <v>1439</v>
      </c>
      <c r="E29" s="99" t="s">
        <v>1385</v>
      </c>
      <c r="F29" s="99" t="s">
        <v>1440</v>
      </c>
      <c r="G29" s="99" t="s">
        <v>1378</v>
      </c>
    </row>
    <row r="30" customFormat="false" ht="24" hidden="false" customHeight="true" outlineLevel="0" collapsed="false">
      <c r="B30" s="98"/>
      <c r="C30" s="99" t="s">
        <v>313</v>
      </c>
      <c r="D30" s="99" t="s">
        <v>1441</v>
      </c>
      <c r="E30" s="99" t="s">
        <v>1442</v>
      </c>
      <c r="F30" s="99" t="s">
        <v>1424</v>
      </c>
      <c r="G30" s="99" t="s">
        <v>1378</v>
      </c>
    </row>
    <row r="31" customFormat="false" ht="24" hidden="false" customHeight="true" outlineLevel="0" collapsed="false">
      <c r="B31" s="98" t="s">
        <v>1443</v>
      </c>
      <c r="C31" s="99" t="s">
        <v>1444</v>
      </c>
      <c r="D31" s="99" t="s">
        <v>1445</v>
      </c>
      <c r="E31" s="99" t="s">
        <v>1446</v>
      </c>
      <c r="F31" s="99" t="s">
        <v>1447</v>
      </c>
      <c r="G31" s="99" t="s">
        <v>1378</v>
      </c>
    </row>
    <row r="32" customFormat="false" ht="24" hidden="false" customHeight="true" outlineLevel="0" collapsed="false">
      <c r="B32" s="98" t="s">
        <v>1448</v>
      </c>
      <c r="C32" s="99" t="s">
        <v>630</v>
      </c>
      <c r="D32" s="99" t="s">
        <v>1449</v>
      </c>
      <c r="E32" s="99" t="s">
        <v>1385</v>
      </c>
      <c r="F32" s="99" t="s">
        <v>1450</v>
      </c>
      <c r="G32" s="99" t="s">
        <v>1378</v>
      </c>
    </row>
    <row r="33" customFormat="false" ht="24" hidden="false" customHeight="true" outlineLevel="0" collapsed="false">
      <c r="B33" s="98"/>
      <c r="C33" s="99" t="s">
        <v>962</v>
      </c>
      <c r="D33" s="99" t="s">
        <v>1451</v>
      </c>
      <c r="E33" s="99" t="s">
        <v>1385</v>
      </c>
      <c r="F33" s="99" t="s">
        <v>1452</v>
      </c>
      <c r="G33" s="99" t="s">
        <v>1378</v>
      </c>
    </row>
    <row r="34" customFormat="false" ht="24" hidden="false" customHeight="true" outlineLevel="0" collapsed="false">
      <c r="B34" s="98"/>
      <c r="C34" s="99" t="s">
        <v>1400</v>
      </c>
      <c r="D34" s="99" t="s">
        <v>1453</v>
      </c>
      <c r="E34" s="99" t="s">
        <v>1454</v>
      </c>
      <c r="F34" s="99" t="s">
        <v>1455</v>
      </c>
      <c r="G34" s="99" t="s">
        <v>1378</v>
      </c>
    </row>
    <row r="35" customFormat="false" ht="24" hidden="false" customHeight="true" outlineLevel="0" collapsed="false">
      <c r="B35" s="98"/>
      <c r="C35" s="99" t="s">
        <v>1456</v>
      </c>
      <c r="D35" s="99" t="s">
        <v>1457</v>
      </c>
      <c r="E35" s="99" t="s">
        <v>1458</v>
      </c>
      <c r="F35" s="99" t="s">
        <v>1459</v>
      </c>
      <c r="G35" s="99" t="s">
        <v>1378</v>
      </c>
    </row>
    <row r="36" customFormat="false" ht="24" hidden="false" customHeight="true" outlineLevel="0" collapsed="false">
      <c r="B36" s="98"/>
      <c r="C36" s="99" t="s">
        <v>313</v>
      </c>
      <c r="D36" s="99" t="s">
        <v>1460</v>
      </c>
      <c r="E36" s="99" t="s">
        <v>314</v>
      </c>
      <c r="F36" s="99" t="s">
        <v>1424</v>
      </c>
      <c r="G36" s="99" t="s">
        <v>1378</v>
      </c>
    </row>
    <row r="37" customFormat="false" ht="24" hidden="false" customHeight="true" outlineLevel="0" collapsed="false">
      <c r="B37" s="98" t="s">
        <v>1461</v>
      </c>
      <c r="C37" s="99" t="s">
        <v>1462</v>
      </c>
      <c r="D37" s="99" t="s">
        <v>1463</v>
      </c>
      <c r="E37" s="99" t="s">
        <v>1385</v>
      </c>
      <c r="F37" s="99" t="s">
        <v>1464</v>
      </c>
      <c r="G37" s="99" t="s">
        <v>1378</v>
      </c>
    </row>
    <row r="38" customFormat="false" ht="24" hidden="false" customHeight="true" outlineLevel="0" collapsed="false">
      <c r="B38" s="98"/>
      <c r="C38" s="99" t="s">
        <v>1465</v>
      </c>
      <c r="D38" s="99" t="s">
        <v>1466</v>
      </c>
      <c r="E38" s="99" t="s">
        <v>1467</v>
      </c>
      <c r="F38" s="99" t="s">
        <v>1468</v>
      </c>
      <c r="G38" s="99" t="s">
        <v>1378</v>
      </c>
    </row>
    <row r="39" customFormat="false" ht="24" hidden="false" customHeight="true" outlineLevel="0" collapsed="false">
      <c r="B39" s="98" t="s">
        <v>1469</v>
      </c>
      <c r="C39" s="99" t="s">
        <v>1470</v>
      </c>
      <c r="D39" s="99" t="s">
        <v>1471</v>
      </c>
      <c r="E39" s="99" t="s">
        <v>1472</v>
      </c>
      <c r="F39" s="99" t="s">
        <v>1473</v>
      </c>
      <c r="G39" s="99" t="s">
        <v>1378</v>
      </c>
    </row>
    <row r="40" customFormat="false" ht="24" hidden="false" customHeight="true" outlineLevel="0" collapsed="false">
      <c r="B40" s="98"/>
      <c r="C40" s="99" t="s">
        <v>1474</v>
      </c>
      <c r="D40" s="99" t="s">
        <v>1475</v>
      </c>
      <c r="E40" s="99" t="s">
        <v>217</v>
      </c>
      <c r="F40" s="99" t="s">
        <v>1476</v>
      </c>
      <c r="G40" s="99" t="s">
        <v>1378</v>
      </c>
    </row>
    <row r="41" customFormat="false" ht="24" hidden="false" customHeight="true" outlineLevel="0" collapsed="false">
      <c r="B41" s="98"/>
      <c r="C41" s="99" t="s">
        <v>1477</v>
      </c>
      <c r="D41" s="99" t="s">
        <v>1478</v>
      </c>
      <c r="E41" s="99" t="s">
        <v>217</v>
      </c>
      <c r="F41" s="99" t="s">
        <v>1479</v>
      </c>
      <c r="G41" s="99" t="s">
        <v>1378</v>
      </c>
    </row>
    <row r="42" customFormat="false" ht="24" hidden="false" customHeight="true" outlineLevel="0" collapsed="false">
      <c r="B42" s="98"/>
      <c r="C42" s="99" t="s">
        <v>1480</v>
      </c>
      <c r="D42" s="99" t="s">
        <v>1481</v>
      </c>
      <c r="E42" s="99" t="s">
        <v>1482</v>
      </c>
      <c r="F42" s="99" t="s">
        <v>1424</v>
      </c>
      <c r="G42" s="99" t="s">
        <v>1378</v>
      </c>
    </row>
    <row r="43" customFormat="false" ht="24" hidden="false" customHeight="true" outlineLevel="0" collapsed="false">
      <c r="B43" s="98" t="s">
        <v>1483</v>
      </c>
      <c r="C43" s="99" t="s">
        <v>1484</v>
      </c>
      <c r="D43" s="99" t="s">
        <v>1485</v>
      </c>
      <c r="E43" s="99" t="s">
        <v>1385</v>
      </c>
      <c r="F43" s="99" t="s">
        <v>1473</v>
      </c>
      <c r="G43" s="99" t="s">
        <v>1378</v>
      </c>
    </row>
    <row r="44" customFormat="false" ht="24" hidden="false" customHeight="true" outlineLevel="0" collapsed="false">
      <c r="B44" s="98"/>
      <c r="C44" s="99" t="s">
        <v>1486</v>
      </c>
      <c r="D44" s="99" t="s">
        <v>1487</v>
      </c>
      <c r="E44" s="99" t="s">
        <v>1385</v>
      </c>
      <c r="F44" s="99" t="s">
        <v>1488</v>
      </c>
      <c r="G44" s="99" t="s">
        <v>1378</v>
      </c>
    </row>
    <row r="45" customFormat="false" ht="24" hidden="false" customHeight="true" outlineLevel="0" collapsed="false">
      <c r="B45" s="98"/>
      <c r="C45" s="99" t="s">
        <v>1489</v>
      </c>
      <c r="D45" s="99" t="s">
        <v>1490</v>
      </c>
      <c r="E45" s="99" t="s">
        <v>217</v>
      </c>
      <c r="F45" s="99" t="s">
        <v>1491</v>
      </c>
      <c r="G45" s="99" t="s">
        <v>1378</v>
      </c>
    </row>
    <row r="46" customFormat="false" ht="24" hidden="false" customHeight="true" outlineLevel="0" collapsed="false">
      <c r="B46" s="98"/>
      <c r="C46" s="99" t="s">
        <v>1492</v>
      </c>
      <c r="D46" s="99" t="s">
        <v>1493</v>
      </c>
      <c r="E46" s="99" t="s">
        <v>1494</v>
      </c>
      <c r="F46" s="99" t="s">
        <v>1424</v>
      </c>
      <c r="G46" s="99" t="s">
        <v>1378</v>
      </c>
    </row>
    <row r="47" customFormat="false" ht="24" hidden="false" customHeight="true" outlineLevel="0" collapsed="false">
      <c r="B47" s="98" t="s">
        <v>1495</v>
      </c>
      <c r="C47" s="99" t="s">
        <v>1243</v>
      </c>
      <c r="D47" s="99" t="s">
        <v>1496</v>
      </c>
      <c r="E47" s="99" t="s">
        <v>1385</v>
      </c>
      <c r="F47" s="99" t="s">
        <v>1497</v>
      </c>
      <c r="G47" s="99" t="s">
        <v>1378</v>
      </c>
    </row>
    <row r="48" customFormat="false" ht="24" hidden="false" customHeight="true" outlineLevel="0" collapsed="false">
      <c r="B48" s="98"/>
      <c r="C48" s="99" t="s">
        <v>1498</v>
      </c>
      <c r="D48" s="99" t="s">
        <v>1499</v>
      </c>
      <c r="E48" s="99" t="s">
        <v>1500</v>
      </c>
      <c r="F48" s="99" t="s">
        <v>1501</v>
      </c>
      <c r="G48" s="99" t="s">
        <v>1378</v>
      </c>
    </row>
    <row r="49" customFormat="false" ht="24" hidden="false" customHeight="true" outlineLevel="0" collapsed="false">
      <c r="B49" s="98"/>
      <c r="C49" s="99" t="s">
        <v>1502</v>
      </c>
      <c r="D49" s="99" t="s">
        <v>1503</v>
      </c>
      <c r="E49" s="99" t="s">
        <v>1385</v>
      </c>
      <c r="F49" s="99" t="s">
        <v>1504</v>
      </c>
      <c r="G49" s="99" t="s">
        <v>1378</v>
      </c>
    </row>
    <row r="50" customFormat="false" ht="24" hidden="false" customHeight="true" outlineLevel="0" collapsed="false">
      <c r="B50" s="98" t="s">
        <v>1505</v>
      </c>
      <c r="C50" s="99" t="s">
        <v>1243</v>
      </c>
      <c r="D50" s="99" t="s">
        <v>1506</v>
      </c>
      <c r="E50" s="99" t="s">
        <v>1385</v>
      </c>
      <c r="F50" s="99" t="s">
        <v>1507</v>
      </c>
      <c r="G50" s="99" t="s">
        <v>1378</v>
      </c>
    </row>
    <row r="51" customFormat="false" ht="24" hidden="false" customHeight="true" outlineLevel="0" collapsed="false">
      <c r="B51" s="98"/>
      <c r="C51" s="99" t="s">
        <v>1508</v>
      </c>
      <c r="D51" s="99" t="s">
        <v>1509</v>
      </c>
      <c r="E51" s="99" t="s">
        <v>1510</v>
      </c>
      <c r="F51" s="99" t="s">
        <v>1511</v>
      </c>
      <c r="G51" s="99" t="s">
        <v>1378</v>
      </c>
    </row>
    <row r="52" customFormat="false" ht="24" hidden="false" customHeight="true" outlineLevel="0" collapsed="false">
      <c r="B52" s="98"/>
      <c r="C52" s="99" t="s">
        <v>1512</v>
      </c>
      <c r="D52" s="99" t="s">
        <v>1513</v>
      </c>
      <c r="E52" s="99" t="s">
        <v>1514</v>
      </c>
      <c r="F52" s="99" t="s">
        <v>1515</v>
      </c>
      <c r="G52" s="99" t="s">
        <v>1378</v>
      </c>
    </row>
    <row r="54" customFormat="false" ht="15" hidden="false" customHeight="true" outlineLevel="0" collapsed="false">
      <c r="B54" s="100" t="s">
        <v>1516</v>
      </c>
    </row>
    <row r="55" customFormat="false" ht="15" hidden="false" customHeight="true" outlineLevel="0" collapsed="false">
      <c r="B55" s="12" t="s">
        <v>1517</v>
      </c>
      <c r="D55" s="101" t="s">
        <v>1518</v>
      </c>
    </row>
    <row r="56" customFormat="false" ht="15" hidden="false" customHeight="true" outlineLevel="0" collapsed="false">
      <c r="B56" s="12" t="s">
        <v>1519</v>
      </c>
      <c r="D56" s="101" t="s">
        <v>1520</v>
      </c>
    </row>
    <row r="57" customFormat="false" ht="15" hidden="false" customHeight="true" outlineLevel="0" collapsed="false">
      <c r="B57" s="12" t="s">
        <v>1521</v>
      </c>
      <c r="D57" s="101" t="s">
        <v>1522</v>
      </c>
    </row>
    <row r="58" customFormat="false" ht="15" hidden="false" customHeight="true" outlineLevel="0" collapsed="false">
      <c r="B58" s="12" t="s">
        <v>1523</v>
      </c>
      <c r="D58" s="101" t="s">
        <v>1524</v>
      </c>
    </row>
    <row r="59" customFormat="false" ht="15" hidden="false" customHeight="true" outlineLevel="0" collapsed="false">
      <c r="B59" s="12" t="s">
        <v>1525</v>
      </c>
      <c r="D59" s="101" t="s">
        <v>1526</v>
      </c>
    </row>
    <row r="60" customFormat="false" ht="15" hidden="false" customHeight="true" outlineLevel="0" collapsed="false">
      <c r="B60" s="12" t="s">
        <v>1527</v>
      </c>
      <c r="D60" s="102" t="s">
        <v>1528</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0" t="s">
        <v>1529</v>
      </c>
    </row>
    <row r="2" customFormat="false" ht="15" hidden="false" customHeight="true" outlineLevel="0" collapsed="false">
      <c r="B2" s="103" t="s">
        <v>1530</v>
      </c>
    </row>
    <row r="3" customFormat="false" ht="39.75" hidden="false" customHeight="true" outlineLevel="0" collapsed="false">
      <c r="B3" s="104" t="s">
        <v>1531</v>
      </c>
      <c r="C3" s="104"/>
      <c r="D3" s="104"/>
      <c r="E3" s="104"/>
      <c r="F3" s="104"/>
      <c r="G3" s="104"/>
    </row>
    <row r="5" customFormat="false" ht="15" hidden="false" customHeight="true" outlineLevel="0" collapsed="false">
      <c r="B5" s="13" t="s">
        <v>1532</v>
      </c>
      <c r="C5" s="14"/>
      <c r="D5" s="14"/>
      <c r="E5" s="14"/>
      <c r="F5" s="14"/>
      <c r="G5" s="14"/>
      <c r="H5" s="14"/>
    </row>
    <row r="6" customFormat="false" ht="15" hidden="false" customHeight="true" outlineLevel="0" collapsed="false">
      <c r="B6" s="16" t="s">
        <v>1533</v>
      </c>
      <c r="C6" s="16" t="s">
        <v>1534</v>
      </c>
      <c r="D6" s="16" t="s">
        <v>1535</v>
      </c>
      <c r="E6" s="16" t="s">
        <v>1536</v>
      </c>
      <c r="F6" s="16" t="s">
        <v>1537</v>
      </c>
      <c r="G6" s="16" t="s">
        <v>1538</v>
      </c>
      <c r="H6" s="16" t="s">
        <v>1539</v>
      </c>
    </row>
    <row r="7" customFormat="false" ht="39.75" hidden="false" customHeight="true" outlineLevel="0" collapsed="false">
      <c r="B7" s="15" t="s">
        <v>1540</v>
      </c>
      <c r="C7" s="15"/>
      <c r="D7" s="15"/>
      <c r="E7" s="105" t="s">
        <v>1541</v>
      </c>
    </row>
    <row r="8" customFormat="false" ht="15" hidden="false" customHeight="true" outlineLevel="0" collapsed="false">
      <c r="B8" s="13" t="s">
        <v>1542</v>
      </c>
      <c r="C8" s="14"/>
      <c r="D8" s="14"/>
      <c r="E8" s="14"/>
      <c r="F8" s="14"/>
      <c r="G8" s="14"/>
      <c r="H8" s="14"/>
    </row>
    <row r="9" customFormat="false" ht="15" hidden="false" customHeight="true" outlineLevel="0" collapsed="false">
      <c r="B9" s="16" t="s">
        <v>1533</v>
      </c>
      <c r="C9" s="16" t="s">
        <v>1534</v>
      </c>
      <c r="D9" s="16" t="s">
        <v>1535</v>
      </c>
      <c r="E9" s="16" t="s">
        <v>1536</v>
      </c>
      <c r="F9" s="16" t="s">
        <v>1537</v>
      </c>
      <c r="G9" s="16" t="s">
        <v>1538</v>
      </c>
      <c r="H9" s="16" t="s">
        <v>1539</v>
      </c>
    </row>
    <row r="10" customFormat="false" ht="24" hidden="false" customHeight="true" outlineLevel="0" collapsed="false">
      <c r="B10" s="25" t="s">
        <v>1543</v>
      </c>
      <c r="C10" s="106" t="n">
        <v>44000</v>
      </c>
      <c r="D10" s="17" t="s">
        <v>1544</v>
      </c>
      <c r="E10" s="105" t="s">
        <v>1545</v>
      </c>
      <c r="F10" s="17" t="s">
        <v>1546</v>
      </c>
      <c r="G10" s="107" t="s">
        <v>1547</v>
      </c>
      <c r="H10" s="105" t="s">
        <v>1548</v>
      </c>
    </row>
    <row r="11" customFormat="false" ht="24" hidden="false" customHeight="true" outlineLevel="0" collapsed="false">
      <c r="B11" s="25" t="s">
        <v>1549</v>
      </c>
      <c r="C11" s="106" t="n">
        <v>48000</v>
      </c>
      <c r="D11" s="17" t="s">
        <v>1550</v>
      </c>
      <c r="E11" s="105" t="s">
        <v>1551</v>
      </c>
      <c r="F11" s="17" t="s">
        <v>1546</v>
      </c>
      <c r="G11" s="107" t="s">
        <v>1552</v>
      </c>
      <c r="H11" s="105" t="s">
        <v>1553</v>
      </c>
    </row>
    <row r="12" customFormat="false" ht="24" hidden="false" customHeight="true" outlineLevel="0" collapsed="false">
      <c r="B12" s="25" t="s">
        <v>1554</v>
      </c>
      <c r="C12" s="106" t="n">
        <v>53000</v>
      </c>
      <c r="D12" s="17" t="s">
        <v>1550</v>
      </c>
      <c r="E12" s="105" t="s">
        <v>1545</v>
      </c>
      <c r="F12" s="17" t="s">
        <v>1546</v>
      </c>
      <c r="G12" s="107" t="s">
        <v>1547</v>
      </c>
      <c r="H12" s="105" t="s">
        <v>1555</v>
      </c>
    </row>
    <row r="13" customFormat="false" ht="24" hidden="false" customHeight="true" outlineLevel="0" collapsed="false">
      <c r="B13" s="25" t="s">
        <v>1556</v>
      </c>
      <c r="C13" s="106" t="n">
        <v>35000</v>
      </c>
      <c r="D13" s="17" t="s">
        <v>1550</v>
      </c>
      <c r="E13" s="105" t="s">
        <v>1545</v>
      </c>
      <c r="F13" s="17" t="s">
        <v>1546</v>
      </c>
      <c r="G13" s="107" t="s">
        <v>1547</v>
      </c>
      <c r="H13" s="105" t="s">
        <v>1557</v>
      </c>
    </row>
    <row r="14" customFormat="false" ht="24" hidden="false" customHeight="true" outlineLevel="0" collapsed="false">
      <c r="B14" s="25" t="s">
        <v>1558</v>
      </c>
      <c r="C14" s="108" t="n">
        <v>0.2</v>
      </c>
      <c r="D14" s="17" t="s">
        <v>1550</v>
      </c>
      <c r="E14" s="105" t="s">
        <v>1545</v>
      </c>
      <c r="F14" s="17" t="s">
        <v>1559</v>
      </c>
      <c r="G14" s="107" t="s">
        <v>1547</v>
      </c>
      <c r="H14" s="105" t="s">
        <v>1560</v>
      </c>
    </row>
    <row r="15" customFormat="false" ht="24" hidden="false" customHeight="true" outlineLevel="0" collapsed="false">
      <c r="B15" s="25" t="s">
        <v>1561</v>
      </c>
      <c r="C15" s="108" t="n">
        <v>0.4</v>
      </c>
      <c r="D15" s="17" t="s">
        <v>1562</v>
      </c>
      <c r="E15" s="105" t="s">
        <v>1545</v>
      </c>
      <c r="F15" s="17" t="s">
        <v>1559</v>
      </c>
      <c r="G15" s="107" t="s">
        <v>1547</v>
      </c>
      <c r="H15" s="105" t="s">
        <v>1560</v>
      </c>
    </row>
    <row r="16" customFormat="false" ht="24" hidden="false" customHeight="true" outlineLevel="0" collapsed="false">
      <c r="B16" s="25" t="s">
        <v>1563</v>
      </c>
      <c r="C16" s="106" t="n">
        <v>2000</v>
      </c>
      <c r="D16" s="17" t="s">
        <v>1550</v>
      </c>
      <c r="E16" s="105" t="s">
        <v>1545</v>
      </c>
      <c r="F16" s="17" t="s">
        <v>1559</v>
      </c>
      <c r="G16" s="107" t="s">
        <v>1547</v>
      </c>
      <c r="H16" s="105" t="s">
        <v>1564</v>
      </c>
    </row>
    <row r="17" customFormat="false" ht="24" hidden="false" customHeight="true" outlineLevel="0" collapsed="false">
      <c r="B17" s="25" t="s">
        <v>1565</v>
      </c>
      <c r="C17" s="106" t="n">
        <v>4000</v>
      </c>
      <c r="D17" s="17" t="s">
        <v>1550</v>
      </c>
      <c r="E17" s="105" t="s">
        <v>1545</v>
      </c>
      <c r="F17" s="17" t="s">
        <v>1559</v>
      </c>
      <c r="G17" s="107" t="s">
        <v>1547</v>
      </c>
      <c r="H17" s="105" t="s">
        <v>1564</v>
      </c>
    </row>
    <row r="18" customFormat="false" ht="24" hidden="false" customHeight="true" outlineLevel="0" collapsed="false">
      <c r="B18" s="25" t="s">
        <v>1566</v>
      </c>
      <c r="C18" s="106" t="n">
        <v>2000</v>
      </c>
      <c r="D18" s="17" t="s">
        <v>1550</v>
      </c>
      <c r="E18" s="105" t="s">
        <v>1567</v>
      </c>
      <c r="F18" s="17" t="s">
        <v>1559</v>
      </c>
      <c r="G18" s="107" t="s">
        <v>1547</v>
      </c>
      <c r="H18" s="105" t="s">
        <v>1568</v>
      </c>
    </row>
    <row r="19" customFormat="false" ht="24" hidden="false" customHeight="true" outlineLevel="0" collapsed="false">
      <c r="B19" s="25" t="s">
        <v>1569</v>
      </c>
      <c r="C19" s="108" t="n">
        <v>0.2</v>
      </c>
      <c r="D19" s="17" t="s">
        <v>1550</v>
      </c>
      <c r="E19" s="105" t="s">
        <v>1570</v>
      </c>
      <c r="F19" s="17" t="s">
        <v>1559</v>
      </c>
      <c r="G19" s="107" t="s">
        <v>1547</v>
      </c>
      <c r="H19" s="105" t="s">
        <v>1568</v>
      </c>
    </row>
    <row r="20" customFormat="false" ht="24" hidden="false" customHeight="true" outlineLevel="0" collapsed="false">
      <c r="B20" s="25" t="s">
        <v>1571</v>
      </c>
      <c r="C20" s="106" t="n">
        <v>1900</v>
      </c>
      <c r="D20" s="17" t="s">
        <v>1550</v>
      </c>
      <c r="E20" s="105" t="s">
        <v>1551</v>
      </c>
      <c r="F20" s="17" t="s">
        <v>1546</v>
      </c>
      <c r="G20" s="107" t="s">
        <v>1552</v>
      </c>
      <c r="H20" s="105" t="s">
        <v>1553</v>
      </c>
    </row>
    <row r="21" customFormat="false" ht="24" hidden="false" customHeight="true" outlineLevel="0" collapsed="false">
      <c r="B21" s="25" t="s">
        <v>1572</v>
      </c>
      <c r="C21" s="106" t="n">
        <v>1000</v>
      </c>
      <c r="D21" s="17" t="s">
        <v>1550</v>
      </c>
      <c r="E21" s="105" t="s">
        <v>1551</v>
      </c>
      <c r="F21" s="17" t="s">
        <v>1573</v>
      </c>
      <c r="G21" s="107" t="s">
        <v>1552</v>
      </c>
      <c r="H21" s="105" t="s">
        <v>1574</v>
      </c>
    </row>
    <row r="22" customFormat="false" ht="24" hidden="false" customHeight="true" outlineLevel="0" collapsed="false">
      <c r="B22" s="25" t="s">
        <v>1575</v>
      </c>
      <c r="C22" s="106" t="n">
        <v>2000</v>
      </c>
      <c r="D22" s="17" t="s">
        <v>1550</v>
      </c>
      <c r="E22" s="105" t="s">
        <v>1551</v>
      </c>
      <c r="F22" s="17" t="s">
        <v>1573</v>
      </c>
      <c r="G22" s="107" t="s">
        <v>1552</v>
      </c>
      <c r="H22" s="105" t="s">
        <v>1574</v>
      </c>
    </row>
    <row r="23" customFormat="false" ht="24" hidden="false" customHeight="true" outlineLevel="0" collapsed="false">
      <c r="B23" s="25" t="s">
        <v>1576</v>
      </c>
      <c r="C23" s="106" t="n">
        <v>1950</v>
      </c>
      <c r="D23" s="17" t="s">
        <v>1550</v>
      </c>
      <c r="E23" s="105" t="s">
        <v>1551</v>
      </c>
      <c r="F23" s="17" t="s">
        <v>1559</v>
      </c>
      <c r="G23" s="107" t="s">
        <v>1577</v>
      </c>
      <c r="H23" s="105" t="s">
        <v>1578</v>
      </c>
    </row>
    <row r="24" customFormat="false" ht="15" hidden="false" customHeight="true" outlineLevel="0" collapsed="false">
      <c r="B24" s="13" t="s">
        <v>1579</v>
      </c>
      <c r="C24" s="14"/>
      <c r="D24" s="14"/>
      <c r="E24" s="14"/>
      <c r="F24" s="14"/>
      <c r="G24" s="14"/>
      <c r="H24" s="14"/>
    </row>
    <row r="25" customFormat="false" ht="15" hidden="false" customHeight="true" outlineLevel="0" collapsed="false">
      <c r="B25" s="16" t="s">
        <v>1533</v>
      </c>
      <c r="C25" s="16" t="s">
        <v>1534</v>
      </c>
      <c r="D25" s="16" t="s">
        <v>1535</v>
      </c>
      <c r="E25" s="16" t="s">
        <v>1536</v>
      </c>
      <c r="F25" s="16" t="s">
        <v>1537</v>
      </c>
      <c r="G25" s="16" t="s">
        <v>1538</v>
      </c>
      <c r="H25" s="16" t="s">
        <v>1539</v>
      </c>
    </row>
    <row r="26" customFormat="false" ht="24" hidden="false" customHeight="true" outlineLevel="0" collapsed="false">
      <c r="B26" s="25" t="s">
        <v>1580</v>
      </c>
      <c r="C26" s="106" t="n">
        <v>13000</v>
      </c>
      <c r="D26" s="17" t="s">
        <v>1550</v>
      </c>
      <c r="E26" s="105" t="s">
        <v>1545</v>
      </c>
      <c r="F26" s="17" t="s">
        <v>1559</v>
      </c>
      <c r="G26" s="107" t="s">
        <v>1547</v>
      </c>
      <c r="H26" s="105" t="s">
        <v>1581</v>
      </c>
    </row>
    <row r="27" customFormat="false" ht="24" hidden="false" customHeight="true" outlineLevel="0" collapsed="false">
      <c r="B27" s="25" t="s">
        <v>1582</v>
      </c>
      <c r="C27" s="106" t="n">
        <v>12012</v>
      </c>
      <c r="D27" s="17" t="s">
        <v>1550</v>
      </c>
      <c r="E27" s="105" t="s">
        <v>1545</v>
      </c>
      <c r="F27" s="17" t="s">
        <v>1546</v>
      </c>
      <c r="G27" s="107" t="s">
        <v>1547</v>
      </c>
      <c r="H27" s="105" t="s">
        <v>1583</v>
      </c>
    </row>
    <row r="28" customFormat="false" ht="24" hidden="false" customHeight="true" outlineLevel="0" collapsed="false">
      <c r="B28" s="25" t="s">
        <v>1584</v>
      </c>
      <c r="C28" s="106" t="n">
        <v>28700</v>
      </c>
      <c r="D28" s="17" t="s">
        <v>1550</v>
      </c>
      <c r="E28" s="105" t="s">
        <v>1545</v>
      </c>
      <c r="F28" s="17" t="s">
        <v>1546</v>
      </c>
      <c r="G28" s="107" t="s">
        <v>1547</v>
      </c>
      <c r="H28" s="105" t="s">
        <v>1583</v>
      </c>
    </row>
    <row r="29" customFormat="false" ht="24" hidden="false" customHeight="true" outlineLevel="0" collapsed="false">
      <c r="B29" s="25" t="s">
        <v>1585</v>
      </c>
      <c r="C29" s="106" t="n">
        <v>70044</v>
      </c>
      <c r="D29" s="17" t="s">
        <v>1550</v>
      </c>
      <c r="E29" s="105" t="s">
        <v>1545</v>
      </c>
      <c r="F29" s="17" t="s">
        <v>1546</v>
      </c>
      <c r="G29" s="107" t="s">
        <v>1547</v>
      </c>
      <c r="H29" s="105" t="s">
        <v>1583</v>
      </c>
    </row>
    <row r="30" customFormat="false" ht="24" hidden="false" customHeight="true" outlineLevel="0" collapsed="false">
      <c r="B30" s="25" t="s">
        <v>1586</v>
      </c>
      <c r="C30" s="109" t="n">
        <v>0.005</v>
      </c>
      <c r="D30" s="17" t="s">
        <v>1550</v>
      </c>
      <c r="E30" s="105" t="s">
        <v>1545</v>
      </c>
      <c r="F30" s="17" t="s">
        <v>1559</v>
      </c>
      <c r="G30" s="107" t="s">
        <v>1547</v>
      </c>
      <c r="H30" s="105" t="s">
        <v>1583</v>
      </c>
    </row>
    <row r="31" customFormat="false" ht="24" hidden="false" customHeight="true" outlineLevel="0" collapsed="false">
      <c r="B31" s="25" t="s">
        <v>1587</v>
      </c>
      <c r="C31" s="109" t="n">
        <v>0.02</v>
      </c>
      <c r="D31" s="17" t="s">
        <v>1550</v>
      </c>
      <c r="E31" s="105" t="s">
        <v>1545</v>
      </c>
      <c r="F31" s="17" t="s">
        <v>1559</v>
      </c>
      <c r="G31" s="107" t="s">
        <v>1547</v>
      </c>
      <c r="H31" s="105" t="s">
        <v>1583</v>
      </c>
    </row>
    <row r="32" customFormat="false" ht="24" hidden="false" customHeight="true" outlineLevel="0" collapsed="false">
      <c r="B32" s="25" t="s">
        <v>1588</v>
      </c>
      <c r="C32" s="109" t="n">
        <v>0.03</v>
      </c>
      <c r="D32" s="17" t="s">
        <v>1550</v>
      </c>
      <c r="E32" s="105" t="s">
        <v>1545</v>
      </c>
      <c r="F32" s="17" t="s">
        <v>1559</v>
      </c>
      <c r="G32" s="107" t="s">
        <v>1547</v>
      </c>
      <c r="H32" s="105" t="s">
        <v>1583</v>
      </c>
    </row>
    <row r="33" customFormat="false" ht="24" hidden="false" customHeight="true" outlineLevel="0" collapsed="false">
      <c r="B33" s="25" t="s">
        <v>1589</v>
      </c>
      <c r="C33" s="109" t="n">
        <v>0.08</v>
      </c>
      <c r="D33" s="17" t="s">
        <v>1550</v>
      </c>
      <c r="E33" s="105" t="s">
        <v>1545</v>
      </c>
      <c r="F33" s="17" t="s">
        <v>1559</v>
      </c>
      <c r="G33" s="107" t="s">
        <v>1547</v>
      </c>
      <c r="H33" s="105" t="s">
        <v>1583</v>
      </c>
    </row>
    <row r="34" customFormat="false" ht="39.75" hidden="false" customHeight="true" outlineLevel="0" collapsed="false">
      <c r="B34" s="15" t="s">
        <v>1590</v>
      </c>
      <c r="C34" s="15"/>
      <c r="D34" s="15"/>
      <c r="E34" s="105" t="s">
        <v>1545</v>
      </c>
    </row>
    <row r="35" customFormat="false" ht="15" hidden="false" customHeight="true" outlineLevel="0" collapsed="false">
      <c r="B35" s="13" t="s">
        <v>1591</v>
      </c>
      <c r="C35" s="14"/>
      <c r="D35" s="14"/>
      <c r="E35" s="14"/>
      <c r="F35" s="14"/>
      <c r="G35" s="14"/>
      <c r="H35" s="14"/>
    </row>
    <row r="36" customFormat="false" ht="15" hidden="false" customHeight="true" outlineLevel="0" collapsed="false">
      <c r="B36" s="16" t="s">
        <v>1533</v>
      </c>
      <c r="C36" s="16" t="s">
        <v>1534</v>
      </c>
      <c r="D36" s="16" t="s">
        <v>1535</v>
      </c>
      <c r="E36" s="16" t="s">
        <v>1536</v>
      </c>
      <c r="F36" s="16" t="s">
        <v>1537</v>
      </c>
      <c r="G36" s="16" t="s">
        <v>1538</v>
      </c>
      <c r="H36" s="16" t="s">
        <v>1539</v>
      </c>
    </row>
    <row r="37" customFormat="false" ht="24" hidden="false" customHeight="true" outlineLevel="0" collapsed="false">
      <c r="B37" s="25" t="s">
        <v>1592</v>
      </c>
      <c r="C37" s="110" t="n">
        <v>0.0435</v>
      </c>
      <c r="D37" s="17" t="s">
        <v>1550</v>
      </c>
      <c r="E37" s="105" t="s">
        <v>1593</v>
      </c>
      <c r="F37" s="17" t="s">
        <v>1594</v>
      </c>
      <c r="G37" s="107" t="s">
        <v>1547</v>
      </c>
      <c r="H37" s="105" t="s">
        <v>1595</v>
      </c>
    </row>
    <row r="38" customFormat="false" ht="24" hidden="false" customHeight="true" outlineLevel="0" collapsed="false">
      <c r="B38" s="25" t="s">
        <v>1596</v>
      </c>
      <c r="C38" s="111" t="n">
        <v>0.042375</v>
      </c>
      <c r="D38" s="17" t="s">
        <v>1597</v>
      </c>
      <c r="E38" s="105" t="s">
        <v>1593</v>
      </c>
      <c r="F38" s="17" t="s">
        <v>1559</v>
      </c>
      <c r="G38" s="107" t="s">
        <v>1547</v>
      </c>
      <c r="H38" s="105" t="s">
        <v>1598</v>
      </c>
    </row>
    <row r="39" customFormat="false" ht="24" hidden="false" customHeight="true" outlineLevel="0" collapsed="false">
      <c r="B39" s="25" t="s">
        <v>1599</v>
      </c>
      <c r="C39" s="106" t="n">
        <v>352</v>
      </c>
      <c r="D39" s="17" t="s">
        <v>1550</v>
      </c>
      <c r="E39" s="105" t="s">
        <v>1600</v>
      </c>
      <c r="F39" s="17" t="s">
        <v>1559</v>
      </c>
      <c r="G39" s="107" t="s">
        <v>1547</v>
      </c>
      <c r="H39" s="105" t="s">
        <v>1601</v>
      </c>
    </row>
    <row r="40" customFormat="false" ht="24" hidden="false" customHeight="true" outlineLevel="0" collapsed="false">
      <c r="B40" s="25" t="s">
        <v>1602</v>
      </c>
      <c r="C40" s="106" t="n">
        <v>12</v>
      </c>
      <c r="D40" s="17" t="s">
        <v>1550</v>
      </c>
      <c r="E40" s="105" t="s">
        <v>1570</v>
      </c>
      <c r="F40" s="17" t="s">
        <v>1559</v>
      </c>
      <c r="G40" s="107" t="s">
        <v>1547</v>
      </c>
      <c r="H40" s="105" t="s">
        <v>1601</v>
      </c>
    </row>
    <row r="41" customFormat="false" ht="24" hidden="false" customHeight="true" outlineLevel="0" collapsed="false">
      <c r="B41" s="25" t="s">
        <v>1603</v>
      </c>
      <c r="C41" s="106" t="n">
        <v>424</v>
      </c>
      <c r="D41" s="17" t="s">
        <v>1550</v>
      </c>
      <c r="E41" s="105" t="s">
        <v>1570</v>
      </c>
      <c r="F41" s="17" t="s">
        <v>1559</v>
      </c>
      <c r="G41" s="107" t="s">
        <v>1547</v>
      </c>
      <c r="H41" s="105" t="s">
        <v>1601</v>
      </c>
    </row>
    <row r="42" customFormat="false" ht="24" hidden="false" customHeight="true" outlineLevel="0" collapsed="false">
      <c r="B42" s="25" t="s">
        <v>1604</v>
      </c>
      <c r="C42" s="112" t="n">
        <v>6</v>
      </c>
      <c r="D42" s="17" t="s">
        <v>1550</v>
      </c>
      <c r="E42" s="105" t="s">
        <v>1570</v>
      </c>
      <c r="F42" s="17" t="s">
        <v>1559</v>
      </c>
      <c r="G42" s="107" t="s">
        <v>1547</v>
      </c>
      <c r="H42" s="105" t="s">
        <v>1601</v>
      </c>
    </row>
    <row r="43" customFormat="false" ht="39.75" hidden="false" customHeight="true" outlineLevel="0" collapsed="false">
      <c r="B43" s="15" t="s">
        <v>1605</v>
      </c>
      <c r="C43" s="15"/>
      <c r="D43" s="15"/>
      <c r="E43" s="105" t="s">
        <v>1606</v>
      </c>
    </row>
    <row r="44" customFormat="false" ht="15" hidden="false" customHeight="true" outlineLevel="0" collapsed="false">
      <c r="B44" s="13" t="s">
        <v>1607</v>
      </c>
      <c r="C44" s="14"/>
      <c r="D44" s="14"/>
      <c r="E44" s="14"/>
      <c r="F44" s="14"/>
      <c r="G44" s="14"/>
      <c r="H44" s="14"/>
    </row>
    <row r="45" customFormat="false" ht="15" hidden="false" customHeight="true" outlineLevel="0" collapsed="false">
      <c r="B45" s="16" t="s">
        <v>1533</v>
      </c>
      <c r="C45" s="16" t="s">
        <v>1534</v>
      </c>
      <c r="D45" s="16" t="s">
        <v>1535</v>
      </c>
      <c r="E45" s="16" t="s">
        <v>1536</v>
      </c>
      <c r="F45" s="16" t="s">
        <v>1537</v>
      </c>
      <c r="G45" s="16" t="s">
        <v>1538</v>
      </c>
      <c r="H45" s="16" t="s">
        <v>1539</v>
      </c>
    </row>
    <row r="46" customFormat="false" ht="15" hidden="false" customHeight="true" outlineLevel="0" collapsed="false">
      <c r="B46" s="25" t="s">
        <v>1608</v>
      </c>
      <c r="C46" s="113" t="n">
        <v>0</v>
      </c>
      <c r="D46" s="108" t="n">
        <v>0.15</v>
      </c>
      <c r="E46" s="114" t="s">
        <v>1609</v>
      </c>
      <c r="F46" s="12" t="s">
        <v>1610</v>
      </c>
      <c r="G46" s="115" t="s">
        <v>1552</v>
      </c>
      <c r="H46" s="114" t="s">
        <v>1611</v>
      </c>
    </row>
    <row r="47" customFormat="false" ht="15" hidden="false" customHeight="true" outlineLevel="0" collapsed="false">
      <c r="B47" s="25" t="s">
        <v>1612</v>
      </c>
      <c r="C47" s="113" t="n">
        <v>30</v>
      </c>
      <c r="D47" s="108" t="n">
        <v>0.2</v>
      </c>
      <c r="E47" s="114" t="s">
        <v>1609</v>
      </c>
      <c r="F47" s="12" t="s">
        <v>1610</v>
      </c>
      <c r="G47" s="115" t="s">
        <v>1552</v>
      </c>
      <c r="H47" s="114" t="s">
        <v>1611</v>
      </c>
    </row>
    <row r="48" customFormat="false" ht="15" hidden="false" customHeight="true" outlineLevel="0" collapsed="false">
      <c r="B48" s="25" t="s">
        <v>1613</v>
      </c>
      <c r="C48" s="113" t="n">
        <v>40</v>
      </c>
      <c r="D48" s="108" t="n">
        <v>0.25</v>
      </c>
      <c r="E48" s="114" t="s">
        <v>1609</v>
      </c>
      <c r="F48" s="12" t="s">
        <v>1610</v>
      </c>
      <c r="G48" s="115" t="s">
        <v>1552</v>
      </c>
      <c r="H48" s="114" t="s">
        <v>1611</v>
      </c>
    </row>
    <row r="49" customFormat="false" ht="15" hidden="false" customHeight="true" outlineLevel="0" collapsed="false">
      <c r="B49" s="25" t="s">
        <v>1614</v>
      </c>
      <c r="C49" s="113" t="n">
        <v>50</v>
      </c>
      <c r="D49" s="108" t="n">
        <v>0.3</v>
      </c>
      <c r="E49" s="114" t="s">
        <v>1609</v>
      </c>
      <c r="F49" s="12" t="s">
        <v>1610</v>
      </c>
      <c r="G49" s="115" t="s">
        <v>1552</v>
      </c>
      <c r="H49" s="114" t="s">
        <v>1611</v>
      </c>
    </row>
    <row r="50" customFormat="false" ht="15" hidden="false" customHeight="true" outlineLevel="0" collapsed="false">
      <c r="B50" s="25" t="s">
        <v>1615</v>
      </c>
      <c r="C50" s="113" t="n">
        <v>55</v>
      </c>
      <c r="D50" s="108" t="n">
        <v>0.35</v>
      </c>
      <c r="E50" s="114" t="s">
        <v>1609</v>
      </c>
      <c r="F50" s="12" t="s">
        <v>1610</v>
      </c>
      <c r="G50" s="115" t="s">
        <v>1552</v>
      </c>
      <c r="H50" s="114" t="s">
        <v>1611</v>
      </c>
    </row>
    <row r="51" customFormat="false" ht="15" hidden="false" customHeight="true" outlineLevel="0" collapsed="false">
      <c r="B51" s="25" t="s">
        <v>1616</v>
      </c>
      <c r="C51" s="113" t="n">
        <v>60</v>
      </c>
      <c r="D51" s="108" t="n">
        <v>0.4</v>
      </c>
      <c r="E51" s="114" t="s">
        <v>1609</v>
      </c>
      <c r="F51" s="12" t="s">
        <v>1610</v>
      </c>
      <c r="G51" s="115" t="s">
        <v>1552</v>
      </c>
      <c r="H51" s="114" t="s">
        <v>1611</v>
      </c>
    </row>
    <row r="52" customFormat="false" ht="24" hidden="false" customHeight="true" outlineLevel="0" collapsed="false">
      <c r="B52" s="25" t="s">
        <v>1617</v>
      </c>
      <c r="C52" s="106" t="n">
        <v>115000</v>
      </c>
      <c r="D52" s="17" t="s">
        <v>143</v>
      </c>
      <c r="E52" s="105" t="s">
        <v>1609</v>
      </c>
      <c r="F52" s="17" t="s">
        <v>1610</v>
      </c>
      <c r="G52" s="107" t="s">
        <v>1552</v>
      </c>
      <c r="H52" s="105" t="s">
        <v>1618</v>
      </c>
    </row>
    <row r="53" customFormat="false" ht="24" hidden="false" customHeight="true" outlineLevel="0" collapsed="false">
      <c r="B53" s="25" t="s">
        <v>1619</v>
      </c>
      <c r="C53" s="108" t="n">
        <v>0.25</v>
      </c>
      <c r="D53" s="17" t="s">
        <v>57</v>
      </c>
      <c r="E53" s="105" t="s">
        <v>1620</v>
      </c>
      <c r="F53" s="17" t="s">
        <v>1621</v>
      </c>
      <c r="G53" s="107" t="s">
        <v>1552</v>
      </c>
      <c r="H53" s="105" t="s">
        <v>1622</v>
      </c>
    </row>
    <row r="54" customFormat="false" ht="24" hidden="false" customHeight="true" outlineLevel="0" collapsed="false">
      <c r="B54" s="25" t="s">
        <v>1623</v>
      </c>
      <c r="C54" s="106" t="n">
        <v>200000</v>
      </c>
      <c r="D54" s="17" t="s">
        <v>57</v>
      </c>
      <c r="E54" s="105" t="s">
        <v>1620</v>
      </c>
      <c r="F54" s="17" t="s">
        <v>1621</v>
      </c>
      <c r="G54" s="107" t="s">
        <v>1552</v>
      </c>
      <c r="H54" s="105" t="s">
        <v>1622</v>
      </c>
    </row>
    <row r="55" customFormat="false" ht="24" hidden="false" customHeight="true" outlineLevel="0" collapsed="false">
      <c r="B55" s="25" t="s">
        <v>1624</v>
      </c>
      <c r="C55" s="106" t="n">
        <v>500000</v>
      </c>
      <c r="D55" s="17" t="s">
        <v>57</v>
      </c>
      <c r="E55" s="105" t="s">
        <v>1620</v>
      </c>
      <c r="F55" s="17" t="s">
        <v>1621</v>
      </c>
      <c r="G55" s="107" t="s">
        <v>1552</v>
      </c>
      <c r="H55" s="105" t="s">
        <v>1622</v>
      </c>
    </row>
    <row r="56" customFormat="false" ht="24" hidden="false" customHeight="true" outlineLevel="0" collapsed="false">
      <c r="B56" s="25" t="s">
        <v>1625</v>
      </c>
      <c r="C56" s="108" t="n">
        <v>0.2</v>
      </c>
      <c r="D56" s="17" t="s">
        <v>57</v>
      </c>
      <c r="E56" s="105" t="s">
        <v>1620</v>
      </c>
      <c r="F56" s="17" t="s">
        <v>1621</v>
      </c>
      <c r="G56" s="107" t="s">
        <v>1552</v>
      </c>
      <c r="H56" s="105" t="s">
        <v>1622</v>
      </c>
    </row>
    <row r="57" customFormat="false" ht="24" hidden="false" customHeight="true" outlineLevel="0" collapsed="false">
      <c r="B57" s="25" t="s">
        <v>1626</v>
      </c>
      <c r="C57" s="106" t="n">
        <v>2200000</v>
      </c>
      <c r="D57" s="17" t="s">
        <v>1627</v>
      </c>
      <c r="E57" s="105" t="s">
        <v>1620</v>
      </c>
      <c r="F57" s="17" t="s">
        <v>1546</v>
      </c>
      <c r="G57" s="107" t="s">
        <v>1552</v>
      </c>
      <c r="H57" s="105" t="s">
        <v>1628</v>
      </c>
    </row>
    <row r="58" customFormat="false" ht="24" hidden="false" customHeight="true" outlineLevel="0" collapsed="false">
      <c r="B58" s="25" t="s">
        <v>1629</v>
      </c>
      <c r="C58" s="108" t="n">
        <v>0.4</v>
      </c>
      <c r="D58" s="17" t="s">
        <v>1627</v>
      </c>
      <c r="E58" s="105" t="s">
        <v>1620</v>
      </c>
      <c r="F58" s="17" t="s">
        <v>1630</v>
      </c>
      <c r="G58" s="107" t="s">
        <v>1552</v>
      </c>
      <c r="H58" s="105" t="s">
        <v>1628</v>
      </c>
    </row>
    <row r="59" customFormat="false" ht="24" hidden="false" customHeight="true" outlineLevel="0" collapsed="false">
      <c r="B59" s="25" t="s">
        <v>1631</v>
      </c>
      <c r="C59" s="112" t="n">
        <v>60</v>
      </c>
      <c r="D59" s="17" t="s">
        <v>1627</v>
      </c>
      <c r="E59" s="105" t="s">
        <v>1632</v>
      </c>
      <c r="F59" s="17" t="s">
        <v>1630</v>
      </c>
      <c r="G59" s="107" t="s">
        <v>1633</v>
      </c>
      <c r="H59" s="105" t="s">
        <v>1634</v>
      </c>
    </row>
    <row r="60" customFormat="false" ht="39.75" hidden="false" customHeight="true" outlineLevel="0" collapsed="false">
      <c r="B60" s="15" t="s">
        <v>1635</v>
      </c>
      <c r="C60" s="15"/>
      <c r="D60" s="15"/>
      <c r="E60" s="105" t="s">
        <v>1636</v>
      </c>
    </row>
    <row r="61" customFormat="false" ht="15" hidden="false" customHeight="true" outlineLevel="0" collapsed="false">
      <c r="B61" s="13" t="s">
        <v>1637</v>
      </c>
      <c r="C61" s="14"/>
      <c r="D61" s="14"/>
      <c r="E61" s="14"/>
      <c r="F61" s="14"/>
      <c r="G61" s="14"/>
      <c r="H61" s="14"/>
    </row>
    <row r="62" customFormat="false" ht="15" hidden="false" customHeight="true" outlineLevel="0" collapsed="false">
      <c r="B62" s="16" t="s">
        <v>1533</v>
      </c>
      <c r="C62" s="16" t="s">
        <v>1534</v>
      </c>
      <c r="D62" s="16" t="s">
        <v>1535</v>
      </c>
      <c r="E62" s="16" t="s">
        <v>1536</v>
      </c>
      <c r="F62" s="16" t="s">
        <v>1537</v>
      </c>
      <c r="G62" s="16" t="s">
        <v>1538</v>
      </c>
      <c r="H62" s="16" t="s">
        <v>1539</v>
      </c>
    </row>
    <row r="63" customFormat="false" ht="24" hidden="false" customHeight="true" outlineLevel="0" collapsed="false">
      <c r="B63" s="25" t="s">
        <v>1638</v>
      </c>
      <c r="C63" s="116" t="n">
        <v>299.3</v>
      </c>
      <c r="D63" s="17" t="s">
        <v>1639</v>
      </c>
      <c r="E63" s="105" t="s">
        <v>1640</v>
      </c>
      <c r="F63" s="17" t="s">
        <v>1546</v>
      </c>
      <c r="G63" s="107" t="s">
        <v>1547</v>
      </c>
      <c r="H63" s="105" t="s">
        <v>1641</v>
      </c>
    </row>
    <row r="64" customFormat="false" ht="24" hidden="false" customHeight="true" outlineLevel="0" collapsed="false">
      <c r="B64" s="25" t="s">
        <v>1642</v>
      </c>
      <c r="C64" s="116" t="n">
        <f aca="false">State_Pension_Week*Weeks_Per_Year</f>
        <v>15563.6</v>
      </c>
      <c r="D64" s="17" t="s">
        <v>1643</v>
      </c>
      <c r="E64" s="105" t="s">
        <v>1640</v>
      </c>
      <c r="F64" s="17" t="s">
        <v>1546</v>
      </c>
      <c r="G64" s="107" t="s">
        <v>1547</v>
      </c>
      <c r="H64" s="105" t="s">
        <v>1641</v>
      </c>
    </row>
    <row r="65" customFormat="false" ht="24" hidden="false" customHeight="true" outlineLevel="0" collapsed="false">
      <c r="B65" s="25" t="s">
        <v>1644</v>
      </c>
      <c r="C65" s="112" t="n">
        <v>66</v>
      </c>
      <c r="D65" s="17" t="s">
        <v>1645</v>
      </c>
      <c r="E65" s="105" t="s">
        <v>1646</v>
      </c>
      <c r="F65" s="17" t="s">
        <v>1630</v>
      </c>
      <c r="G65" s="107" t="s">
        <v>1547</v>
      </c>
      <c r="H65" s="105" t="s">
        <v>1647</v>
      </c>
    </row>
    <row r="66" customFormat="false" ht="24" hidden="false" customHeight="true" outlineLevel="0" collapsed="false">
      <c r="B66" s="25" t="s">
        <v>1648</v>
      </c>
      <c r="C66" s="116" t="n">
        <v>259.5</v>
      </c>
      <c r="D66" s="17" t="s">
        <v>76</v>
      </c>
      <c r="E66" s="105" t="s">
        <v>1649</v>
      </c>
      <c r="F66" s="17" t="s">
        <v>1546</v>
      </c>
      <c r="G66" s="107" t="s">
        <v>1552</v>
      </c>
      <c r="H66" s="105" t="s">
        <v>1650</v>
      </c>
    </row>
    <row r="67" customFormat="false" ht="24" hidden="false" customHeight="true" outlineLevel="0" collapsed="false">
      <c r="B67" s="25" t="s">
        <v>1651</v>
      </c>
      <c r="C67" s="116" t="n">
        <v>299.3</v>
      </c>
      <c r="D67" s="17" t="s">
        <v>1652</v>
      </c>
      <c r="E67" s="105" t="s">
        <v>1570</v>
      </c>
      <c r="F67" s="17" t="s">
        <v>1546</v>
      </c>
      <c r="G67" s="107" t="s">
        <v>1552</v>
      </c>
      <c r="H67" s="105" t="s">
        <v>1650</v>
      </c>
    </row>
    <row r="68" customFormat="false" ht="24" hidden="false" customHeight="true" outlineLevel="0" collapsed="false">
      <c r="B68" s="25" t="s">
        <v>1653</v>
      </c>
      <c r="C68" s="116" t="n">
        <v>254</v>
      </c>
      <c r="D68" s="17" t="s">
        <v>79</v>
      </c>
      <c r="E68" s="105" t="s">
        <v>1654</v>
      </c>
      <c r="F68" s="17" t="s">
        <v>1546</v>
      </c>
      <c r="G68" s="107" t="s">
        <v>1552</v>
      </c>
      <c r="H68" s="105" t="s">
        <v>1655</v>
      </c>
    </row>
    <row r="69" customFormat="false" ht="24" hidden="false" customHeight="true" outlineLevel="0" collapsed="false">
      <c r="B69" s="25" t="s">
        <v>1656</v>
      </c>
      <c r="C69" s="108" t="n">
        <v>0.75</v>
      </c>
      <c r="D69" s="17" t="s">
        <v>79</v>
      </c>
      <c r="E69" s="105" t="s">
        <v>1657</v>
      </c>
      <c r="F69" s="17" t="s">
        <v>1658</v>
      </c>
      <c r="G69" s="107" t="s">
        <v>1659</v>
      </c>
      <c r="H69" s="105" t="s">
        <v>1660</v>
      </c>
    </row>
    <row r="70" customFormat="false" ht="24" hidden="false" customHeight="true" outlineLevel="0" collapsed="false">
      <c r="B70" s="25" t="s">
        <v>1661</v>
      </c>
      <c r="C70" s="112" t="n">
        <v>52</v>
      </c>
      <c r="D70" s="17" t="s">
        <v>1662</v>
      </c>
      <c r="E70" s="105" t="s">
        <v>1663</v>
      </c>
      <c r="F70" s="17" t="s">
        <v>1664</v>
      </c>
      <c r="G70" s="105" t="s">
        <v>3</v>
      </c>
      <c r="H70" s="105" t="s">
        <v>1664</v>
      </c>
    </row>
    <row r="71" customFormat="false" ht="15" hidden="false" customHeight="true" outlineLevel="0" collapsed="false">
      <c r="B71" s="13" t="s">
        <v>1665</v>
      </c>
      <c r="C71" s="14"/>
      <c r="D71" s="14"/>
      <c r="E71" s="14"/>
      <c r="F71" s="14"/>
      <c r="G71" s="14"/>
      <c r="H71" s="14"/>
    </row>
    <row r="72" customFormat="false" ht="15" hidden="false" customHeight="true" outlineLevel="0" collapsed="false">
      <c r="B72" s="16" t="s">
        <v>1533</v>
      </c>
      <c r="C72" s="16" t="s">
        <v>1534</v>
      </c>
      <c r="D72" s="16" t="s">
        <v>1535</v>
      </c>
      <c r="E72" s="16" t="s">
        <v>1536</v>
      </c>
      <c r="F72" s="16" t="s">
        <v>1537</v>
      </c>
      <c r="G72" s="16" t="s">
        <v>1538</v>
      </c>
      <c r="H72" s="16" t="s">
        <v>1539</v>
      </c>
    </row>
    <row r="73" customFormat="false" ht="24" hidden="false" customHeight="true" outlineLevel="0" collapsed="false">
      <c r="B73" s="25" t="s">
        <v>1666</v>
      </c>
      <c r="C73" s="108" t="n">
        <v>0.33</v>
      </c>
      <c r="D73" s="17" t="s">
        <v>1667</v>
      </c>
      <c r="E73" s="105" t="s">
        <v>1668</v>
      </c>
      <c r="F73" s="17" t="s">
        <v>1559</v>
      </c>
      <c r="G73" s="107" t="s">
        <v>1552</v>
      </c>
      <c r="H73" s="105" t="s">
        <v>1669</v>
      </c>
    </row>
    <row r="74" customFormat="false" ht="24" hidden="false" customHeight="true" outlineLevel="0" collapsed="false">
      <c r="B74" s="25" t="s">
        <v>1670</v>
      </c>
      <c r="C74" s="108" t="n">
        <v>0.38</v>
      </c>
      <c r="D74" s="17" t="s">
        <v>1667</v>
      </c>
      <c r="E74" s="105" t="s">
        <v>1671</v>
      </c>
      <c r="F74" s="17" t="s">
        <v>1546</v>
      </c>
      <c r="G74" s="107" t="s">
        <v>1547</v>
      </c>
      <c r="H74" s="105" t="s">
        <v>1672</v>
      </c>
    </row>
    <row r="75" customFormat="false" ht="24" hidden="false" customHeight="true" outlineLevel="0" collapsed="false">
      <c r="B75" s="25" t="s">
        <v>1673</v>
      </c>
      <c r="C75" s="112" t="n">
        <v>8</v>
      </c>
      <c r="D75" s="17" t="s">
        <v>1674</v>
      </c>
      <c r="E75" s="105" t="s">
        <v>1675</v>
      </c>
      <c r="F75" s="17" t="s">
        <v>1559</v>
      </c>
      <c r="G75" s="107" t="s">
        <v>1552</v>
      </c>
      <c r="H75" s="105" t="s">
        <v>1676</v>
      </c>
    </row>
    <row r="76" customFormat="false" ht="24" hidden="false" customHeight="true" outlineLevel="0" collapsed="false">
      <c r="B76" s="25" t="s">
        <v>1677</v>
      </c>
      <c r="C76" s="108" t="n">
        <v>0.01</v>
      </c>
      <c r="D76" s="17" t="s">
        <v>1678</v>
      </c>
      <c r="E76" s="105" t="s">
        <v>1679</v>
      </c>
      <c r="F76" s="17" t="s">
        <v>1559</v>
      </c>
      <c r="G76" s="107" t="s">
        <v>1547</v>
      </c>
      <c r="H76" s="105" t="s">
        <v>1680</v>
      </c>
    </row>
    <row r="77" customFormat="false" ht="15" hidden="false" customHeight="true" outlineLevel="0" collapsed="false">
      <c r="B77" s="13" t="s">
        <v>1681</v>
      </c>
      <c r="C77" s="14"/>
      <c r="D77" s="14"/>
      <c r="E77" s="14"/>
      <c r="F77" s="14"/>
      <c r="G77" s="14"/>
      <c r="H77" s="14"/>
    </row>
    <row r="78" customFormat="false" ht="15" hidden="false" customHeight="true" outlineLevel="0" collapsed="false">
      <c r="B78" s="16" t="s">
        <v>1533</v>
      </c>
      <c r="C78" s="16" t="s">
        <v>1534</v>
      </c>
      <c r="D78" s="16" t="s">
        <v>1535</v>
      </c>
      <c r="E78" s="16" t="s">
        <v>1536</v>
      </c>
      <c r="F78" s="16" t="s">
        <v>1537</v>
      </c>
      <c r="G78" s="16" t="s">
        <v>1538</v>
      </c>
      <c r="H78" s="16" t="s">
        <v>1539</v>
      </c>
    </row>
    <row r="79" customFormat="false" ht="24" hidden="false" customHeight="true" outlineLevel="0" collapsed="false">
      <c r="B79" s="25" t="s">
        <v>1682</v>
      </c>
      <c r="C79" s="117" t="n">
        <v>4</v>
      </c>
      <c r="D79" s="17" t="s">
        <v>32</v>
      </c>
      <c r="E79" s="105" t="s">
        <v>1683</v>
      </c>
      <c r="F79" s="17" t="s">
        <v>1684</v>
      </c>
      <c r="G79" s="107" t="s">
        <v>1547</v>
      </c>
      <c r="H79" s="105" t="s">
        <v>1685</v>
      </c>
    </row>
    <row r="80" customFormat="false" ht="24" hidden="false" customHeight="true" outlineLevel="0" collapsed="false">
      <c r="B80" s="25" t="s">
        <v>1686</v>
      </c>
      <c r="C80" s="117" t="n">
        <v>3.5</v>
      </c>
      <c r="D80" s="17" t="s">
        <v>32</v>
      </c>
      <c r="E80" s="105" t="s">
        <v>1683</v>
      </c>
      <c r="F80" s="17" t="s">
        <v>1684</v>
      </c>
      <c r="G80" s="107" t="s">
        <v>1547</v>
      </c>
      <c r="H80" s="105" t="s">
        <v>1685</v>
      </c>
    </row>
    <row r="81" customFormat="false" ht="24" hidden="false" customHeight="true" outlineLevel="0" collapsed="false">
      <c r="B81" s="25" t="s">
        <v>1687</v>
      </c>
      <c r="C81" s="108" t="n">
        <v>0.9</v>
      </c>
      <c r="D81" s="17" t="s">
        <v>1688</v>
      </c>
      <c r="E81" s="105" t="s">
        <v>1683</v>
      </c>
      <c r="F81" s="17" t="s">
        <v>1684</v>
      </c>
      <c r="G81" s="107" t="s">
        <v>1547</v>
      </c>
      <c r="H81" s="105" t="s">
        <v>1689</v>
      </c>
    </row>
    <row r="82" customFormat="false" ht="24" hidden="false" customHeight="true" outlineLevel="0" collapsed="false">
      <c r="B82" s="25" t="s">
        <v>1690</v>
      </c>
      <c r="C82" s="108" t="n">
        <f aca="false">1-LTV_Max</f>
        <v>0.1</v>
      </c>
      <c r="D82" s="17" t="s">
        <v>1691</v>
      </c>
      <c r="E82" s="105" t="s">
        <v>1692</v>
      </c>
      <c r="F82" s="17" t="s">
        <v>1684</v>
      </c>
      <c r="G82" s="107" t="s">
        <v>1547</v>
      </c>
      <c r="H82" s="105" t="s">
        <v>1693</v>
      </c>
    </row>
    <row r="83" customFormat="false" ht="39.75" hidden="false" customHeight="true" outlineLevel="0" collapsed="false">
      <c r="B83" s="15" t="s">
        <v>1694</v>
      </c>
      <c r="C83" s="15"/>
      <c r="D83" s="15"/>
      <c r="E83" s="105" t="s">
        <v>1695</v>
      </c>
    </row>
    <row r="84" customFormat="false" ht="24" hidden="false" customHeight="true" outlineLevel="0" collapsed="false">
      <c r="B84" s="25" t="s">
        <v>1696</v>
      </c>
      <c r="C84" s="108" t="n">
        <v>0.01</v>
      </c>
      <c r="D84" s="17" t="s">
        <v>1697</v>
      </c>
      <c r="E84" s="105" t="s">
        <v>1698</v>
      </c>
      <c r="F84" s="17" t="s">
        <v>1699</v>
      </c>
      <c r="G84" s="107" t="s">
        <v>1552</v>
      </c>
      <c r="H84" s="105" t="s">
        <v>1700</v>
      </c>
    </row>
    <row r="85" customFormat="false" ht="24" hidden="false" customHeight="true" outlineLevel="0" collapsed="false">
      <c r="B85" s="25" t="s">
        <v>1701</v>
      </c>
      <c r="C85" s="106" t="n">
        <v>1000000</v>
      </c>
      <c r="D85" s="17" t="s">
        <v>1697</v>
      </c>
      <c r="E85" s="105" t="s">
        <v>1698</v>
      </c>
      <c r="F85" s="17" t="s">
        <v>1699</v>
      </c>
      <c r="G85" s="107" t="s">
        <v>1552</v>
      </c>
      <c r="H85" s="105" t="s">
        <v>1700</v>
      </c>
    </row>
    <row r="86" customFormat="false" ht="24" hidden="false" customHeight="true" outlineLevel="0" collapsed="false">
      <c r="B86" s="25" t="s">
        <v>1702</v>
      </c>
      <c r="C86" s="108" t="n">
        <v>0.02</v>
      </c>
      <c r="D86" s="17" t="s">
        <v>1697</v>
      </c>
      <c r="E86" s="105" t="s">
        <v>1698</v>
      </c>
      <c r="F86" s="17" t="s">
        <v>1699</v>
      </c>
      <c r="G86" s="107" t="s">
        <v>1552</v>
      </c>
      <c r="H86" s="105" t="s">
        <v>1700</v>
      </c>
    </row>
    <row r="87" customFormat="false" ht="24" hidden="false" customHeight="true" outlineLevel="0" collapsed="false">
      <c r="B87" s="25" t="s">
        <v>1703</v>
      </c>
      <c r="C87" s="106" t="n">
        <v>1500000</v>
      </c>
      <c r="D87" s="17" t="s">
        <v>1697</v>
      </c>
      <c r="E87" s="105" t="s">
        <v>1698</v>
      </c>
      <c r="F87" s="17" t="s">
        <v>1699</v>
      </c>
      <c r="G87" s="107" t="s">
        <v>1552</v>
      </c>
      <c r="H87" s="105" t="s">
        <v>1700</v>
      </c>
    </row>
    <row r="88" customFormat="false" ht="24" hidden="false" customHeight="true" outlineLevel="0" collapsed="false">
      <c r="B88" s="25" t="s">
        <v>1704</v>
      </c>
      <c r="C88" s="108" t="n">
        <v>0.06</v>
      </c>
      <c r="D88" s="17" t="s">
        <v>1697</v>
      </c>
      <c r="E88" s="105" t="s">
        <v>1698</v>
      </c>
      <c r="F88" s="17" t="s">
        <v>1699</v>
      </c>
      <c r="G88" s="107" t="s">
        <v>1552</v>
      </c>
      <c r="H88" s="105" t="s">
        <v>1700</v>
      </c>
    </row>
    <row r="89" customFormat="false" ht="39.75" hidden="false" customHeight="true" outlineLevel="0" collapsed="false">
      <c r="B89" s="15" t="s">
        <v>1705</v>
      </c>
      <c r="C89" s="15"/>
      <c r="D89" s="15"/>
      <c r="E89" s="105" t="s">
        <v>1706</v>
      </c>
    </row>
    <row r="90" customFormat="false" ht="15" hidden="false" customHeight="true" outlineLevel="0" collapsed="false">
      <c r="B90" s="13" t="s">
        <v>1707</v>
      </c>
      <c r="C90" s="14"/>
      <c r="D90" s="14"/>
      <c r="E90" s="14"/>
      <c r="F90" s="14"/>
      <c r="G90" s="14"/>
      <c r="H90" s="14"/>
    </row>
    <row r="91" customFormat="false" ht="15" hidden="false" customHeight="true" outlineLevel="0" collapsed="false">
      <c r="B91" s="16" t="s">
        <v>1533</v>
      </c>
      <c r="C91" s="16" t="s">
        <v>1534</v>
      </c>
      <c r="D91" s="16" t="s">
        <v>1535</v>
      </c>
      <c r="E91" s="16" t="s">
        <v>1536</v>
      </c>
      <c r="F91" s="16" t="s">
        <v>1537</v>
      </c>
      <c r="G91" s="16" t="s">
        <v>1538</v>
      </c>
      <c r="H91" s="16" t="s">
        <v>1539</v>
      </c>
    </row>
    <row r="92" customFormat="false" ht="24" hidden="false" customHeight="true" outlineLevel="0" collapsed="false">
      <c r="B92" s="25" t="s">
        <v>1708</v>
      </c>
      <c r="C92" s="108" t="n">
        <v>0.7</v>
      </c>
      <c r="D92" s="17" t="s">
        <v>74</v>
      </c>
      <c r="E92" s="105" t="s">
        <v>1709</v>
      </c>
      <c r="F92" s="17" t="s">
        <v>1664</v>
      </c>
      <c r="G92" s="105" t="s">
        <v>3</v>
      </c>
      <c r="H92" s="105" t="s">
        <v>1664</v>
      </c>
    </row>
    <row r="93" customFormat="false" ht="24" hidden="false" customHeight="true" outlineLevel="0" collapsed="false">
      <c r="B93" s="25" t="s">
        <v>1710</v>
      </c>
      <c r="C93" s="108" t="n">
        <v>0.4</v>
      </c>
      <c r="D93" s="17" t="s">
        <v>74</v>
      </c>
      <c r="E93" s="105" t="s">
        <v>1711</v>
      </c>
      <c r="F93" s="17" t="s">
        <v>1664</v>
      </c>
      <c r="G93" s="105" t="s">
        <v>3</v>
      </c>
      <c r="H93" s="105" t="s">
        <v>1664</v>
      </c>
    </row>
    <row r="94" customFormat="false" ht="24" hidden="false" customHeight="true" outlineLevel="0" collapsed="false">
      <c r="B94" s="25" t="s">
        <v>1712</v>
      </c>
      <c r="C94" s="112" t="n">
        <v>365</v>
      </c>
      <c r="D94" s="17" t="s">
        <v>1713</v>
      </c>
      <c r="E94" s="105" t="s">
        <v>1714</v>
      </c>
      <c r="F94" s="17" t="s">
        <v>1664</v>
      </c>
      <c r="G94" s="105" t="s">
        <v>3</v>
      </c>
      <c r="H94" s="105" t="s">
        <v>1664</v>
      </c>
    </row>
    <row r="95" customFormat="false" ht="24" hidden="false" customHeight="true" outlineLevel="0" collapsed="false">
      <c r="B95" s="25" t="s">
        <v>1715</v>
      </c>
      <c r="C95" s="108" t="n">
        <v>0.8</v>
      </c>
      <c r="D95" s="17" t="s">
        <v>1716</v>
      </c>
      <c r="E95" s="105" t="s">
        <v>1714</v>
      </c>
      <c r="F95" s="17" t="s">
        <v>1664</v>
      </c>
      <c r="G95" s="105" t="s">
        <v>3</v>
      </c>
      <c r="H95" s="105" t="s">
        <v>1664</v>
      </c>
    </row>
    <row r="96" customFormat="false" ht="15" hidden="false" customHeight="true" outlineLevel="0" collapsed="false">
      <c r="B96" s="13" t="s">
        <v>1717</v>
      </c>
      <c r="C96" s="14"/>
      <c r="D96" s="14"/>
      <c r="E96" s="14"/>
      <c r="F96" s="14"/>
      <c r="G96" s="14"/>
      <c r="H96" s="14"/>
    </row>
    <row r="97" customFormat="false" ht="15" hidden="false" customHeight="true" outlineLevel="0" collapsed="false">
      <c r="B97" s="16" t="s">
        <v>1533</v>
      </c>
      <c r="C97" s="16" t="s">
        <v>1534</v>
      </c>
      <c r="D97" s="16" t="s">
        <v>1535</v>
      </c>
      <c r="E97" s="16" t="s">
        <v>1536</v>
      </c>
      <c r="F97" s="16" t="s">
        <v>1537</v>
      </c>
      <c r="G97" s="16" t="s">
        <v>1538</v>
      </c>
      <c r="H97" s="16" t="s">
        <v>1539</v>
      </c>
    </row>
    <row r="98" customFormat="false" ht="24" hidden="false" customHeight="true" outlineLevel="0" collapsed="false">
      <c r="B98" s="25" t="s">
        <v>1718</v>
      </c>
      <c r="C98" s="112" t="n">
        <v>1200</v>
      </c>
      <c r="D98" s="17" t="s">
        <v>1719</v>
      </c>
      <c r="E98" s="105" t="s">
        <v>1720</v>
      </c>
      <c r="F98" s="17" t="s">
        <v>1664</v>
      </c>
      <c r="G98" s="105" t="s">
        <v>3</v>
      </c>
      <c r="H98" s="105" t="s">
        <v>1664</v>
      </c>
    </row>
    <row r="99" customFormat="false" ht="24" hidden="false" customHeight="true" outlineLevel="0" collapsed="false">
      <c r="B99" s="25" t="s">
        <v>1721</v>
      </c>
      <c r="C99" s="112" t="n">
        <v>60</v>
      </c>
      <c r="D99" s="17" t="s">
        <v>155</v>
      </c>
      <c r="E99" s="105" t="s">
        <v>1720</v>
      </c>
      <c r="F99" s="17" t="s">
        <v>1664</v>
      </c>
      <c r="G99" s="105" t="s">
        <v>3</v>
      </c>
      <c r="H99" s="105" t="s">
        <v>1664</v>
      </c>
    </row>
    <row r="100" customFormat="false" ht="24" hidden="false" customHeight="true" outlineLevel="0" collapsed="false">
      <c r="B100" s="25" t="s">
        <v>1722</v>
      </c>
      <c r="C100" s="112" t="n">
        <v>5</v>
      </c>
      <c r="D100" s="17" t="s">
        <v>81</v>
      </c>
      <c r="E100" s="105" t="s">
        <v>1720</v>
      </c>
      <c r="F100" s="17" t="s">
        <v>1664</v>
      </c>
      <c r="G100" s="105" t="s">
        <v>3</v>
      </c>
      <c r="H100" s="105" t="s">
        <v>1664</v>
      </c>
    </row>
    <row r="101" customFormat="false" ht="24" hidden="false" customHeight="true" outlineLevel="0" collapsed="false">
      <c r="B101" s="25" t="s">
        <v>1723</v>
      </c>
      <c r="C101" s="112" t="n">
        <v>10</v>
      </c>
      <c r="D101" s="17" t="s">
        <v>81</v>
      </c>
      <c r="E101" s="105" t="s">
        <v>1720</v>
      </c>
      <c r="F101" s="17" t="s">
        <v>1664</v>
      </c>
      <c r="G101" s="105" t="s">
        <v>3</v>
      </c>
      <c r="H101" s="105" t="s">
        <v>1664</v>
      </c>
    </row>
    <row r="102" customFormat="false" ht="24" hidden="false" customHeight="true" outlineLevel="0" collapsed="false">
      <c r="B102" s="25" t="s">
        <v>1724</v>
      </c>
      <c r="C102" s="112" t="n">
        <v>15</v>
      </c>
      <c r="D102" s="17" t="s">
        <v>81</v>
      </c>
      <c r="E102" s="105" t="s">
        <v>1720</v>
      </c>
      <c r="F102" s="17" t="s">
        <v>1664</v>
      </c>
      <c r="G102" s="105" t="s">
        <v>3</v>
      </c>
      <c r="H102" s="105" t="s">
        <v>1664</v>
      </c>
    </row>
    <row r="103" customFormat="false" ht="24" hidden="false" customHeight="true" outlineLevel="0" collapsed="false">
      <c r="B103" s="25" t="s">
        <v>1725</v>
      </c>
      <c r="C103" s="118" t="n">
        <v>1.645</v>
      </c>
      <c r="D103" s="17" t="s">
        <v>74</v>
      </c>
      <c r="E103" s="105" t="s">
        <v>1726</v>
      </c>
      <c r="F103" s="17" t="s">
        <v>1664</v>
      </c>
      <c r="G103" s="105" t="s">
        <v>3</v>
      </c>
      <c r="H103" s="105" t="s">
        <v>1727</v>
      </c>
    </row>
    <row r="104" customFormat="false" ht="15" hidden="false" customHeight="true" outlineLevel="0" collapsed="false">
      <c r="B104" s="25" t="s">
        <v>1728</v>
      </c>
      <c r="C104" s="113" t="s">
        <v>1729</v>
      </c>
      <c r="D104" s="12" t="s">
        <v>74</v>
      </c>
      <c r="E104" s="114" t="s">
        <v>1730</v>
      </c>
      <c r="G104" s="52" t="s">
        <v>3</v>
      </c>
    </row>
    <row r="105" customFormat="false" ht="15" hidden="false" customHeight="true" outlineLevel="0" collapsed="false">
      <c r="B105" s="25" t="s">
        <v>1731</v>
      </c>
      <c r="C105" s="113" t="s">
        <v>1732</v>
      </c>
      <c r="D105" s="12" t="s">
        <v>74</v>
      </c>
      <c r="E105" s="114" t="s">
        <v>1730</v>
      </c>
      <c r="G105" s="52" t="s">
        <v>3</v>
      </c>
    </row>
    <row r="106" customFormat="false" ht="15" hidden="false" customHeight="true" outlineLevel="0" collapsed="false">
      <c r="B106" s="25" t="s">
        <v>1733</v>
      </c>
      <c r="C106" s="113" t="s">
        <v>1734</v>
      </c>
      <c r="D106" s="12" t="s">
        <v>74</v>
      </c>
      <c r="E106" s="114" t="s">
        <v>1730</v>
      </c>
      <c r="G106" s="52" t="s">
        <v>3</v>
      </c>
    </row>
    <row r="108" customFormat="false" ht="15" hidden="false" customHeight="true" outlineLevel="0" collapsed="false">
      <c r="B108" s="13" t="s">
        <v>94</v>
      </c>
      <c r="C108" s="14"/>
      <c r="D108" s="14"/>
      <c r="E108" s="14"/>
      <c r="F108" s="14"/>
      <c r="G108" s="14"/>
      <c r="H108" s="14"/>
    </row>
    <row r="109" customFormat="false" ht="42" hidden="false" customHeight="true" outlineLevel="0" collapsed="false">
      <c r="B109" s="15" t="s">
        <v>95</v>
      </c>
      <c r="C109" s="15"/>
      <c r="D109" s="15"/>
      <c r="E109" s="15"/>
      <c r="F109" s="15"/>
      <c r="G109" s="15"/>
    </row>
    <row r="110" customFormat="false" ht="15" hidden="false" customHeight="true" outlineLevel="0" collapsed="false">
      <c r="B110" s="16" t="s">
        <v>96</v>
      </c>
      <c r="D110" s="16" t="s">
        <v>97</v>
      </c>
      <c r="E110" s="16" t="s">
        <v>98</v>
      </c>
    </row>
    <row r="111" customFormat="false" ht="25.5" hidden="false" customHeight="true" outlineLevel="0" collapsed="false">
      <c r="B111" s="17" t="s">
        <v>99</v>
      </c>
      <c r="D111" s="17" t="s">
        <v>100</v>
      </c>
      <c r="E111" s="17" t="s">
        <v>101</v>
      </c>
    </row>
    <row r="112" customFormat="false" ht="25.5" hidden="false" customHeight="true" outlineLevel="0" collapsed="false">
      <c r="B112" s="17" t="s">
        <v>102</v>
      </c>
      <c r="D112" s="17" t="s">
        <v>103</v>
      </c>
      <c r="E112" s="17" t="s">
        <v>104</v>
      </c>
    </row>
    <row r="113" customFormat="false" ht="25.5" hidden="false" customHeight="true" outlineLevel="0" collapsed="false">
      <c r="B113" s="17" t="s">
        <v>105</v>
      </c>
      <c r="D113" s="17" t="s">
        <v>106</v>
      </c>
      <c r="E113" s="17" t="s">
        <v>104</v>
      </c>
    </row>
    <row r="114" customFormat="false" ht="25.5" hidden="false" customHeight="true" outlineLevel="0" collapsed="false">
      <c r="B114" s="17" t="s">
        <v>107</v>
      </c>
      <c r="D114" s="17" t="s">
        <v>108</v>
      </c>
      <c r="E114" s="17" t="s">
        <v>109</v>
      </c>
    </row>
    <row r="115" customFormat="false" ht="25.5" hidden="false" customHeight="true" outlineLevel="0" collapsed="false">
      <c r="B115" s="17" t="s">
        <v>110</v>
      </c>
      <c r="D115" s="17" t="s">
        <v>111</v>
      </c>
      <c r="E115" s="17" t="s">
        <v>112</v>
      </c>
    </row>
    <row r="116" customFormat="false" ht="25.5" hidden="false" customHeight="true" outlineLevel="0" collapsed="false">
      <c r="B116" s="17" t="s">
        <v>113</v>
      </c>
      <c r="D116" s="17" t="s">
        <v>114</v>
      </c>
      <c r="E116" s="17" t="s">
        <v>115</v>
      </c>
    </row>
    <row r="117" customFormat="false" ht="25.5" hidden="false" customHeight="true" outlineLevel="0" collapsed="false">
      <c r="B117" s="17" t="s">
        <v>116</v>
      </c>
      <c r="D117" s="17" t="s">
        <v>117</v>
      </c>
      <c r="E117" s="17" t="s">
        <v>118</v>
      </c>
    </row>
    <row r="118" customFormat="false" ht="25.5" hidden="false" customHeight="true" outlineLevel="0" collapsed="false">
      <c r="B118" s="17" t="s">
        <v>119</v>
      </c>
      <c r="D118" s="17" t="s">
        <v>120</v>
      </c>
      <c r="E118" s="17" t="s">
        <v>121</v>
      </c>
    </row>
    <row r="119" customFormat="false" ht="25.5" hidden="false" customHeight="true" outlineLevel="0" collapsed="false">
      <c r="B119" s="17" t="s">
        <v>122</v>
      </c>
      <c r="D119" s="17" t="s">
        <v>123</v>
      </c>
      <c r="E119" s="17" t="s">
        <v>104</v>
      </c>
    </row>
    <row r="120" customFormat="false" ht="25.5" hidden="false" customHeight="true" outlineLevel="0" collapsed="false">
      <c r="B120" s="17" t="s">
        <v>124</v>
      </c>
      <c r="D120" s="17" t="s">
        <v>125</v>
      </c>
      <c r="E120" s="17" t="s">
        <v>104</v>
      </c>
    </row>
    <row r="121" customFormat="false" ht="25.5" hidden="false" customHeight="true" outlineLevel="0" collapsed="false">
      <c r="B121" s="17" t="s">
        <v>126</v>
      </c>
      <c r="D121" s="17" t="s">
        <v>127</v>
      </c>
      <c r="E121" s="17" t="s">
        <v>128</v>
      </c>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2026-10-02T13:36:25Z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