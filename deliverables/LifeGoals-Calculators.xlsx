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comments23.xml" ContentType="application/vnd.openxmlformats-officedocument.spreadsheetml.comments+xml"/>
  <Override PartName="/xl/comments22.xml" ContentType="application/vnd.openxmlformats-officedocument.spreadsheetml.comments+xml"/>
  <Override PartName="/xl/styles.xml" ContentType="application/vnd.openxmlformats-officedocument.spreadsheetml.styles+xml"/>
  <Override PartName="/xl/comments11.xml" ContentType="application/vnd.openxmlformats-officedocument.spreadsheetml.comments+xml"/>
  <Override PartName="/xl/comments10.xml" ContentType="application/vnd.openxmlformats-officedocument.spreadsheetml.comments+xml"/>
  <Override PartName="/xl/comments20.xml" ContentType="application/vnd.openxmlformats-officedocument.spreadsheetml.comments+xml"/>
  <Override PartName="/xl/comments18.xml" ContentType="application/vnd.openxmlformats-officedocument.spreadsheetml.comments+xml"/>
  <Override PartName="/xl/theme/theme1.xml" ContentType="application/vnd.openxmlformats-officedocument.theme+xml"/>
  <Override PartName="/xl/comments6.xml" ContentType="application/vnd.openxmlformats-officedocument.spreadsheetml.comments+xml"/>
  <Override PartName="/xl/comments16.xml" ContentType="application/vnd.openxmlformats-officedocument.spreadsheetml.comments+xml"/>
  <Override PartName="/xl/comments26.xml" ContentType="application/vnd.openxmlformats-officedocument.spreadsheetml.comments+xml"/>
  <Override PartName="/xl/comments15.xml" ContentType="application/vnd.openxmlformats-officedocument.spreadsheetml.comments+xml"/>
  <Override PartName="/xl/comments5.xml" ContentType="application/vnd.openxmlformats-officedocument.spreadsheetml.comments+xml"/>
  <Override PartName="/xl/comments27.xml" ContentType="application/vnd.openxmlformats-officedocument.spreadsheetml.comments+xml"/>
  <Override PartName="/xl/comments4.xml" ContentType="application/vnd.openxmlformats-officedocument.spreadsheetml.comments+xml"/>
  <Override PartName="/xl/comments14.xml" ContentType="application/vnd.openxmlformats-officedocument.spreadsheetml.comments+xml"/>
  <Override PartName="/xl/comments28.xml" ContentType="application/vnd.openxmlformats-officedocument.spreadsheetml.comments+xml"/>
  <Override PartName="/xl/comments30.xml" ContentType="application/vnd.openxmlformats-officedocument.spreadsheetml.comments+xml"/>
  <Override PartName="/xl/comments29.xml" ContentType="application/vnd.openxmlformats-officedocument.spreadsheetml.comments+xml"/>
  <Override PartName="/xl/drawings/vmlDrawing13.vml" ContentType="application/vnd.openxmlformats-officedocument.vmlDrawing"/>
  <Override PartName="/xl/drawings/vmlDrawing12.vml" ContentType="application/vnd.openxmlformats-officedocument.vmlDrawing"/>
  <Override PartName="/xl/drawings/vmlDrawing11.vml" ContentType="application/vnd.openxmlformats-officedocument.vmlDrawing"/>
  <Override PartName="/xl/drawings/vmlDrawing10.vml" ContentType="application/vnd.openxmlformats-officedocument.vmlDrawing"/>
  <Override PartName="/xl/drawings/vmlDrawing9.vml" ContentType="application/vnd.openxmlformats-officedocument.vmlDrawing"/>
  <Override PartName="/xl/drawings/vmlDrawing8.vml" ContentType="application/vnd.openxmlformats-officedocument.vmlDrawing"/>
  <Override PartName="/xl/drawings/vmlDrawing7.vml" ContentType="application/vnd.openxmlformats-officedocument.vmlDrawing"/>
  <Override PartName="/xl/drawings/vmlDrawing6.vml" ContentType="application/vnd.openxmlformats-officedocument.vmlDrawing"/>
  <Override PartName="/xl/drawings/vmlDrawing5.vml" ContentType="application/vnd.openxmlformats-officedocument.vmlDrawing"/>
  <Override PartName="/xl/drawings/vmlDrawing4.vml" ContentType="application/vnd.openxmlformats-officedocument.vmlDrawing"/>
  <Override PartName="/xl/drawings/vmlDrawing3.vml" ContentType="application/vnd.openxmlformats-officedocument.vmlDrawing"/>
  <Override PartName="/xl/drawings/vmlDrawing2.vml" ContentType="application/vnd.openxmlformats-officedocument.vmlDrawing"/>
  <Override PartName="/xl/drawings/vmlDrawing1.vml" ContentType="application/vnd.openxmlformats-officedocument.vmlDrawing"/>
  <Override PartName="/xl/drawings/vmlDrawing14.vml" ContentType="application/vnd.openxmlformats-officedocument.vmlDrawing"/>
  <Override PartName="/xl/drawings/vmlDrawing15.vml" ContentType="application/vnd.openxmlformats-officedocument.vmlDrawing"/>
  <Override PartName="/xl/drawings/vmlDrawing16.vml" ContentType="application/vnd.openxmlformats-officedocument.vmlDrawing"/>
  <Override PartName="/xl/drawings/vmlDrawing29.vml" ContentType="application/vnd.openxmlformats-officedocument.vmlDrawing"/>
  <Override PartName="/xl/drawings/vmlDrawing17.vml" ContentType="application/vnd.openxmlformats-officedocument.vmlDrawing"/>
  <Override PartName="/xl/drawings/vmlDrawing28.vml" ContentType="application/vnd.openxmlformats-officedocument.vmlDrawing"/>
  <Override PartName="/xl/drawings/vmlDrawing27.vml" ContentType="application/vnd.openxmlformats-officedocument.vmlDrawing"/>
  <Override PartName="/xl/drawings/vmlDrawing26.vml" ContentType="application/vnd.openxmlformats-officedocument.vmlDrawing"/>
  <Override PartName="/xl/drawings/vmlDrawing25.vml" ContentType="application/vnd.openxmlformats-officedocument.vmlDrawing"/>
  <Override PartName="/xl/drawings/vmlDrawing24.vml" ContentType="application/vnd.openxmlformats-officedocument.vmlDrawing"/>
  <Override PartName="/xl/drawings/vmlDrawing23.vml" ContentType="application/vnd.openxmlformats-officedocument.vmlDrawing"/>
  <Override PartName="/xl/drawings/vmlDrawing22.vml" ContentType="application/vnd.openxmlformats-officedocument.vmlDrawing"/>
  <Override PartName="/xl/drawings/vmlDrawing21.vml" ContentType="application/vnd.openxmlformats-officedocument.vmlDrawing"/>
  <Override PartName="/xl/drawings/vmlDrawing19.vml" ContentType="application/vnd.openxmlformats-officedocument.vmlDrawing"/>
  <Override PartName="/xl/drawings/vmlDrawing20.vml" ContentType="application/vnd.openxmlformats-officedocument.vmlDrawing"/>
  <Override PartName="/xl/drawings/vmlDrawing18.vml" ContentType="application/vnd.openxmlformats-officedocument.vmlDrawing"/>
  <Override PartName="/xl/comments24.xml" ContentType="application/vnd.openxmlformats-officedocument.spreadsheetml.comments+xml"/>
  <Override PartName="/xl/_rels/workbook.xml.rels" ContentType="application/vnd.openxmlformats-package.relationships+xml"/>
  <Override PartName="/xl/comments2.xml" ContentType="application/vnd.openxmlformats-officedocument.spreadsheetml.comments+xml"/>
  <Override PartName="/xl/comments12.xml" ContentType="application/vnd.openxmlformats-officedocument.spreadsheetml.comments+xml"/>
  <Override PartName="/xl/comments8.xml" ContentType="application/vnd.openxmlformats-officedocument.spreadsheetml.comments+xml"/>
  <Override PartName="/xl/sharedStrings.xml" ContentType="application/vnd.openxmlformats-officedocument.spreadsheetml.sharedStrings+xml"/>
  <Override PartName="/xl/worksheets/_rels/sheet27.xml.rels" ContentType="application/vnd.openxmlformats-package.relationships+xml"/>
  <Override PartName="/xl/worksheets/_rels/sheet5.xml.rels" ContentType="application/vnd.openxmlformats-package.relationships+xml"/>
  <Override PartName="/xl/worksheets/_rels/sheet6.xml.rels" ContentType="application/vnd.openxmlformats-package.relationships+xml"/>
  <Override PartName="/xl/worksheets/_rels/sheet12.xml.rels" ContentType="application/vnd.openxmlformats-package.relationships+xml"/>
  <Override PartName="/xl/worksheets/_rels/sheet10.xml.rels" ContentType="application/vnd.openxmlformats-package.relationships+xml"/>
  <Override PartName="/xl/worksheets/_rels/sheet31.xml.rels" ContentType="application/vnd.openxmlformats-package.relationships+xml"/>
  <Override PartName="/xl/worksheets/_rels/sheet29.xml.rels" ContentType="application/vnd.openxmlformats-package.relationships+xml"/>
  <Override PartName="/xl/worksheets/_rels/sheet9.xml.rels" ContentType="application/vnd.openxmlformats-package.relationships+xml"/>
  <Override PartName="/xl/worksheets/_rels/sheet14.xml.rels" ContentType="application/vnd.openxmlformats-package.relationships+xml"/>
  <Override PartName="/xl/worksheets/_rels/sheet8.xml.rels" ContentType="application/vnd.openxmlformats-package.relationships+xml"/>
  <Override PartName="/xl/worksheets/_rels/sheet28.xml.rels" ContentType="application/vnd.openxmlformats-package.relationships+xml"/>
  <Override PartName="/xl/worksheets/_rels/sheet30.xml.rels" ContentType="application/vnd.openxmlformats-package.relationships+xml"/>
  <Override PartName="/xl/worksheets/_rels/sheet13.xml.rels" ContentType="application/vnd.openxmlformats-package.relationships+xml"/>
  <Override PartName="/xl/worksheets/_rels/sheet7.xml.rels" ContentType="application/vnd.openxmlformats-package.relationships+xml"/>
  <Override PartName="/xl/worksheets/_rels/sheet11.xml.rels" ContentType="application/vnd.openxmlformats-package.relationships+xml"/>
  <Override PartName="/xl/worksheets/_rels/sheet15.xml.rels" ContentType="application/vnd.openxmlformats-package.relationships+xml"/>
  <Override PartName="/xl/worksheets/_rels/sheet16.xml.rels" ContentType="application/vnd.openxmlformats-package.relationships+xml"/>
  <Override PartName="/xl/worksheets/_rels/sheet2.xml.rels" ContentType="application/vnd.openxmlformats-package.relationships+xml"/>
  <Override PartName="/xl/worksheets/_rels/sheet17.xml.rels" ContentType="application/vnd.openxmlformats-package.relationships+xml"/>
  <Override PartName="/xl/worksheets/_rels/sheet3.xml.rels" ContentType="application/vnd.openxmlformats-package.relationships+xml"/>
  <Override PartName="/xl/worksheets/_rels/sheet18.xml.rels" ContentType="application/vnd.openxmlformats-package.relationships+xml"/>
  <Override PartName="/xl/worksheets/_rels/sheet20.xml.rels" ContentType="application/vnd.openxmlformats-package.relationships+xml"/>
  <Override PartName="/xl/worksheets/_rels/sheet4.xml.rels" ContentType="application/vnd.openxmlformats-package.relationships+xml"/>
  <Override PartName="/xl/worksheets/_rels/sheet19.xml.rels" ContentType="application/vnd.openxmlformats-package.relationships+xml"/>
  <Override PartName="/xl/worksheets/_rels/sheet21.xml.rels" ContentType="application/vnd.openxmlformats-package.relationships+xml"/>
  <Override PartName="/xl/worksheets/_rels/sheet22.xml.rels" ContentType="application/vnd.openxmlformats-package.relationships+xml"/>
  <Override PartName="/xl/worksheets/_rels/sheet23.xml.rels" ContentType="application/vnd.openxmlformats-package.relationships+xml"/>
  <Override PartName="/xl/worksheets/_rels/sheet24.xml.rels" ContentType="application/vnd.openxmlformats-package.relationships+xml"/>
  <Override PartName="/xl/worksheets/_rels/sheet25.xml.rels" ContentType="application/vnd.openxmlformats-package.relationships+xml"/>
  <Override PartName="/xl/worksheets/_rels/sheet26.xml.rels" ContentType="application/vnd.openxmlformats-package.relationships+xml"/>
  <Override PartName="/xl/worksheets/sheet29.xml" ContentType="application/vnd.openxmlformats-officedocument.spreadsheetml.worksheet+xml"/>
  <Override PartName="/xl/worksheets/sheet28.xml" ContentType="application/vnd.openxmlformats-officedocument.spreadsheetml.worksheet+xml"/>
  <Override PartName="/xl/worksheets/sheet27.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30.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31.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6.xml" ContentType="application/vnd.openxmlformats-officedocument.spreadsheetml.worksheet+xml"/>
  <Override PartName="/xl/worksheets/sheet11.xml" ContentType="application/vnd.openxmlformats-officedocument.spreadsheetml.worksheet+xml"/>
  <Override PartName="/xl/worksheets/sheet32.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xml" ContentType="application/vnd.openxmlformats-officedocument.spreadsheetml.worksheet+xml"/>
  <Override PartName="/xl/worksheets/sheet18.xml" ContentType="application/vnd.openxmlformats-officedocument.spreadsheetml.worksheet+xml"/>
  <Override PartName="/xl/worksheets/sheet20.xml" ContentType="application/vnd.openxmlformats-officedocument.spreadsheetml.worksheet+xml"/>
  <Override PartName="/xl/worksheets/sheet2.xml" ContentType="application/vnd.openxmlformats-officedocument.spreadsheetml.worksheet+xml"/>
  <Override PartName="/xl/worksheets/sheet19.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comments9.xml" ContentType="application/vnd.openxmlformats-officedocument.spreadsheetml.comments+xml"/>
  <Override PartName="/xl/comments19.xml" ContentType="application/vnd.openxmlformats-officedocument.spreadsheetml.comments+xml"/>
  <Override PartName="/xl/comments21.xml" ContentType="application/vnd.openxmlformats-officedocument.spreadsheetml.comments+xml"/>
  <Override PartName="/xl/comments3.xml" ContentType="application/vnd.openxmlformats-officedocument.spreadsheetml.comments+xml"/>
  <Override PartName="/xl/comments13.xml" ContentType="application/vnd.openxmlformats-officedocument.spreadsheetml.comments+xml"/>
  <Override PartName="/xl/comments7.xml" ContentType="application/vnd.openxmlformats-officedocument.spreadsheetml.comments+xml"/>
  <Override PartName="/xl/comments17.xml" ContentType="application/vnd.openxmlformats-officedocument.spreadsheetml.comments+xml"/>
  <Override PartName="/xl/workbook.xml" ContentType="application/vnd.openxmlformats-officedocument.spreadsheetml.sheet.main+xml"/>
  <Override PartName="/xl/comments25.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C01 Borrowing" sheetId="2" state="visible" r:id="rId4"/>
    <sheet name="C02 Mortgage repayment" sheetId="3" state="visible" r:id="rId5"/>
    <sheet name="C03 Deposit" sheetId="4" state="visible" r:id="rId6"/>
    <sheet name="C04 Mortgage overpayment" sheetId="5" state="visible" r:id="rId7"/>
    <sheet name="C05 Interest rate impact" sheetId="6" state="visible" r:id="rId8"/>
    <sheet name="C06 Term comparison" sheetId="7" state="visible" r:id="rId9"/>
    <sheet name="C07 Rent vs buy" sheetId="8" state="visible" r:id="rId10"/>
    <sheet name="C08 Goal planner" sheetId="9" state="visible" r:id="rId11"/>
    <sheet name="C09 Compound growth" sheetId="10" state="visible" r:id="rId12"/>
    <sheet name="C10 Lump sum growth" sheetId="11" state="visible" r:id="rId13"/>
    <sheet name="C11 Emergency fund" sheetId="12" state="visible" r:id="rId14"/>
    <sheet name="C12 Retirement projection" sheetId="13" state="visible" r:id="rId15"/>
    <sheet name="C13 Contribution impact" sheetId="14" state="visible" r:id="rId16"/>
    <sheet name="C14 AVC impact" sheetId="15" state="visible" r:id="rId17"/>
    <sheet name="C15 Will my money last" sheetId="16" state="visible" r:id="rId18"/>
    <sheet name="C16 Drawdown scenarios" sheetId="17" state="visible" r:id="rId19"/>
    <sheet name="C17 Inflation adjusted return" sheetId="18" state="visible" r:id="rId20"/>
    <sheet name="C18 Regular investing" sheetId="19" state="visible" r:id="rId21"/>
    <sheet name="C19 Fees impact" sheetId="20" state="visible" r:id="rId22"/>
    <sheet name="C20 Risk and return" sheetId="21" state="visible" r:id="rId23"/>
    <sheet name="C21 Life cover" sheetId="22" state="visible" r:id="rId24"/>
    <sheet name="C22 Income protection gap" sheetId="23" state="visible" r:id="rId25"/>
    <sheet name="C23 Mortgage protection" sheetId="24" state="visible" r:id="rId26"/>
    <sheet name="C24 Net worth" sheetId="25" state="visible" r:id="rId27"/>
    <sheet name="C25 Monthly surplus" sheetId="26" state="visible" r:id="rId28"/>
    <sheet name="C26 Budget 50 30 20" sheetId="27" state="visible" r:id="rId29"/>
    <sheet name="C27 Debt repayment" sheetId="28" state="visible" r:id="rId30"/>
    <sheet name="C28 Loan repayment" sheetId="29" state="visible" r:id="rId31"/>
    <sheet name="Tax engine" sheetId="30" state="visible" r:id="rId32"/>
    <sheet name="Document reader spec" sheetId="31" state="visible" r:id="rId33"/>
    <sheet name="Assumptions" sheetId="32" state="visible" r:id="rId34"/>
  </sheets>
  <definedNames>
    <definedName function="false" hidden="false" name="Band_Married" vbProcedure="false">Assumptions!$C$12</definedName>
    <definedName function="false" hidden="false" name="Band_Second_Earner_Max" vbProcedure="false">Assumptions!$C$13</definedName>
    <definedName function="false" hidden="false" name="Band_Single" vbProcedure="false">Assumptions!$C$10</definedName>
    <definedName function="false" hidden="false" name="Band_Single_Parent" vbProcedure="false">Assumptions!$C$11</definedName>
    <definedName function="false" hidden="false" name="Cap_Months" vbProcedure="false">Assumptions!$C$98</definedName>
    <definedName function="false" hidden="false" name="Cap_Years" vbProcedure="false">Assumptions!$C$99</definedName>
    <definedName function="false" hidden="false" name="Credit_Home_Carer" vbProcedure="false">Assumptions!$C$23</definedName>
    <definedName function="false" hidden="false" name="Credit_PAYE" vbProcedure="false">Assumptions!$C$18</definedName>
    <definedName function="false" hidden="false" name="Credit_PAYE_Cap_Pct" vbProcedure="false">Assumptions!$C$19</definedName>
    <definedName function="false" hidden="false" name="Credit_Personal_Married" vbProcedure="false">Assumptions!$C$17</definedName>
    <definedName function="false" hidden="false" name="Credit_Personal_Single" vbProcedure="false">Assumptions!$C$16</definedName>
    <definedName function="false" hidden="false" name="Credit_Rent_Joint" vbProcedure="false">Assumptions!$C$22</definedName>
    <definedName function="false" hidden="false" name="Credit_Rent_Single" vbProcedure="false">Assumptions!$C$21</definedName>
    <definedName function="false" hidden="false" name="Credit_SPCCC" vbProcedure="false">Assumptions!$C$20</definedName>
    <definedName function="false" hidden="false" name="Deemed_Disposal_Years" vbProcedure="false">Assumptions!$C$75</definedName>
    <definedName function="false" hidden="false" name="DIRT" vbProcedure="false">Assumptions!$C$73</definedName>
    <definedName function="false" hidden="false" name="Exit_Tax" vbProcedure="false">Assumptions!$C$74</definedName>
    <definedName function="false" hidden="false" name="Illness_Benefit_Week" vbProcedure="false">Assumptions!$C$68</definedName>
    <definedName function="false" hidden="false" name="IP_Max_Pct" vbProcedure="false">Assumptions!$C$69</definedName>
    <definedName function="false" hidden="false" name="Life_Levy" vbProcedure="false">Assumptions!$C$76</definedName>
    <definedName function="false" hidden="false" name="LTI_FTB" vbProcedure="false">Assumptions!$C$79</definedName>
    <definedName function="false" hidden="false" name="LTI_SSB" vbProcedure="false">Assumptions!$C$80</definedName>
    <definedName function="false" hidden="false" name="LTV_Max" vbProcedure="false">Assumptions!$C$81</definedName>
    <definedName function="false" hidden="false" name="Lump_Sum_Cap" vbProcedure="false">Assumptions!$C$55</definedName>
    <definedName function="false" hidden="false" name="Lump_Sum_Max_Pct" vbProcedure="false">Assumptions!$C$53</definedName>
    <definedName function="false" hidden="false" name="Lump_Sum_Rate" vbProcedure="false">Assumptions!$C$56</definedName>
    <definedName function="false" hidden="false" name="Lump_Sum_Tax_Free" vbProcedure="false">Assumptions!$C$54</definedName>
    <definedName function="false" hidden="false" name="Min_Deposit_Pct" vbProcedure="false">Assumptions!$C$82</definedName>
    <definedName function="false" hidden="false" name="MP_Year_1" vbProcedure="false">Assumptions!$C$100</definedName>
    <definedName function="false" hidden="false" name="MP_Year_2" vbProcedure="false">Assumptions!$C$101</definedName>
    <definedName function="false" hidden="false" name="MP_Year_3" vbProcedure="false">Assumptions!$C$102</definedName>
    <definedName function="false" hidden="false" name="One_In_20_Z" vbProcedure="false">Assumptions!$C$103</definedName>
    <definedName function="false" hidden="false" name="Pension_Earliest_Age" vbProcedure="false">Assumptions!$C$59</definedName>
    <definedName function="false" hidden="false" name="PRSI_Credit_Max" vbProcedure="false">Assumptions!$C$40</definedName>
    <definedName function="false" hidden="false" name="PRSI_Credit_Taper" vbProcedure="false">Assumptions!$C$42</definedName>
    <definedName function="false" hidden="false" name="PRSI_Credit_Top" vbProcedure="false">Assumptions!$C$41</definedName>
    <definedName function="false" hidden="false" name="PRSI_Free_Week" vbProcedure="false">Assumptions!$C$39</definedName>
    <definedName function="false" hidden="false" name="PRSI_Rate" vbProcedure="false">Assumptions!$C$37</definedName>
    <definedName function="false" hidden="false" name="PRSI_Rate_2026_Blend" vbProcedure="false">Assumptions!$C$38</definedName>
    <definedName function="false" hidden="false" name="Rate_Higher" vbProcedure="false">Assumptions!$C$15</definedName>
    <definedName function="false" hidden="false" name="Rate_Standard" vbProcedure="false">Assumptions!$C$14</definedName>
    <definedName function="false" hidden="false" name="Reader_Confidence_Min" vbProcedure="false">Assumptions!$C$95</definedName>
    <definedName function="false" hidden="false" name="Relief_Age_From" vbProcedure="false">Assumptions!$C$46:$C$51</definedName>
    <definedName function="false" hidden="false" name="Relief_Age_Pct" vbProcedure="false">Assumptions!$D$46:$D$51</definedName>
    <definedName function="false" hidden="false" name="Relief_Earnings_Cap" vbProcedure="false">Assumptions!$C$52</definedName>
    <definedName function="false" hidden="false" name="Risk_Names" vbProcedure="false">Assumptions!$C$104:$C$106</definedName>
    <definedName function="false" hidden="false" name="SD_Band_1" vbProcedure="false">Assumptions!$C$85</definedName>
    <definedName function="false" hidden="false" name="SD_Band_2" vbProcedure="false">Assumptions!$C$87</definedName>
    <definedName function="false" hidden="false" name="SD_Rate_1" vbProcedure="false">Assumptions!$C$84</definedName>
    <definedName function="false" hidden="false" name="SD_Rate_2" vbProcedure="false">Assumptions!$C$86</definedName>
    <definedName function="false" hidden="false" name="SD_Rate_3" vbProcedure="false">Assumptions!$C$88</definedName>
    <definedName function="false" hidden="false" name="SFT_2026" vbProcedure="false">Assumptions!$C$57</definedName>
    <definedName function="false" hidden="false" name="SFT_Tax" vbProcedure="false">Assumptions!$C$58</definedName>
    <definedName function="false" hidden="false" name="Shares_For_Balanced" vbProcedure="false">Assumptions!$C$93</definedName>
    <definedName function="false" hidden="false" name="Shares_For_Growth" vbProcedure="false">Assumptions!$C$92</definedName>
    <definedName function="false" hidden="false" name="Statement_Max_Age_Days" vbProcedure="false">Assumptions!$C$94</definedName>
    <definedName function="false" hidden="false" name="State_Pension_Age" vbProcedure="false">Assumptions!$C$65</definedName>
    <definedName function="false" hidden="false" name="State_Pension_Week" vbProcedure="false">Assumptions!$C$63</definedName>
    <definedName function="false" hidden="false" name="State_Pension_Year" vbProcedure="false">Assumptions!$C$64</definedName>
    <definedName function="false" hidden="false" name="Survivor_Pension_Week" vbProcedure="false">Assumptions!$C$66</definedName>
    <definedName function="false" hidden="false" name="Survivor_Pension_Week_66" vbProcedure="false">Assumptions!$C$67</definedName>
    <definedName function="false" hidden="false" name="TE_Band" vbProcedure="false">'Tax engine'!$C$15</definedName>
    <definedName function="false" hidden="false" name="TE_Checks" vbProcedure="false">'Tax engine'!$Q$45</definedName>
    <definedName function="false" hidden="false" name="TE_Credits" vbProcedure="false">'Tax engine'!$C$18</definedName>
    <definedName function="false" hidden="false" name="TE_Earner_2" vbProcedure="false">'Tax engine'!$C$14</definedName>
    <definedName function="false" hidden="false" name="TE_Gross_1" vbProcedure="false">'Tax engine'!$C$6</definedName>
    <definedName function="false" hidden="false" name="TE_Gross_2" vbProcedure="false">'Tax engine'!$C$7</definedName>
    <definedName function="false" hidden="false" name="TE_Home_Carer" vbProcedure="false">'Tax engine'!$C$9</definedName>
    <definedName function="false" hidden="false" name="TE_Income_Tax" vbProcedure="false">'Tax engine'!$C$19</definedName>
    <definedName function="false" hidden="false" name="TE_Marginal_Rate" vbProcedure="false">'Tax engine'!$C$24</definedName>
    <definedName function="false" hidden="false" name="TE_PRSI" vbProcedure="false">'Tax engine'!$C$21</definedName>
    <definedName function="false" hidden="false" name="TE_PRSI_Basis" vbProcedure="false">'Tax engine'!$C$10</definedName>
    <definedName function="false" hidden="false" name="TE_PRSI_Rate_Used" vbProcedure="false">'Tax engine'!$C$13</definedName>
    <definedName function="false" hidden="false" name="TE_Rent_Credit" vbProcedure="false">'Tax engine'!$C$8</definedName>
    <definedName function="false" hidden="false" name="TE_Status" vbProcedure="false">'Tax engine'!$C$5</definedName>
    <definedName function="false" hidden="false" name="TE_Take_Home" vbProcedure="false">'Tax engine'!$C$22</definedName>
    <definedName function="false" hidden="false" name="TE_Take_Home_Month" vbProcedure="false">'Tax engine'!$C$23</definedName>
    <definedName function="false" hidden="false" name="TE_Taxable" vbProcedure="false">'Tax engine'!$C$16</definedName>
    <definedName function="false" hidden="false" name="TE_Tax_Before_Credits" vbProcedure="false">'Tax engine'!$C$17</definedName>
    <definedName function="false" hidden="false" name="TE_USC" vbProcedure="false">'Tax engine'!$C$20</definedName>
    <definedName function="false" hidden="false" name="USC_Band_1" vbProcedure="false">Assumptions!$C$27</definedName>
    <definedName function="false" hidden="false" name="USC_Band_2" vbProcedure="false">Assumptions!$C$28</definedName>
    <definedName function="false" hidden="false" name="USC_Band_3" vbProcedure="false">Assumptions!$C$29</definedName>
    <definedName function="false" hidden="false" name="USC_Exempt" vbProcedure="false">Assumptions!$C$26</definedName>
    <definedName function="false" hidden="false" name="USC_Rate_1" vbProcedure="false">Assumptions!$C$30</definedName>
    <definedName function="false" hidden="false" name="USC_Rate_2" vbProcedure="false">Assumptions!$C$31</definedName>
    <definedName function="false" hidden="false" name="USC_Rate_3" vbProcedure="false">Assumptions!$C$32</definedName>
    <definedName function="false" hidden="false" name="USC_Rate_4" vbProcedure="false">Assumptions!$C$33</definedName>
    <definedName function="false" hidden="false" name="Weeks_Per_Year" vbProcedure="false">Assumptions!$C$70</definedName>
    <definedName function="false" hidden="false" localSheetId="1" name="Borrow_By_Income" vbProcedure="false">'C01 Borrowing'!$C$21</definedName>
    <definedName function="false" hidden="false" localSheetId="1" name="Buying_Fees" vbProcedure="false">'C01 Borrowing'!$C$12</definedName>
    <definedName function="false" hidden="false" localSheetId="1" name="Cash_At_Band_1" vbProcedure="false">'C01 Borrowing'!$C$25</definedName>
    <definedName function="false" hidden="false" localSheetId="1" name="Cash_At_Band_2" vbProcedure="false">'C01 Borrowing'!$C$26</definedName>
    <definedName function="false" hidden="false" localSheetId="1" name="Cash_For_Price" vbProcedure="false">'C01 Borrowing'!$C$24</definedName>
    <definedName function="false" hidden="false" localSheetId="1" name="Deposit" vbProcedure="false">'C01 Borrowing'!$C$8</definedName>
    <definedName function="false" hidden="false" localSheetId="1" name="Extra_Deposit" vbProcedure="false">'C01 Borrowing'!$C$14</definedName>
    <definedName function="false" hidden="false" localSheetId="1" name="First_Time_Buyer" vbProcedure="false">'C01 Borrowing'!$C$9</definedName>
    <definedName function="false" hidden="false" localSheetId="1" name="Home_Goal_Years" vbProcedure="false">'C01 Borrowing'!$C$13</definedName>
    <definedName function="false" hidden="false" localSheetId="1" name="Home_Price" vbProcedure="false">'C01 Borrowing'!$C$17</definedName>
    <definedName function="false" hidden="false" localSheetId="1" name="Income" vbProcedure="false">'C01 Borrowing'!$C$6</definedName>
    <definedName function="false" hidden="false" localSheetId="1" name="Income_Cash" vbProcedure="false">'C01 Borrowing'!$C$28</definedName>
    <definedName function="false" hidden="false" localSheetId="1" name="Income_Multiple" vbProcedure="false">'C01 Borrowing'!$C$22</definedName>
    <definedName function="false" hidden="false" localSheetId="1" name="Interest_Rate" vbProcedure="false">'C01 Borrowing'!$C$10</definedName>
    <definedName function="false" hidden="false" localSheetId="1" name="Limit_Set_By" vbProcedure="false">'C01 Borrowing'!$C$30</definedName>
    <definedName function="false" hidden="false" localSheetId="1" name="Max_Loan" vbProcedure="false">'C01 Borrowing'!$C$18</definedName>
    <definedName function="false" hidden="false" localSheetId="1" name="Monthly_Repayment" vbProcedure="false">'C01 Borrowing'!$C$19</definedName>
    <definedName function="false" hidden="false" localSheetId="1" name="Partner_Income" vbProcedure="false">'C01 Borrowing'!$C$7</definedName>
    <definedName function="false" hidden="false" localSheetId="1" name="Plan_Goal_Amount" vbProcedure="false">'C01 Borrowing'!$C$44</definedName>
    <definedName function="false" hidden="false" localSheetId="1" name="Plan_Goal_Kind" vbProcedure="false">'C01 Borrowing'!$C$43</definedName>
    <definedName function="false" hidden="false" localSheetId="1" name="Plan_Goal_Saved" vbProcedure="false">'C01 Borrowing'!$C$45</definedName>
    <definedName function="false" hidden="false" localSheetId="1" name="Plan_Goal_Years" vbProcedure="false">'C01 Borrowing'!$C$46</definedName>
    <definedName function="false" hidden="false" localSheetId="1" name="Price_By_Deposit" vbProcedure="false">'C01 Borrowing'!$C$27</definedName>
    <definedName function="false" hidden="false" localSheetId="1" name="Price_By_Income" vbProcedure="false">'C01 Borrowing'!$C$29</definedName>
    <definedName function="false" hidden="false" localSheetId="1" name="Stamp_Duty" vbProcedure="false">'C01 Borrowing'!$C$20</definedName>
    <definedName function="false" hidden="false" localSheetId="1" name="Term_Years" vbProcedure="false">'C01 Borrowing'!$C$11</definedName>
    <definedName function="false" hidden="false" localSheetId="1" name="Total_Deposit" vbProcedure="false">'C01 Borrowing'!$C$23</definedName>
    <definedName function="false" hidden="false" localSheetId="2" name="Actual_Repayment" vbProcedure="false">'C02 Mortgage repayment'!$C$17</definedName>
    <definedName function="false" hidden="false" localSheetId="2" name="Change_Per_Year" vbProcedure="false">'C02 Mortgage repayment'!$C$38</definedName>
    <definedName function="false" hidden="false" localSheetId="2" name="Final_Payment" vbProcedure="false">'C02 Mortgage repayment'!$C$35</definedName>
    <definedName function="false" hidden="false" localSheetId="2" name="Formula_Repayment" vbProcedure="false">'C02 Mortgage repayment'!$C$34</definedName>
    <definedName function="false" hidden="false" localSheetId="2" name="Home_Goal_Years" vbProcedure="false">'C02 Mortgage repayment'!$C$18</definedName>
    <definedName function="false" hidden="false" localSheetId="2" name="Interest_Rate" vbProcedure="false">'C02 Mortgage repayment'!$C$15</definedName>
    <definedName function="false" hidden="false" localSheetId="2" name="Loan_Amount" vbProcedure="false">'C02 Mortgage repayment'!$C$14</definedName>
    <definedName function="false" hidden="false" localSheetId="2" name="Monthly_Rate" vbProcedure="false">'C02 Mortgage repayment'!$C$33</definedName>
    <definedName function="false" hidden="false" localSheetId="2" name="Monthly_Repayment" vbProcedure="false">'C02 Mortgage repayment'!$C$29</definedName>
    <definedName function="false" hidden="false" localSheetId="2" name="Months_To_Pay" vbProcedure="false">'C02 Mortgage repayment'!$C$30</definedName>
    <definedName function="false" hidden="false" localSheetId="2" name="New_Rate" vbProcedure="false">'C02 Mortgage repayment'!$C$36</definedName>
    <definedName function="false" hidden="false" localSheetId="2" name="Plan_Goal_Amount" vbProcedure="false">'C02 Mortgage repayment'!$C$52</definedName>
    <definedName function="false" hidden="false" localSheetId="2" name="Plan_Goal_Kind" vbProcedure="false">'C02 Mortgage repayment'!$C$51</definedName>
    <definedName function="false" hidden="false" localSheetId="2" name="Plan_Goal_Years" vbProcedure="false">'C02 Mortgage repayment'!$C$53</definedName>
    <definedName function="false" hidden="false" localSheetId="2" name="Rate_Change" vbProcedure="false">'C02 Mortgage repayment'!$C$19</definedName>
    <definedName function="false" hidden="false" localSheetId="2" name="Repayment_If_Changed" vbProcedure="false">'C02 Mortgage repayment'!$C$37</definedName>
    <definedName function="false" hidden="false" localSheetId="2" name="Statement_Check" vbProcedure="false">'C02 Mortgage repayment'!$C$26</definedName>
    <definedName function="false" hidden="false" localSheetId="2" name="Stmt_Balance" vbProcedure="false">'C02 Mortgage repayment'!$C$7</definedName>
    <definedName function="false" hidden="false" localSheetId="2" name="Stmt_Rate" vbProcedure="false">'C02 Mortgage repayment'!$C$8</definedName>
    <definedName function="false" hidden="false" localSheetId="2" name="Stmt_Repayment" vbProcedure="false">'C02 Mortgage repayment'!$C$10</definedName>
    <definedName function="false" hidden="false" localSheetId="2" name="Stmt_Statement_Date" vbProcedure="false">'C02 Mortgage repayment'!$C$11</definedName>
    <definedName function="false" hidden="false" localSheetId="2" name="Stmt_Term" vbProcedure="false">'C02 Mortgage repayment'!$C$9</definedName>
    <definedName function="false" hidden="false" localSheetId="2" name="Term_Years" vbProcedure="false">'C02 Mortgage repayment'!$C$16</definedName>
    <definedName function="false" hidden="false" localSheetId="2" name="Total_Interest" vbProcedure="false">'C02 Mortgage repayment'!$C$31</definedName>
    <definedName function="false" hidden="false" localSheetId="2" name="Total_Repaid" vbProcedure="false">'C02 Mortgage repayment'!$C$32</definedName>
    <definedName function="false" hidden="false" localSheetId="2" name="Used_Actual_Repayment" vbProcedure="false">'C02 Mortgage repayment'!$C$25</definedName>
    <definedName function="false" hidden="false" localSheetId="2" name="Used_Interest_Rate" vbProcedure="false">'C02 Mortgage repayment'!$C$23</definedName>
    <definedName function="false" hidden="false" localSheetId="2" name="Used_Loan_Amount" vbProcedure="false">'C02 Mortgage repayment'!$C$22</definedName>
    <definedName function="false" hidden="false" localSheetId="2" name="Used_Term_Years" vbProcedure="false">'C02 Mortgage repayment'!$C$24</definedName>
    <definedName function="false" hidden="false" localSheetId="3" name="Buying_Fees" vbProcedure="false">'C03 Deposit'!$C$8</definedName>
    <definedName function="false" hidden="false" localSheetId="3" name="Deposit_Needed" vbProcedure="false">'C03 Deposit'!$C$17</definedName>
    <definedName function="false" hidden="false" localSheetId="3" name="Deposit_Pct" vbProcedure="false">'C03 Deposit'!$C$7</definedName>
    <definedName function="false" hidden="false" localSheetId="3" name="Extra_Saving" vbProcedure="false">'C03 Deposit'!$C$11</definedName>
    <definedName function="false" hidden="false" localSheetId="3" name="Home_Price" vbProcedure="false">'C03 Deposit'!$C$6</definedName>
    <definedName function="false" hidden="false" localSheetId="3" name="Monthly_Saving" vbProcedure="false">'C03 Deposit'!$C$10</definedName>
    <definedName function="false" hidden="false" localSheetId="3" name="Months_To_Deposit" vbProcedure="false">'C03 Deposit'!$C$14</definedName>
    <definedName function="false" hidden="false" localSheetId="3" name="Plan_Goal_Amount" vbProcedure="false">'C03 Deposit'!$C$30</definedName>
    <definedName function="false" hidden="false" localSheetId="3" name="Plan_Goal_Kind" vbProcedure="false">'C03 Deposit'!$C$29</definedName>
    <definedName function="false" hidden="false" localSheetId="3" name="Plan_Goal_Saved" vbProcedure="false">'C03 Deposit'!$C$31</definedName>
    <definedName function="false" hidden="false" localSheetId="3" name="Plan_Goal_Years" vbProcedure="false">'C03 Deposit'!$C$32</definedName>
    <definedName function="false" hidden="false" localSheetId="3" name="Saved" vbProcedure="false">'C03 Deposit'!$C$9</definedName>
    <definedName function="false" hidden="false" localSheetId="3" name="Stamp_Duty" vbProcedure="false">'C03 Deposit'!$C$18</definedName>
    <definedName function="false" hidden="false" localSheetId="3" name="Still_To_Save" vbProcedure="false">'C03 Deposit'!$C$16</definedName>
    <definedName function="false" hidden="false" localSheetId="3" name="Total_Needed" vbProcedure="false">'C03 Deposit'!$C$15</definedName>
    <definedName function="false" hidden="false" localSheetId="4" name="Actual_Repayment" vbProcedure="false">'C04 Mortgage overpayment'!$C$18</definedName>
    <definedName function="false" hidden="false" localSheetId="4" name="Extra_Payment" vbProcedure="false">'C04 Mortgage overpayment'!$C$17</definedName>
    <definedName function="false" hidden="false" localSheetId="4" name="Interest_Now" vbProcedure="false">'C04 Mortgage overpayment'!$C$37</definedName>
    <definedName function="false" hidden="false" localSheetId="4" name="Interest_Rate" vbProcedure="false">'C04 Mortgage overpayment'!$C$15</definedName>
    <definedName function="false" hidden="false" localSheetId="4" name="Interest_Saved" vbProcedure="false">'C04 Mortgage overpayment'!$C$29</definedName>
    <definedName function="false" hidden="false" localSheetId="4" name="Interest_With_Extra" vbProcedure="false">'C04 Mortgage overpayment'!$C$38</definedName>
    <definedName function="false" hidden="false" localSheetId="4" name="Last_Payment_Now" vbProcedure="false">'C04 Mortgage overpayment'!$C$35</definedName>
    <definedName function="false" hidden="false" localSheetId="4" name="Last_Payment_With_Extra" vbProcedure="false">'C04 Mortgage overpayment'!$C$36</definedName>
    <definedName function="false" hidden="false" localSheetId="4" name="Monthly_Rate" vbProcedure="false">'C04 Mortgage overpayment'!$C$32</definedName>
    <definedName function="false" hidden="false" localSheetId="4" name="Months_Now" vbProcedure="false">'C04 Mortgage overpayment'!$C$30</definedName>
    <definedName function="false" hidden="false" localSheetId="4" name="Months_Sooner" vbProcedure="false">'C04 Mortgage overpayment'!$C$28</definedName>
    <definedName function="false" hidden="false" localSheetId="4" name="Months_With_Extra" vbProcedure="false">'C04 Mortgage overpayment'!$C$31</definedName>
    <definedName function="false" hidden="false" localSheetId="4" name="Mortgage_Balance" vbProcedure="false">'C04 Mortgage overpayment'!$C$14</definedName>
    <definedName function="false" hidden="false" localSheetId="4" name="Plan_Goal_Kind" vbProcedure="false">'C04 Mortgage overpayment'!$C$51</definedName>
    <definedName function="false" hidden="false" localSheetId="4" name="Plan_Goal_Years" vbProcedure="false">'C04 Mortgage overpayment'!$C$52</definedName>
    <definedName function="false" hidden="false" localSheetId="4" name="Repayment_Now" vbProcedure="false">'C04 Mortgage overpayment'!$C$33</definedName>
    <definedName function="false" hidden="false" localSheetId="4" name="Repayment_With_Extra" vbProcedure="false">'C04 Mortgage overpayment'!$C$34</definedName>
    <definedName function="false" hidden="false" localSheetId="4" name="Statement_Check" vbProcedure="false">'C04 Mortgage overpayment'!$C$25</definedName>
    <definedName function="false" hidden="false" localSheetId="4" name="Stmt_Balance" vbProcedure="false">'C04 Mortgage overpayment'!$C$7</definedName>
    <definedName function="false" hidden="false" localSheetId="4" name="Stmt_Rate" vbProcedure="false">'C04 Mortgage overpayment'!$C$8</definedName>
    <definedName function="false" hidden="false" localSheetId="4" name="Stmt_Repayment" vbProcedure="false">'C04 Mortgage overpayment'!$C$10</definedName>
    <definedName function="false" hidden="false" localSheetId="4" name="Stmt_Statement_Date" vbProcedure="false">'C04 Mortgage overpayment'!$C$11</definedName>
    <definedName function="false" hidden="false" localSheetId="4" name="Stmt_Term" vbProcedure="false">'C04 Mortgage overpayment'!$C$9</definedName>
    <definedName function="false" hidden="false" localSheetId="4" name="Used_Actual_Repayment" vbProcedure="false">'C04 Mortgage overpayment'!$C$24</definedName>
    <definedName function="false" hidden="false" localSheetId="4" name="Used_Interest_Rate" vbProcedure="false">'C04 Mortgage overpayment'!$C$22</definedName>
    <definedName function="false" hidden="false" localSheetId="4" name="Used_Mortgage_Balance" vbProcedure="false">'C04 Mortgage overpayment'!$C$21</definedName>
    <definedName function="false" hidden="false" localSheetId="4" name="Used_Years_Left" vbProcedure="false">'C04 Mortgage overpayment'!$C$23</definedName>
    <definedName function="false" hidden="false" localSheetId="4" name="Years_Left" vbProcedure="false">'C04 Mortgage overpayment'!$C$16</definedName>
    <definedName function="false" hidden="false" localSheetId="5" name="Actual_Repayment" vbProcedure="false">'C05 Interest rate impact'!$C$18</definedName>
    <definedName function="false" hidden="false" localSheetId="5" name="Current_Rate" vbProcedure="false">'C05 Interest rate impact'!$C$15</definedName>
    <definedName function="false" hidden="false" localSheetId="5" name="Formula_Now" vbProcedure="false">'C05 Interest rate impact'!$C$32</definedName>
    <definedName function="false" hidden="false" localSheetId="5" name="Monthly_Change" vbProcedure="false">'C05 Interest rate impact'!$C$28</definedName>
    <definedName function="false" hidden="false" localSheetId="5" name="Mortgage_Balance" vbProcedure="false">'C05 Interest rate impact'!$C$14</definedName>
    <definedName function="false" hidden="false" localSheetId="5" name="New_Rate" vbProcedure="false">'C05 Interest rate impact'!$C$33</definedName>
    <definedName function="false" hidden="false" localSheetId="5" name="Plan_Goal_Kind" vbProcedure="false">'C05 Interest rate impact'!$C$43</definedName>
    <definedName function="false" hidden="false" localSheetId="5" name="Rate_Change" vbProcedure="false">'C05 Interest rate impact'!$C$17</definedName>
    <definedName function="false" hidden="false" localSheetId="5" name="Repayment_After" vbProcedure="false">'C05 Interest rate impact'!$C$30</definedName>
    <definedName function="false" hidden="false" localSheetId="5" name="Repayment_Now" vbProcedure="false">'C05 Interest rate impact'!$C$29</definedName>
    <definedName function="false" hidden="false" localSheetId="5" name="Statement_Check" vbProcedure="false">'C05 Interest rate impact'!$C$25</definedName>
    <definedName function="false" hidden="false" localSheetId="5" name="Stmt_Balance" vbProcedure="false">'C05 Interest rate impact'!$C$7</definedName>
    <definedName function="false" hidden="false" localSheetId="5" name="Stmt_Rate" vbProcedure="false">'C05 Interest rate impact'!$C$8</definedName>
    <definedName function="false" hidden="false" localSheetId="5" name="Stmt_Repayment" vbProcedure="false">'C05 Interest rate impact'!$C$10</definedName>
    <definedName function="false" hidden="false" localSheetId="5" name="Stmt_Statement_Date" vbProcedure="false">'C05 Interest rate impact'!$C$11</definedName>
    <definedName function="false" hidden="false" localSheetId="5" name="Stmt_Term" vbProcedure="false">'C05 Interest rate impact'!$C$9</definedName>
    <definedName function="false" hidden="false" localSheetId="5" name="Used_Actual_Repayment" vbProcedure="false">'C05 Interest rate impact'!$C$24</definedName>
    <definedName function="false" hidden="false" localSheetId="5" name="Used_Current_Rate" vbProcedure="false">'C05 Interest rate impact'!$C$22</definedName>
    <definedName function="false" hidden="false" localSheetId="5" name="Used_Mortgage_Balance" vbProcedure="false">'C05 Interest rate impact'!$C$21</definedName>
    <definedName function="false" hidden="false" localSheetId="5" name="Used_Years_Left" vbProcedure="false">'C05 Interest rate impact'!$C$23</definedName>
    <definedName function="false" hidden="false" localSheetId="5" name="Yearly_Change" vbProcedure="false">'C05 Interest rate impact'!$C$31</definedName>
    <definedName function="false" hidden="false" localSheetId="5" name="Years_Left" vbProcedure="false">'C05 Interest rate impact'!$C$16</definedName>
    <definedName function="false" hidden="false" localSheetId="6" name="Interest_A" vbProcedure="false">'C06 Term comparison'!$C$28</definedName>
    <definedName function="false" hidden="false" localSheetId="6" name="Interest_B" vbProcedure="false">'C06 Term comparison'!$C$29</definedName>
    <definedName function="false" hidden="false" localSheetId="6" name="Interest_Difference" vbProcedure="false">'C06 Term comparison'!$C$25</definedName>
    <definedName function="false" hidden="false" localSheetId="6" name="Interest_Rate" vbProcedure="false">'C06 Term comparison'!$C$14</definedName>
    <definedName function="false" hidden="false" localSheetId="6" name="Loan_Amount" vbProcedure="false">'C06 Term comparison'!$C$13</definedName>
    <definedName function="false" hidden="false" localSheetId="6" name="Monthly_A" vbProcedure="false">'C06 Term comparison'!$C$26</definedName>
    <definedName function="false" hidden="false" localSheetId="6" name="Monthly_B" vbProcedure="false">'C06 Term comparison'!$C$27</definedName>
    <definedName function="false" hidden="false" localSheetId="6" name="Plan_Goal_Kind" vbProcedure="false">'C06 Term comparison'!$C$39</definedName>
    <definedName function="false" hidden="false" localSheetId="6" name="Statement_Check" vbProcedure="false">'C06 Term comparison'!$C$22</definedName>
    <definedName function="false" hidden="false" localSheetId="6" name="Stmt_Balance" vbProcedure="false">'C06 Term comparison'!$C$7</definedName>
    <definedName function="false" hidden="false" localSheetId="6" name="Stmt_Rate" vbProcedure="false">'C06 Term comparison'!$C$8</definedName>
    <definedName function="false" hidden="false" localSheetId="6" name="Stmt_Statement_Date" vbProcedure="false">'C06 Term comparison'!$C$10</definedName>
    <definedName function="false" hidden="false" localSheetId="6" name="Stmt_Term" vbProcedure="false">'C06 Term comparison'!$C$9</definedName>
    <definedName function="false" hidden="false" localSheetId="6" name="Term_A" vbProcedure="false">'C06 Term comparison'!$C$15</definedName>
    <definedName function="false" hidden="false" localSheetId="6" name="Term_B" vbProcedure="false">'C06 Term comparison'!$C$16</definedName>
    <definedName function="false" hidden="false" localSheetId="6" name="Used_Interest_Rate" vbProcedure="false">'C06 Term comparison'!$C$20</definedName>
    <definedName function="false" hidden="false" localSheetId="6" name="Used_Loan_Amount" vbProcedure="false">'C06 Term comparison'!$C$19</definedName>
    <definedName function="false" hidden="false" localSheetId="6" name="Used_Term_A" vbProcedure="false">'C06 Term comparison'!$C$21</definedName>
    <definedName function="false" hidden="false" localSheetId="7" name="Balance_After" vbProcedure="false">'C07 Rent vs buy'!$C$26</definedName>
    <definedName function="false" hidden="false" localSheetId="7" name="Buying_Costs" vbProcedure="false">'C07 Rent vs buy'!$C$22</definedName>
    <definedName function="false" hidden="false" localSheetId="7" name="Buying_Fees" vbProcedure="false">'C07 Rent vs buy'!$C$15</definedName>
    <definedName function="false" hidden="false" localSheetId="7" name="Deposit" vbProcedure="false">'C07 Rent vs buy'!$C$8</definedName>
    <definedName function="false" hidden="false" localSheetId="7" name="Home_Equity" vbProcedure="false">'C07 Rent vs buy'!$C$20</definedName>
    <definedName function="false" hidden="false" localSheetId="7" name="Home_Goal_Years" vbProcedure="false">'C07 Rent vs buy'!$C$17</definedName>
    <definedName function="false" hidden="false" localSheetId="7" name="Home_Price" vbProcedure="false">'C07 Rent vs buy'!$C$7</definedName>
    <definedName function="false" hidden="false" localSheetId="7" name="Home_Value" vbProcedure="false">'C07 Rent vs buy'!$C$23</definedName>
    <definedName function="false" hidden="false" localSheetId="7" name="House_Growth" vbProcedure="false">'C07 Rent vs buy'!$C$12</definedName>
    <definedName function="false" hidden="false" localSheetId="7" name="Interest_Paid" vbProcedure="false">'C07 Rent vs buy'!$C$27</definedName>
    <definedName function="false" hidden="false" localSheetId="7" name="Loan" vbProcedure="false">'C07 Rent vs buy'!$C$24</definedName>
    <definedName function="false" hidden="false" localSheetId="7" name="Monthly_Rent" vbProcedure="false">'C07 Rent vs buy'!$C$6</definedName>
    <definedName function="false" hidden="false" localSheetId="7" name="Monthly_Repayment" vbProcedure="false">'C07 Rent vs buy'!$C$25</definedName>
    <definedName function="false" hidden="false" localSheetId="7" name="Mortgage_Rate" vbProcedure="false">'C07 Rent vs buy'!$C$9</definedName>
    <definedName function="false" hidden="false" localSheetId="7" name="Opportunity_Cost" vbProcedure="false">'C07 Rent vs buy'!$C$30</definedName>
    <definedName function="false" hidden="false" localSheetId="7" name="Opp_Rate" vbProcedure="false">'C07 Rent vs buy'!$C$16</definedName>
    <definedName function="false" hidden="false" localSheetId="7" name="Plan_Goal_Amount" vbProcedure="false">'C07 Rent vs buy'!$C$42</definedName>
    <definedName function="false" hidden="false" localSheetId="7" name="Plan_Goal_Kind" vbProcedure="false">'C07 Rent vs buy'!$C$41</definedName>
    <definedName function="false" hidden="false" localSheetId="7" name="Plan_Goal_Years" vbProcedure="false">'C07 Rent vs buy'!$C$43</definedName>
    <definedName function="false" hidden="false" localSheetId="7" name="RentBuy_Term" vbProcedure="false">'C07 Rent vs buy'!$C$10</definedName>
    <definedName function="false" hidden="false" localSheetId="7" name="Rent_Growth" vbProcedure="false">'C07 Rent vs buy'!$C$13</definedName>
    <definedName function="false" hidden="false" localSheetId="7" name="Rent_Paid" vbProcedure="false">'C07 Rent vs buy'!$C$21</definedName>
    <definedName function="false" hidden="false" localSheetId="7" name="Stamp_Duty" vbProcedure="false">'C07 Rent vs buy'!$C$29</definedName>
    <definedName function="false" hidden="false" localSheetId="7" name="Upkeep" vbProcedure="false">'C07 Rent vs buy'!$C$28</definedName>
    <definedName function="false" hidden="false" localSheetId="7" name="Upkeep_Rate" vbProcedure="false">'C07 Rent vs buy'!$C$14</definedName>
    <definedName function="false" hidden="false" localSheetId="7" name="Years" vbProcedure="false">'C07 Rent vs buy'!$C$11</definedName>
    <definedName function="false" hidden="false" localSheetId="8" name="Future_Cost" vbProcedure="false">'C08 Goal planner'!$C$17</definedName>
    <definedName function="false" hidden="false" localSheetId="8" name="Goal_Amount" vbProcedure="false">'C08 Goal planner'!$C$10</definedName>
    <definedName function="false" hidden="false" localSheetId="8" name="Growth_Rate" vbProcedure="false">'C08 Goal planner'!$C$13</definedName>
    <definedName function="false" hidden="false" localSheetId="8" name="Inflation_Choice" vbProcedure="false">'C08 Goal planner'!$C$6</definedName>
    <definedName function="false" hidden="false" localSheetId="8" name="Monthly_Growth" vbProcedure="false">'C08 Goal planner'!$C$20</definedName>
    <definedName function="false" hidden="false" localSheetId="8" name="Monthly_Saving" vbProcedure="false">'C08 Goal planner'!$C$16</definedName>
    <definedName function="false" hidden="false" localSheetId="8" name="Plan_Goal_Amount" vbProcedure="false">'C08 Goal planner'!$C$33</definedName>
    <definedName function="false" hidden="false" localSheetId="8" name="Plan_Goal_Kind" vbProcedure="false">'C08 Goal planner'!$C$32</definedName>
    <definedName function="false" hidden="false" localSheetId="8" name="Plan_Goal_Saved" vbProcedure="false">'C08 Goal planner'!$C$34</definedName>
    <definedName function="false" hidden="false" localSheetId="8" name="Plan_Goal_Years" vbProcedure="false">'C08 Goal planner'!$C$35</definedName>
    <definedName function="false" hidden="false" localSheetId="8" name="Plan_Inflation" vbProcedure="false">'C08 Goal planner'!$C$36</definedName>
    <definedName function="false" hidden="false" localSheetId="8" name="Saved" vbProcedure="false">'C08 Goal planner'!$C$12</definedName>
    <definedName function="false" hidden="false" localSheetId="8" name="Saved_Grows_To" vbProcedure="false">'C08 Goal planner'!$C$18</definedName>
    <definedName function="false" hidden="false" localSheetId="8" name="Still_Needed" vbProcedure="false">'C08 Goal planner'!$C$19</definedName>
    <definedName function="false" hidden="false" localSheetId="8" name="Years" vbProcedure="false">'C08 Goal planner'!$C$11</definedName>
    <definedName function="false" hidden="false" localSheetId="9" name="Grows_To" vbProcedure="false">'C09 Compound growth'!$C$16</definedName>
    <definedName function="false" hidden="false" localSheetId="9" name="Growth_Earned" vbProcedure="false">'C09 Compound growth'!$C$19</definedName>
    <definedName function="false" hidden="false" localSheetId="9" name="Growth_Rate" vbProcedure="false">'C09 Compound growth'!$C$12</definedName>
    <definedName function="false" hidden="false" localSheetId="9" name="Inflation_Choice" vbProcedure="false">'C09 Compound growth'!$C$6</definedName>
    <definedName function="false" hidden="false" localSheetId="9" name="Monthly_Addition" vbProcedure="false">'C09 Compound growth'!$C$11</definedName>
    <definedName function="false" hidden="false" localSheetId="9" name="Monthly_Growth" vbProcedure="false">'C09 Compound growth'!$C$20</definedName>
    <definedName function="false" hidden="false" localSheetId="9" name="Paid_In" vbProcedure="false">'C09 Compound growth'!$C$18</definedName>
    <definedName function="false" hidden="false" localSheetId="9" name="Plan_Goal_Amount" vbProcedure="false">'C09 Compound growth'!$C$32</definedName>
    <definedName function="false" hidden="false" localSheetId="9" name="Plan_Goal_Kind" vbProcedure="false">'C09 Compound growth'!$C$31</definedName>
    <definedName function="false" hidden="false" localSheetId="9" name="Plan_Goal_Years" vbProcedure="false">'C09 Compound growth'!$C$33</definedName>
    <definedName function="false" hidden="false" localSheetId="9" name="Plan_Inflation" vbProcedure="false">'C09 Compound growth'!$C$34</definedName>
    <definedName function="false" hidden="false" localSheetId="9" name="Starting_Amount" vbProcedure="false">'C09 Compound growth'!$C$10</definedName>
    <definedName function="false" hidden="false" localSheetId="9" name="Value_Today" vbProcedure="false">'C09 Compound growth'!$C$17</definedName>
    <definedName function="false" hidden="false" localSheetId="9" name="Years" vbProcedure="false">'C09 Compound growth'!$C$13</definedName>
    <definedName function="false" hidden="false" localSheetId="10" name="Adjust_For_Inflation" vbProcedure="false">'C10 Lump sum growth'!$C$21</definedName>
    <definedName function="false" hidden="false" localSheetId="10" name="Amount" vbProcedure="false">'C10 Lump sum growth'!$C$16</definedName>
    <definedName function="false" hidden="false" localSheetId="10" name="Cost_Of_Waiting" vbProcedure="false">'C10 Lump sum growth'!$C$34</definedName>
    <definedName function="false" hidden="false" localSheetId="10" name="Fees_Cost" vbProcedure="false">'C10 Lump sum growth'!$C$35</definedName>
    <definedName function="false" hidden="false" localSheetId="10" name="Grows_To" vbProcedure="false">'C10 Lump sum growth'!$C$31</definedName>
    <definedName function="false" hidden="false" localSheetId="10" name="Growth_After_Fees" vbProcedure="false">'C10 Lump sum growth'!$C$36</definedName>
    <definedName function="false" hidden="false" localSheetId="10" name="Growth_Rate" vbProcedure="false">'C10 Lump sum growth'!$C$17</definedName>
    <definedName function="false" hidden="false" localSheetId="10" name="Headline" vbProcedure="false">'C10 Lump sum growth'!$C$30</definedName>
    <definedName function="false" hidden="false" localSheetId="10" name="Inflation_Choice" vbProcedure="false">'C10 Lump sum growth'!$C$6</definedName>
    <definedName function="false" hidden="false" localSheetId="10" name="Plan_Goal_Amount" vbProcedure="false">'C10 Lump sum growth'!$C$50</definedName>
    <definedName function="false" hidden="false" localSheetId="10" name="Plan_Goal_Kind" vbProcedure="false">'C10 Lump sum growth'!$C$49</definedName>
    <definedName function="false" hidden="false" localSheetId="10" name="Plan_Goal_Years" vbProcedure="false">'C10 Lump sum growth'!$C$51</definedName>
    <definedName function="false" hidden="false" localSheetId="10" name="Plan_Inflation" vbProcedure="false">'C10 Lump sum growth'!$C$52</definedName>
    <definedName function="false" hidden="false" localSheetId="10" name="Real_Return" vbProcedure="false">'C10 Lump sum growth'!$C$37</definedName>
    <definedName function="false" hidden="false" localSheetId="10" name="Statement_Check" vbProcedure="false">'C10 Lump sum growth'!$C$27</definedName>
    <definedName function="false" hidden="false" localSheetId="10" name="Statement_Uploaded" vbProcedure="false">'C10 Lump sum growth'!$C$24</definedName>
    <definedName function="false" hidden="false" localSheetId="10" name="Stmt_Charges" vbProcedure="false">'C10 Lump sum growth'!$C$12</definedName>
    <definedName function="false" hidden="false" localSheetId="10" name="Stmt_Statement_Date" vbProcedure="false">'C10 Lump sum growth'!$C$13</definedName>
    <definedName function="false" hidden="false" localSheetId="10" name="Stmt_Total_Value" vbProcedure="false">'C10 Lump sum growth'!$C$11</definedName>
    <definedName function="false" hidden="false" localSheetId="10" name="Used_Amount" vbProcedure="false">'C10 Lump sum growth'!$C$25</definedName>
    <definedName function="false" hidden="false" localSheetId="10" name="Used_Yearly_Fees" vbProcedure="false">'C10 Lump sum growth'!$C$26</definedName>
    <definedName function="false" hidden="false" localSheetId="10" name="Value_Start_Later" vbProcedure="false">'C10 Lump sum growth'!$C$33</definedName>
    <definedName function="false" hidden="false" localSheetId="10" name="Value_Today" vbProcedure="false">'C10 Lump sum growth'!$C$32</definedName>
    <definedName function="false" hidden="false" localSheetId="10" name="Wait_Years" vbProcedure="false">'C10 Lump sum growth'!$C$20</definedName>
    <definedName function="false" hidden="false" localSheetId="10" name="Yearly_Fees" vbProcedure="false">'C10 Lump sum growth'!$C$19</definedName>
    <definedName function="false" hidden="false" localSheetId="10" name="Years" vbProcedure="false">'C10 Lump sum growth'!$C$18</definedName>
    <definedName function="false" hidden="false" localSheetId="11" name="Essential_Spending" vbProcedure="false">'C11 Emergency fund'!$C$6</definedName>
    <definedName function="false" hidden="false" localSheetId="11" name="Months_Covered" vbProcedure="false">'C11 Emergency fund'!$C$12</definedName>
    <definedName function="false" hidden="false" localSheetId="11" name="Months_Wanted" vbProcedure="false">'C11 Emergency fund'!$C$7</definedName>
    <definedName function="false" hidden="false" localSheetId="11" name="Plan_Goal_Amount" vbProcedure="false">'C11 Emergency fund'!$C$23</definedName>
    <definedName function="false" hidden="false" localSheetId="11" name="Plan_Goal_Kind" vbProcedure="false">'C11 Emergency fund'!$C$22</definedName>
    <definedName function="false" hidden="false" localSheetId="11" name="Plan_Goal_Saved" vbProcedure="false">'C11 Emergency fund'!$C$24</definedName>
    <definedName function="false" hidden="false" localSheetId="11" name="Plan_Goal_Years" vbProcedure="false">'C11 Emergency fund'!$C$25</definedName>
    <definedName function="false" hidden="false" localSheetId="11" name="Safety_Goal_Years" vbProcedure="false">'C11 Emergency fund'!$C$8</definedName>
    <definedName function="false" hidden="false" localSheetId="11" name="Savings" vbProcedure="false">'C11 Emergency fund'!$C$9</definedName>
    <definedName function="false" hidden="false" localSheetId="11" name="Still_To_Build" vbProcedure="false">'C11 Emergency fund'!$C$14</definedName>
    <definedName function="false" hidden="false" localSheetId="11" name="Target" vbProcedure="false">'C11 Emergency fund'!$C$13</definedName>
    <definedName function="false" hidden="false" localSheetId="12" name="Age" vbProcedure="false">'C12 Retirement projection'!$C$21</definedName>
    <definedName function="false" hidden="false" localSheetId="12" name="Bridge_Years" vbProcedure="false">'C12 Retirement projection'!$C$49</definedName>
    <definedName function="false" hidden="false" localSheetId="12" name="Calculated_Fund" vbProcedure="false">'C12 Retirement projection'!$C$47</definedName>
    <definedName function="false" hidden="false" localSheetId="12" name="Contribution" vbProcedure="false">'C12 Retirement projection'!$C$56</definedName>
    <definedName function="false" hidden="false" localSheetId="12" name="Contributions_Grow_To" vbProcedure="false">'C12 Retirement projection'!$C$57</definedName>
    <definedName function="false" hidden="false" localSheetId="12" name="Desired_Income" vbProcedure="false">'C12 Retirement projection'!$C$25</definedName>
    <definedName function="false" hidden="false" localSheetId="12" name="Early_Warning" vbProcedure="false">'C12 Retirement projection'!$C$53</definedName>
    <definedName function="false" hidden="false" localSheetId="12" name="Fund_Today" vbProcedure="false">'C12 Retirement projection'!$C$46</definedName>
    <definedName function="false" hidden="false" localSheetId="12" name="Gap_Today" vbProcedure="false">'C12 Retirement projection'!$C$44</definedName>
    <definedName function="false" hidden="false" localSheetId="12" name="Growth_Rate" vbProcedure="false">'C12 Retirement projection'!$C$27</definedName>
    <definedName function="false" hidden="false" localSheetId="12" name="Inflation_Choice" vbProcedure="false">'C12 Retirement projection'!$C$6</definedName>
    <definedName function="false" hidden="false" localSheetId="12" name="Lump_Sum" vbProcedure="false">'C12 Retirement projection'!$C$50</definedName>
    <definedName function="false" hidden="false" localSheetId="12" name="Lump_Sum_Net" vbProcedure="false">'C12 Retirement projection'!$C$52</definedName>
    <definedName function="false" hidden="false" localSheetId="12" name="Lump_Sum_Pct" vbProcedure="false">'C12 Retirement projection'!$C$31</definedName>
    <definedName function="false" hidden="false" localSheetId="12" name="Lump_Sum_Tax" vbProcedure="false">'C12 Retirement projection'!$C$51</definedName>
    <definedName function="false" hidden="false" localSheetId="12" name="Monthly_Contribution" vbProcedure="false">'C12 Retirement projection'!$C$24</definedName>
    <definedName function="false" hidden="false" localSheetId="12" name="Other_Income" vbProcedure="false">'C12 Retirement projection'!$C$26</definedName>
    <definedName function="false" hidden="false" localSheetId="12" name="Pension_Today" vbProcedure="false">'C12 Retirement projection'!$C$23</definedName>
    <definedName function="false" hidden="false" localSheetId="12" name="Plan_Goal_Age" vbProcedure="false">'C12 Retirement projection'!$C$72</definedName>
    <definedName function="false" hidden="false" localSheetId="12" name="Plan_Goal_Income" vbProcedure="false">'C12 Retirement projection'!$C$71</definedName>
    <definedName function="false" hidden="false" localSheetId="12" name="Plan_Goal_Kind" vbProcedure="false">'C12 Retirement projection'!$C$70</definedName>
    <definedName function="false" hidden="false" localSheetId="12" name="Plan_Inflation" vbProcedure="false">'C12 Retirement projection'!$C$73</definedName>
    <definedName function="false" hidden="false" localSheetId="12" name="Projected_Fund" vbProcedure="false">'C12 Retirement projection'!$C$45</definedName>
    <definedName function="false" hidden="false" localSheetId="12" name="Retirement_Age" vbProcedure="false">'C12 Retirement projection'!$C$22</definedName>
    <definedName function="false" hidden="false" localSheetId="12" name="Retire_Later" vbProcedure="false">'C12 Retirement projection'!$C$32</definedName>
    <definedName function="false" hidden="false" localSheetId="12" name="Retire_Multiple" vbProcedure="false">'C12 Retirement projection'!$C$29</definedName>
    <definedName function="false" hidden="false" localSheetId="12" name="Save_More" vbProcedure="false">'C12 Retirement projection'!$C$33</definedName>
    <definedName function="false" hidden="false" localSheetId="12" name="SFT_Warning" vbProcedure="false">'C12 Retirement projection'!$C$54</definedName>
    <definedName function="false" hidden="false" localSheetId="12" name="Spend_Less" vbProcedure="false">'C12 Retirement projection'!$C$34</definedName>
    <definedName function="false" hidden="false" localSheetId="12" name="Statement_Check" vbProcedure="false">'C12 Retirement projection'!$C$41</definedName>
    <definedName function="false" hidden="false" localSheetId="12" name="Stmt_Charges" vbProcedure="false">'C12 Retirement projection'!$C$17</definedName>
    <definedName function="false" hidden="false" localSheetId="12" name="Stmt_Employer_Monthly" vbProcedure="false">'C12 Retirement projection'!$C$13</definedName>
    <definedName function="false" hidden="false" localSheetId="12" name="Stmt_Fund_Value" vbProcedure="false">'C12 Retirement projection'!$C$11</definedName>
    <definedName function="false" hidden="false" localSheetId="12" name="Stmt_NRA" vbProcedure="false">'C12 Retirement projection'!$C$14</definedName>
    <definedName function="false" hidden="false" localSheetId="12" name="Stmt_Projected_Fund" vbProcedure="false">'C12 Retirement projection'!$C$15</definedName>
    <definedName function="false" hidden="false" localSheetId="12" name="Stmt_Projection_Today" vbProcedure="false">'C12 Retirement projection'!$C$16</definedName>
    <definedName function="false" hidden="false" localSheetId="12" name="Stmt_Statement_Date" vbProcedure="false">'C12 Retirement projection'!$C$18</definedName>
    <definedName function="false" hidden="false" localSheetId="12" name="Stmt_You_Monthly" vbProcedure="false">'C12 Retirement projection'!$C$12</definedName>
    <definedName function="false" hidden="false" localSheetId="12" name="Target_Today" vbProcedure="false">'C12 Retirement projection'!$C$48</definedName>
    <definedName function="false" hidden="false" localSheetId="12" name="Typical_Pension_Charges" vbProcedure="false">'C12 Retirement projection'!$C$30</definedName>
    <definedName function="false" hidden="false" localSheetId="12" name="Used_Growth_Rate" vbProcedure="false">'C12 Retirement projection'!$C$39</definedName>
    <definedName function="false" hidden="false" localSheetId="12" name="Used_Monthly_Contribution" vbProcedure="false">'C12 Retirement projection'!$C$38</definedName>
    <definedName function="false" hidden="false" localSheetId="12" name="Used_Pension_Today" vbProcedure="false">'C12 Retirement projection'!$C$37</definedName>
    <definedName function="false" hidden="false" localSheetId="12" name="Use_Statement_Projection" vbProcedure="false">'C12 Retirement projection'!$C$40</definedName>
    <definedName function="false" hidden="false" localSheetId="12" name="Wage" vbProcedure="false">'C12 Retirement projection'!$C$28</definedName>
    <definedName function="false" hidden="false" localSheetId="12" name="Years_To_Retirement" vbProcedure="false">'C12 Retirement projection'!$C$55</definedName>
    <definedName function="false" hidden="false" localSheetId="13" name="Age" vbProcedure="false">'C13 Contribution impact'!$C$21</definedName>
    <definedName function="false" hidden="false" localSheetId="13" name="Existing_Pension_Year" vbProcedure="false">'C13 Contribution impact'!$C$22</definedName>
    <definedName function="false" hidden="false" localSheetId="13" name="Extra_Per_Month" vbProcedure="false">'C13 Contribution impact'!$C$31</definedName>
    <definedName function="false" hidden="false" localSheetId="13" name="Grows_To" vbProcedure="false">'C13 Contribution impact'!$C$29</definedName>
    <definedName function="false" hidden="false" localSheetId="13" name="Growth_Rate" vbProcedure="false">'C13 Contribution impact'!$C$18</definedName>
    <definedName function="false" hidden="false" localSheetId="13" name="Increase_Pct" vbProcedure="false">'C13 Contribution impact'!$C$16</definedName>
    <definedName function="false" hidden="false" localSheetId="13" name="Inflation_Choice" vbProcedure="false">'C13 Contribution impact'!$C$6</definedName>
    <definedName function="false" hidden="false" localSheetId="13" name="Net_Cost_Per_Month" vbProcedure="false">'C13 Contribution impact'!$C$32</definedName>
    <definedName function="false" hidden="false" localSheetId="13" name="Plan_Goal_Contribution" vbProcedure="false">'C13 Contribution impact'!$C$46</definedName>
    <definedName function="false" hidden="false" localSheetId="13" name="Plan_Goal_Kind" vbProcedure="false">'C13 Contribution impact'!$C$45</definedName>
    <definedName function="false" hidden="false" localSheetId="13" name="Relief_Limit_Year" vbProcedure="false">'C13 Contribution impact'!$C$33</definedName>
    <definedName function="false" hidden="false" localSheetId="13" name="Relief_Per_Month" vbProcedure="false">'C13 Contribution impact'!$C$35</definedName>
    <definedName function="false" hidden="false" localSheetId="13" name="Relieved_Year" vbProcedure="false">'C13 Contribution impact'!$C$34</definedName>
    <definedName function="false" hidden="false" localSheetId="13" name="Salary" vbProcedure="false">'C13 Contribution impact'!$C$15</definedName>
    <definedName function="false" hidden="false" localSheetId="13" name="Statement_Check" vbProcedure="false">'C13 Contribution impact'!$C$26</definedName>
    <definedName function="false" hidden="false" localSheetId="13" name="Stmt_Charges" vbProcedure="false">'C13 Contribution impact'!$C$11</definedName>
    <definedName function="false" hidden="false" localSheetId="13" name="Stmt_Statement_Date" vbProcedure="false">'C13 Contribution impact'!$C$12</definedName>
    <definedName function="false" hidden="false" localSheetId="13" name="Tax_Rate" vbProcedure="false">'C13 Contribution impact'!$C$20</definedName>
    <definedName function="false" hidden="false" localSheetId="13" name="Typical_Pension_Charges" vbProcedure="false">'C13 Contribution impact'!$C$19</definedName>
    <definedName function="false" hidden="false" localSheetId="13" name="Used_Growth_Rate" vbProcedure="false">'C13 Contribution impact'!$C$25</definedName>
    <definedName function="false" hidden="false" localSheetId="13" name="Value_Today" vbProcedure="false">'C13 Contribution impact'!$C$30</definedName>
    <definedName function="false" hidden="false" localSheetId="13" name="Years" vbProcedure="false">'C13 Contribution impact'!$C$17</definedName>
    <definedName function="false" hidden="false" localSheetId="14" name="Age" vbProcedure="false">'C14 AVC impact'!$C$21</definedName>
    <definedName function="false" hidden="false" localSheetId="14" name="AVC_Per_Month" vbProcedure="false">'C14 AVC impact'!$C$15</definedName>
    <definedName function="false" hidden="false" localSheetId="14" name="Existing_Pension_Year" vbProcedure="false">'C14 AVC impact'!$C$22</definedName>
    <definedName function="false" hidden="false" localSheetId="14" name="Grows_To" vbProcedure="false">'C14 AVC impact'!$C$29</definedName>
    <definedName function="false" hidden="false" localSheetId="14" name="Growth_Rate" vbProcedure="false">'C14 AVC impact'!$C$18</definedName>
    <definedName function="false" hidden="false" localSheetId="14" name="Inflation_Choice" vbProcedure="false">'C14 AVC impact'!$C$6</definedName>
    <definedName function="false" hidden="false" localSheetId="14" name="Net_Cost" vbProcedure="false">'C14 AVC impact'!$C$32</definedName>
    <definedName function="false" hidden="false" localSheetId="14" name="Net_Cost_Per_Month" vbProcedure="false">'C14 AVC impact'!$C$33</definedName>
    <definedName function="false" hidden="false" localSheetId="14" name="Paid_In" vbProcedure="false">'C14 AVC impact'!$C$31</definedName>
    <definedName function="false" hidden="false" localSheetId="14" name="Plan_Goal_Contribution" vbProcedure="false">'C14 AVC impact'!$C$46</definedName>
    <definedName function="false" hidden="false" localSheetId="14" name="Plan_Goal_Kind" vbProcedure="false">'C14 AVC impact'!$C$45</definedName>
    <definedName function="false" hidden="false" localSheetId="14" name="Relief_Limit_Year" vbProcedure="false">'C14 AVC impact'!$C$34</definedName>
    <definedName function="false" hidden="false" localSheetId="14" name="Relief_Per_Month" vbProcedure="false">'C14 AVC impact'!$C$36</definedName>
    <definedName function="false" hidden="false" localSheetId="14" name="Relieved_Year" vbProcedure="false">'C14 AVC impact'!$C$35</definedName>
    <definedName function="false" hidden="false" localSheetId="14" name="Salary" vbProcedure="false">'C14 AVC impact'!$C$16</definedName>
    <definedName function="false" hidden="false" localSheetId="14" name="Statement_Check" vbProcedure="false">'C14 AVC impact'!$C$26</definedName>
    <definedName function="false" hidden="false" localSheetId="14" name="Stmt_Charges" vbProcedure="false">'C14 AVC impact'!$C$11</definedName>
    <definedName function="false" hidden="false" localSheetId="14" name="Stmt_Statement_Date" vbProcedure="false">'C14 AVC impact'!$C$12</definedName>
    <definedName function="false" hidden="false" localSheetId="14" name="Tax_Rate" vbProcedure="false">'C14 AVC impact'!$C$20</definedName>
    <definedName function="false" hidden="false" localSheetId="14" name="Typical_Pension_Charges" vbProcedure="false">'C14 AVC impact'!$C$19</definedName>
    <definedName function="false" hidden="false" localSheetId="14" name="Used_Growth_Rate" vbProcedure="false">'C14 AVC impact'!$C$25</definedName>
    <definedName function="false" hidden="false" localSheetId="14" name="Value_Today" vbProcedure="false">'C14 AVC impact'!$C$30</definedName>
    <definedName function="false" hidden="false" localSheetId="14" name="Years" vbProcedure="false">'C14 AVC impact'!$C$17</definedName>
    <definedName function="false" hidden="false" localSheetId="15" name="Age_At_Start" vbProcedure="false">'C15 Will my money last'!$C$20</definedName>
    <definedName function="false" hidden="false" localSheetId="15" name="Growth_Rate" vbProcedure="false">'C15 Will my money last'!$C$18</definedName>
    <definedName function="false" hidden="false" localSheetId="15" name="Inflation_Choice" vbProcedure="false">'C15 Will my money last'!$C$6</definedName>
    <definedName function="false" hidden="false" localSheetId="15" name="Lasts_To_Age" vbProcedure="false">'C15 Will my money last'!$C$29</definedName>
    <definedName function="false" hidden="false" localSheetId="15" name="Plan_Goal_Kind" vbProcedure="false">'C15 Will my money last'!$C$104</definedName>
    <definedName function="false" hidden="false" localSheetId="15" name="Plan_To_Age" vbProcedure="false">'C15 Will my money last'!$C$21</definedName>
    <definedName function="false" hidden="false" localSheetId="15" name="Retirement_Savings" vbProcedure="false">'C15 Will my money last'!$C$16</definedName>
    <definedName function="false" hidden="false" localSheetId="15" name="Statement_Check" vbProcedure="false">'C15 Will my money last'!$C$25</definedName>
    <definedName function="false" hidden="false" localSheetId="15" name="Stmt_Fund_Value" vbProcedure="false">'C15 Will my money last'!$C$12</definedName>
    <definedName function="false" hidden="false" localSheetId="15" name="Stmt_Projected_Fund" vbProcedure="false">'C15 Will my money last'!$C$11</definedName>
    <definedName function="false" hidden="false" localSheetId="15" name="Stmt_Statement_Date" vbProcedure="false">'C15 Will my money last'!$C$13</definedName>
    <definedName function="false" hidden="false" localSheetId="15" name="Used_Retirement_Savings" vbProcedure="false">'C15 Will my money last'!$C$24</definedName>
    <definedName function="false" hidden="false" localSheetId="15" name="Withdrawal_Rate" vbProcedure="false">'C15 Will my money last'!$C$30</definedName>
    <definedName function="false" hidden="false" localSheetId="15" name="Withdrawal_Timing" vbProcedure="false">'C15 Will my money last'!$C$19</definedName>
    <definedName function="false" hidden="false" localSheetId="15" name="W_end" vbProcedure="false">'C15 Will my money last'!$F$33:$F$92</definedName>
    <definedName function="false" hidden="false" localSheetId="15" name="W_paid" vbProcedure="false">'C15 Will my money last'!$E$33:$E$92</definedName>
    <definedName function="false" hidden="false" localSheetId="15" name="W_start" vbProcedure="false">'C15 Will my money last'!$D$33:$D$92</definedName>
    <definedName function="false" hidden="false" localSheetId="15" name="W_w" vbProcedure="false">'C15 Will my money last'!$C$33:$C$92</definedName>
    <definedName function="false" hidden="false" localSheetId="15" name="W_year" vbProcedure="false">'C15 Will my money last'!$B$33:$B$92</definedName>
    <definedName function="false" hidden="false" localSheetId="15" name="Yearly_Withdrawal" vbProcedure="false">'C15 Will my money last'!$C$17</definedName>
    <definedName function="false" hidden="false" localSheetId="15" name="Years_Lasting" vbProcedure="false">'C15 Will my money last'!$C$28</definedName>
    <definedName function="false" hidden="false" localSheetId="16" name="DD_Balanced" vbProcedure="false">'C16 Drawdown scenarios'!$C$19</definedName>
    <definedName function="false" hidden="false" localSheetId="16" name="DD_Cautious" vbProcedure="false">'C16 Drawdown scenarios'!$C$18</definedName>
    <definedName function="false" hidden="false" localSheetId="16" name="DD_Growth" vbProcedure="false">'C16 Drawdown scenarios'!$C$20</definedName>
    <definedName function="false" hidden="false" localSheetId="16" name="Inflation_Choice" vbProcedure="false">'C16 Drawdown scenarios'!$C$6</definedName>
    <definedName function="false" hidden="false" localSheetId="16" name="Plan_Goal_Kind" vbProcedure="false">'C16 Drawdown scenarios'!$C$103</definedName>
    <definedName function="false" hidden="false" localSheetId="16" name="Retirement_Savings" vbProcedure="false">'C16 Drawdown scenarios'!$C$16</definedName>
    <definedName function="false" hidden="false" localSheetId="16" name="Statement_Check" vbProcedure="false">'C16 Drawdown scenarios'!$C$25</definedName>
    <definedName function="false" hidden="false" localSheetId="16" name="Stmt_Fund_Value" vbProcedure="false">'C16 Drawdown scenarios'!$C$12</definedName>
    <definedName function="false" hidden="false" localSheetId="16" name="Stmt_Projected_Fund" vbProcedure="false">'C16 Drawdown scenarios'!$C$11</definedName>
    <definedName function="false" hidden="false" localSheetId="16" name="Stmt_Statement_Date" vbProcedure="false">'C16 Drawdown scenarios'!$C$13</definedName>
    <definedName function="false" hidden="false" localSheetId="16" name="Used_Retirement_Savings" vbProcedure="false">'C16 Drawdown scenarios'!$C$24</definedName>
    <definedName function="false" hidden="false" localSheetId="16" name="Withdrawal_Timing" vbProcedure="false">'C16 Drawdown scenarios'!$C$21</definedName>
    <definedName function="false" hidden="false" localSheetId="16" name="W_b_paid" vbProcedure="false">'C16 Drawdown scenarios'!$G$33:$G$92</definedName>
    <definedName function="false" hidden="false" localSheetId="16" name="W_b_start" vbProcedure="false">'C16 Drawdown scenarios'!$F$33:$F$92</definedName>
    <definedName function="false" hidden="false" localSheetId="16" name="W_c_paid" vbProcedure="false">'C16 Drawdown scenarios'!$E$33:$E$92</definedName>
    <definedName function="false" hidden="false" localSheetId="16" name="W_c_start" vbProcedure="false">'C16 Drawdown scenarios'!$D$33:$D$92</definedName>
    <definedName function="false" hidden="false" localSheetId="16" name="W_g_paid" vbProcedure="false">'C16 Drawdown scenarios'!$I$33:$I$92</definedName>
    <definedName function="false" hidden="false" localSheetId="16" name="W_g_start" vbProcedure="false">'C16 Drawdown scenarios'!$H$33:$H$92</definedName>
    <definedName function="false" hidden="false" localSheetId="16" name="W_w" vbProcedure="false">'C16 Drawdown scenarios'!$C$33:$C$92</definedName>
    <definedName function="false" hidden="false" localSheetId="16" name="W_year" vbProcedure="false">'C16 Drawdown scenarios'!$B$33:$B$92</definedName>
    <definedName function="false" hidden="false" localSheetId="16" name="Yearly_Withdrawal" vbProcedure="false">'C16 Drawdown scenarios'!$C$17</definedName>
    <definedName function="false" hidden="false" localSheetId="16" name="Years_Balanced" vbProcedure="false">'C16 Drawdown scenarios'!$C$28</definedName>
    <definedName function="false" hidden="false" localSheetId="16" name="Years_Cautious" vbProcedure="false">'C16 Drawdown scenarios'!$C$29</definedName>
    <definedName function="false" hidden="false" localSheetId="16" name="Years_Growth" vbProcedure="false">'C16 Drawdown scenarios'!$C$30</definedName>
    <definedName function="false" hidden="false" localSheetId="17" name="Amount" vbProcedure="false">'C17 Inflation adjusted return'!$C$15</definedName>
    <definedName function="false" hidden="false" localSheetId="17" name="Future_Value" vbProcedure="false">'C17 Inflation adjusted return'!$C$25</definedName>
    <definedName function="false" hidden="false" localSheetId="17" name="Inflation_Choice" vbProcedure="false">'C17 Inflation adjusted return'!$C$6</definedName>
    <definedName function="false" hidden="false" localSheetId="17" name="Nominal_Return" vbProcedure="false">'C17 Inflation adjusted return'!$C$16</definedName>
    <definedName function="false" hidden="false" localSheetId="17" name="Plan_Goal_Kind" vbProcedure="false">'C17 Inflation adjusted return'!$C$36</definedName>
    <definedName function="false" hidden="false" localSheetId="17" name="Real_Return" vbProcedure="false">'C17 Inflation adjusted return'!$C$26</definedName>
    <definedName function="false" hidden="false" localSheetId="17" name="Statement_Check" vbProcedure="false">'C17 Inflation adjusted return'!$C$21</definedName>
    <definedName function="false" hidden="false" localSheetId="17" name="Stmt_Statement_Date" vbProcedure="false">'C17 Inflation adjusted return'!$C$12</definedName>
    <definedName function="false" hidden="false" localSheetId="17" name="Stmt_Total_Value" vbProcedure="false">'C17 Inflation adjusted return'!$C$11</definedName>
    <definedName function="false" hidden="false" localSheetId="17" name="Used_Amount" vbProcedure="false">'C17 Inflation adjusted return'!$C$20</definedName>
    <definedName function="false" hidden="false" localSheetId="17" name="Value_Today" vbProcedure="false">'C17 Inflation adjusted return'!$C$24</definedName>
    <definedName function="false" hidden="false" localSheetId="17" name="Years" vbProcedure="false">'C17 Inflation adjusted return'!$C$17</definedName>
    <definedName function="false" hidden="false" localSheetId="18" name="Adjust_For_Inflation" vbProcedure="false">'C18 Regular investing'!$C$20</definedName>
    <definedName function="false" hidden="false" localSheetId="18" name="Fees_Cost" vbProcedure="false">'C18 Regular investing'!$C$32</definedName>
    <definedName function="false" hidden="false" localSheetId="18" name="Growth_After_Fees" vbProcedure="false">'C18 Regular investing'!$C$35</definedName>
    <definedName function="false" hidden="false" localSheetId="18" name="Growth_Rate" vbProcedure="false">'C18 Regular investing'!$C$18</definedName>
    <definedName function="false" hidden="false" localSheetId="18" name="Headline" vbProcedure="false">'C18 Regular investing'!$C$29</definedName>
    <definedName function="false" hidden="false" localSheetId="18" name="Inflation_Choice" vbProcedure="false">'C18 Regular investing'!$C$6</definedName>
    <definedName function="false" hidden="false" localSheetId="18" name="Monthly_Amount" vbProcedure="false">'C18 Regular investing'!$C$16</definedName>
    <definedName function="false" hidden="false" localSheetId="18" name="Paid_In" vbProcedure="false">'C18 Regular investing'!$C$33</definedName>
    <definedName function="false" hidden="false" localSheetId="18" name="Plan_Goal_Amount" vbProcedure="false">'C18 Regular investing'!$C$47</definedName>
    <definedName function="false" hidden="false" localSheetId="18" name="Plan_Goal_Kind" vbProcedure="false">'C18 Regular investing'!$C$46</definedName>
    <definedName function="false" hidden="false" localSheetId="18" name="Plan_Goal_Years" vbProcedure="false">'C18 Regular investing'!$C$48</definedName>
    <definedName function="false" hidden="false" localSheetId="18" name="Plan_Inflation" vbProcedure="false">'C18 Regular investing'!$C$49</definedName>
    <definedName function="false" hidden="false" localSheetId="18" name="Real_Return" vbProcedure="false">'C18 Regular investing'!$C$36</definedName>
    <definedName function="false" hidden="false" localSheetId="18" name="Statement_Check" vbProcedure="false">'C18 Regular investing'!$C$26</definedName>
    <definedName function="false" hidden="false" localSheetId="18" name="Statement_Uploaded" vbProcedure="false">'C18 Regular investing'!$C$23</definedName>
    <definedName function="false" hidden="false" localSheetId="18" name="Stmt_Charges" vbProcedure="false">'C18 Regular investing'!$C$12</definedName>
    <definedName function="false" hidden="false" localSheetId="18" name="Stmt_Monthly_Invested" vbProcedure="false">'C18 Regular investing'!$C$11</definedName>
    <definedName function="false" hidden="false" localSheetId="18" name="Stmt_Statement_Date" vbProcedure="false">'C18 Regular investing'!$C$13</definedName>
    <definedName function="false" hidden="false" localSheetId="18" name="Used_Monthly_Amount" vbProcedure="false">'C18 Regular investing'!$C$24</definedName>
    <definedName function="false" hidden="false" localSheetId="18" name="Used_Yearly_Fees" vbProcedure="false">'C18 Regular investing'!$C$25</definedName>
    <definedName function="false" hidden="false" localSheetId="18" name="Value_After_Fees" vbProcedure="false">'C18 Regular investing'!$C$30</definedName>
    <definedName function="false" hidden="false" localSheetId="18" name="Value_Before_Fees" vbProcedure="false">'C18 Regular investing'!$C$31</definedName>
    <definedName function="false" hidden="false" localSheetId="18" name="Value_Today" vbProcedure="false">'C18 Regular investing'!$C$34</definedName>
    <definedName function="false" hidden="false" localSheetId="18" name="Yearly_Fees" vbProcedure="false">'C18 Regular investing'!$C$19</definedName>
    <definedName function="false" hidden="false" localSheetId="18" name="Years" vbProcedure="false">'C18 Regular investing'!$C$17</definedName>
    <definedName function="false" hidden="false" localSheetId="19" name="Amount_Invested" vbProcedure="false">'C19 Fees impact'!$C$12</definedName>
    <definedName function="false" hidden="false" localSheetId="19" name="Difference" vbProcedure="false">'C19 Fees impact'!$C$25</definedName>
    <definedName function="false" hidden="false" localSheetId="19" name="Fee_A" vbProcedure="false">'C19 Fees impact'!$C$15</definedName>
    <definedName function="false" hidden="false" localSheetId="19" name="Fee_B" vbProcedure="false">'C19 Fees impact'!$C$16</definedName>
    <definedName function="false" hidden="false" localSheetId="19" name="Fee_Gap" vbProcedure="false">'C19 Fees impact'!$C$28</definedName>
    <definedName function="false" hidden="false" localSheetId="19" name="Growth_Rate" vbProcedure="false">'C19 Fees impact'!$C$14</definedName>
    <definedName function="false" hidden="false" localSheetId="19" name="Plan_Goal_Kind" vbProcedure="false">'C19 Fees impact'!$C$36</definedName>
    <definedName function="false" hidden="false" localSheetId="19" name="Statement_Check" vbProcedure="false">'C19 Fees impact'!$C$22</definedName>
    <definedName function="false" hidden="false" localSheetId="19" name="Statement_Uploaded" vbProcedure="false">'C19 Fees impact'!$C$19</definedName>
    <definedName function="false" hidden="false" localSheetId="19" name="Stmt_Charges" vbProcedure="false">'C19 Fees impact'!$C$8</definedName>
    <definedName function="false" hidden="false" localSheetId="19" name="Stmt_Statement_Date" vbProcedure="false">'C19 Fees impact'!$C$9</definedName>
    <definedName function="false" hidden="false" localSheetId="19" name="Stmt_Total_Value" vbProcedure="false">'C19 Fees impact'!$C$7</definedName>
    <definedName function="false" hidden="false" localSheetId="19" name="Used_Amount_Invested" vbProcedure="false">'C19 Fees impact'!$C$20</definedName>
    <definedName function="false" hidden="false" localSheetId="19" name="Used_Fee_A" vbProcedure="false">'C19 Fees impact'!$C$21</definedName>
    <definedName function="false" hidden="false" localSheetId="19" name="Value_With_Fee_A" vbProcedure="false">'C19 Fees impact'!$C$26</definedName>
    <definedName function="false" hidden="false" localSheetId="19" name="Value_With_Fee_B" vbProcedure="false">'C19 Fees impact'!$C$27</definedName>
    <definedName function="false" hidden="false" localSheetId="19" name="Years" vbProcedure="false">'C19 Fees impact'!$C$13</definedName>
    <definedName function="false" hidden="false" localSheetId="20" name="Amount" vbProcedure="false">'C20 Risk and return'!$C$12</definedName>
    <definedName function="false" hidden="false" localSheetId="20" name="Difficult_Year_Fall" vbProcedure="false">'C20 Risk and return'!$C$31</definedName>
    <definedName function="false" hidden="false" localSheetId="20" name="Middle" vbProcedure="false">'C20 Risk and return'!$C$28</definedName>
    <definedName function="false" hidden="false" localSheetId="20" name="Middle_Growth" vbProcedure="false">'C20 Risk and return'!$C$33</definedName>
    <definedName function="false" hidden="false" localSheetId="20" name="Mu_Balanced" vbProcedure="false">'C20 Risk and return'!$C$16</definedName>
    <definedName function="false" hidden="false" localSheetId="20" name="Mu_Cautious" vbProcedure="false">'C20 Risk and return'!$C$15</definedName>
    <definedName function="false" hidden="false" localSheetId="20" name="Mu_Growth" vbProcedure="false">'C20 Risk and return'!$C$17</definedName>
    <definedName function="false" hidden="false" localSheetId="20" name="Plan_Goal_Kind" vbProcedure="false">'C20 Risk and return'!$C$45</definedName>
    <definedName function="false" hidden="false" localSheetId="20" name="Spread" vbProcedure="false">'C20 Risk and return'!$C$35</definedName>
    <definedName function="false" hidden="false" localSheetId="20" name="Statement_Check" vbProcedure="false">'C20 Risk and return'!$C$25</definedName>
    <definedName function="false" hidden="false" localSheetId="20" name="Stmt_Shares_Pct" vbProcedure="false">'C20 Risk and return'!$C$8</definedName>
    <definedName function="false" hidden="false" localSheetId="20" name="Stmt_Statement_Date" vbProcedure="false">'C20 Risk and return'!$C$9</definedName>
    <definedName function="false" hidden="false" localSheetId="20" name="Stmt_Total_Value" vbProcedure="false">'C20 Risk and return'!$C$7</definedName>
    <definedName function="false" hidden="false" localSheetId="20" name="Stronger" vbProcedure="false">'C20 Risk and return'!$C$30</definedName>
    <definedName function="false" hidden="false" localSheetId="20" name="Style" vbProcedure="false">'C20 Risk and return'!$C$14</definedName>
    <definedName function="false" hidden="false" localSheetId="20" name="Style_Name" vbProcedure="false">'C20 Risk and return'!$C$32</definedName>
    <definedName function="false" hidden="false" localSheetId="20" name="Used_Amount" vbProcedure="false">'C20 Risk and return'!$C$23</definedName>
    <definedName function="false" hidden="false" localSheetId="20" name="Used_Style" vbProcedure="false">'C20 Risk and return'!$C$24</definedName>
    <definedName function="false" hidden="false" localSheetId="20" name="Volatility" vbProcedure="false">'C20 Risk and return'!$C$34</definedName>
    <definedName function="false" hidden="false" localSheetId="20" name="Vol_Balanced" vbProcedure="false">'C20 Risk and return'!$C$19</definedName>
    <definedName function="false" hidden="false" localSheetId="20" name="Vol_Cautious" vbProcedure="false">'C20 Risk and return'!$C$18</definedName>
    <definedName function="false" hidden="false" localSheetId="20" name="Vol_Growth" vbProcedure="false">'C20 Risk and return'!$C$20</definedName>
    <definedName function="false" hidden="false" localSheetId="20" name="Weaker" vbProcedure="false">'C20 Risk and return'!$C$29</definedName>
    <definedName function="false" hidden="false" localSheetId="20" name="Years" vbProcedure="false">'C20 Risk and return'!$C$13</definedName>
    <definedName function="false" hidden="false" localSheetId="21" name="Already_Have" vbProcedure="false">'C21 Life cover'!$C$29</definedName>
    <definedName function="false" hidden="false" localSheetId="21" name="Cover_Gap" vbProcedure="false">'C21 Life cover'!$C$26</definedName>
    <definedName function="false" hidden="false" localSheetId="21" name="Debts_To_Clear" vbProcedure="false">'C21 Life cover'!$C$28</definedName>
    <definedName function="false" hidden="false" localSheetId="21" name="Existing_Cover" vbProcedure="false">'C21 Life cover'!$C$18</definedName>
    <definedName function="false" hidden="false" localSheetId="21" name="Income_Need" vbProcedure="false">'C21 Life cover'!$C$27</definedName>
    <definedName function="false" hidden="false" localSheetId="21" name="Income_Replacement" vbProcedure="false">'C21 Life cover'!$C$30</definedName>
    <definedName function="false" hidden="false" localSheetId="21" name="Life_Replace" vbProcedure="false">'C21 Life cover'!$C$13</definedName>
    <definedName function="false" hidden="false" localSheetId="21" name="Mortgage_Balance" vbProcedure="false">'C21 Life cover'!$C$14</definedName>
    <definedName function="false" hidden="false" localSheetId="21" name="Mortgage_Protected" vbProcedure="false">'C21 Life cover'!$C$15</definedName>
    <definedName function="false" hidden="false" localSheetId="21" name="Other_Debts" vbProcedure="false">'C21 Life cover'!$C$16</definedName>
    <definedName function="false" hidden="false" localSheetId="21" name="Plan_Goal_Kind" vbProcedure="false">'C21 Life cover'!$C$41</definedName>
    <definedName function="false" hidden="false" localSheetId="21" name="Plan_Goal_Need" vbProcedure="false">'C21 Life cover'!$C$42</definedName>
    <definedName function="false" hidden="false" localSheetId="21" name="Savings" vbProcedure="false">'C21 Life cover'!$C$17</definedName>
    <definedName function="false" hidden="false" localSheetId="21" name="Statement_Check" vbProcedure="false">'C21 Life cover'!$C$23</definedName>
    <definedName function="false" hidden="false" localSheetId="21" name="Stmt_Balance" vbProcedure="false">'C21 Life cover'!$C$7</definedName>
    <definedName function="false" hidden="false" localSheetId="21" name="Stmt_Statement_Date" vbProcedure="false">'C21 Life cover'!$C$8</definedName>
    <definedName function="false" hidden="false" localSheetId="21" name="Survivor_Pension" vbProcedure="false">'C21 Life cover'!$C$19</definedName>
    <definedName function="false" hidden="false" localSheetId="21" name="Used_Mortgage_Balance" vbProcedure="false">'C21 Life cover'!$C$22</definedName>
    <definedName function="false" hidden="false" localSheetId="21" name="Yearly_Income" vbProcedure="false">'C21 Life cover'!$C$11</definedName>
    <definedName function="false" hidden="false" localSheetId="21" name="Years_Support" vbProcedure="false">'C21 Life cover'!$C$12</definedName>
    <definedName function="false" hidden="false" localSheetId="22" name="Essential_Spending" vbProcedure="false">'C22 Income protection gap'!$C$6</definedName>
    <definedName function="false" hidden="false" localSheetId="22" name="Gross_Income" vbProcedure="false">'C22 Income protection gap'!$C$9</definedName>
    <definedName function="false" hidden="false" localSheetId="22" name="Illness_Benefit" vbProcedure="false">'C22 Income protection gap'!$C$10</definedName>
    <definedName function="false" hidden="false" localSheetId="22" name="Illness_Benefit_Month" vbProcedure="false">'C22 Income protection gap'!$C$16</definedName>
    <definedName function="false" hidden="false" localSheetId="22" name="IP_Max" vbProcedure="false">'C22 Income protection gap'!$C$18</definedName>
    <definedName function="false" hidden="false" localSheetId="22" name="IP_Needed" vbProcedure="false">'C22 Income protection gap'!$C$15</definedName>
    <definedName function="false" hidden="false" localSheetId="22" name="Monthly_Gap" vbProcedure="false">'C22 Income protection gap'!$C$14</definedName>
    <definedName function="false" hidden="false" localSheetId="22" name="Months_Coping" vbProcedure="false">'C22 Income protection gap'!$C$13</definedName>
    <definedName function="false" hidden="false" localSheetId="22" name="Plan_Goal_Kind" vbProcedure="false">'C22 Income protection gap'!$C$29</definedName>
    <definedName function="false" hidden="false" localSheetId="22" name="Plan_Goal_Need" vbProcedure="false">'C22 Income protection gap'!$C$30</definedName>
    <definedName function="false" hidden="false" localSheetId="22" name="Savings" vbProcedure="false">'C22 Income protection gap'!$C$8</definedName>
    <definedName function="false" hidden="false" localSheetId="22" name="Savings_Months" vbProcedure="false">'C22 Income protection gap'!$C$17</definedName>
    <definedName function="false" hidden="false" localSheetId="22" name="Sick_Pay_Months" vbProcedure="false">'C22 Income protection gap'!$C$7</definedName>
    <definedName function="false" hidden="false" localSheetId="23" name="Actual_Repayment" vbProcedure="false">'C23 Mortgage protection'!$C$17</definedName>
    <definedName function="false" hidden="false" localSheetId="23" name="Balance_Year_1" vbProcedure="false">'C23 Mortgage protection'!$C$29</definedName>
    <definedName function="false" hidden="false" localSheetId="23" name="Balance_Year_2" vbProcedure="false">'C23 Mortgage protection'!$C$30</definedName>
    <definedName function="false" hidden="false" localSheetId="23" name="Balance_Year_3" vbProcedure="false">'C23 Mortgage protection'!$C$31</definedName>
    <definedName function="false" hidden="false" localSheetId="23" name="Cover_Today" vbProcedure="false">'C23 Mortgage protection'!$C$27</definedName>
    <definedName function="false" hidden="false" localSheetId="23" name="Interest_Rate" vbProcedure="false">'C23 Mortgage protection'!$C$15</definedName>
    <definedName function="false" hidden="false" localSheetId="23" name="Monthly_Rate" vbProcedure="false">'C23 Mortgage protection'!$C$32</definedName>
    <definedName function="false" hidden="false" localSheetId="23" name="Mortgage_Balance" vbProcedure="false">'C23 Mortgage protection'!$C$14</definedName>
    <definedName function="false" hidden="false" localSheetId="23" name="Plan_Goal_Kind" vbProcedure="false">'C23 Mortgage protection'!$C$41</definedName>
    <definedName function="false" hidden="false" localSheetId="23" name="Repayment" vbProcedure="false">'C23 Mortgage protection'!$C$33</definedName>
    <definedName function="false" hidden="false" localSheetId="23" name="Statement_Check" vbProcedure="false">'C23 Mortgage protection'!$C$24</definedName>
    <definedName function="false" hidden="false" localSheetId="23" name="Stmt_Balance" vbProcedure="false">'C23 Mortgage protection'!$C$7</definedName>
    <definedName function="false" hidden="false" localSheetId="23" name="Stmt_Rate" vbProcedure="false">'C23 Mortgage protection'!$C$8</definedName>
    <definedName function="false" hidden="false" localSheetId="23" name="Stmt_Repayment" vbProcedure="false">'C23 Mortgage protection'!$C$10</definedName>
    <definedName function="false" hidden="false" localSheetId="23" name="Stmt_Statement_Date" vbProcedure="false">'C23 Mortgage protection'!$C$11</definedName>
    <definedName function="false" hidden="false" localSheetId="23" name="Stmt_Term" vbProcedure="false">'C23 Mortgage protection'!$C$9</definedName>
    <definedName function="false" hidden="false" localSheetId="23" name="Used_Actual_Repayment" vbProcedure="false">'C23 Mortgage protection'!$C$23</definedName>
    <definedName function="false" hidden="false" localSheetId="23" name="Used_Interest_Rate" vbProcedure="false">'C23 Mortgage protection'!$C$21</definedName>
    <definedName function="false" hidden="false" localSheetId="23" name="Used_Mortgage_Balance" vbProcedure="false">'C23 Mortgage protection'!$C$20</definedName>
    <definedName function="false" hidden="false" localSheetId="23" name="Used_Years_Left" vbProcedure="false">'C23 Mortgage protection'!$C$22</definedName>
    <definedName function="false" hidden="false" localSheetId="23" name="Warning" vbProcedure="false">'C23 Mortgage protection'!$C$28</definedName>
    <definedName function="false" hidden="false" localSheetId="23" name="Years_Left" vbProcedure="false">'C23 Mortgage protection'!$C$16</definedName>
    <definedName function="false" hidden="false" localSheetId="24" name="Investments" vbProcedure="false">'C24 Net worth'!$C$14</definedName>
    <definedName function="false" hidden="false" localSheetId="24" name="Mortgage" vbProcedure="false">'C24 Net worth'!$C$17</definedName>
    <definedName function="false" hidden="false" localSheetId="24" name="Net_Worth" vbProcedure="false">'C24 Net worth'!$C$27</definedName>
    <definedName function="false" hidden="false" localSheetId="24" name="Other_Loans" vbProcedure="false">'C24 Net worth'!$C$18</definedName>
    <definedName function="false" hidden="false" localSheetId="24" name="Pensions" vbProcedure="false">'C24 Net worth'!$C$15</definedName>
    <definedName function="false" hidden="false" localSheetId="24" name="Plan_Goal_Kind" vbProcedure="false">'C24 Net worth'!$C$37</definedName>
    <definedName function="false" hidden="false" localSheetId="24" name="Property" vbProcedure="false">'C24 Net worth'!$C$16</definedName>
    <definedName function="false" hidden="false" localSheetId="24" name="Savings" vbProcedure="false">'C24 Net worth'!$C$13</definedName>
    <definedName function="false" hidden="false" localSheetId="24" name="Stmt_Investment_Value" vbProcedure="false">'C24 Net worth'!$C$10</definedName>
    <definedName function="false" hidden="false" localSheetId="24" name="Stmt_Mortgage_Balance" vbProcedure="false">'C24 Net worth'!$C$7</definedName>
    <definedName function="false" hidden="false" localSheetId="24" name="Stmt_Pension_Value" vbProcedure="false">'C24 Net worth'!$C$9</definedName>
    <definedName function="false" hidden="false" localSheetId="24" name="Stmt_Property_Value" vbProcedure="false">'C24 Net worth'!$C$8</definedName>
    <definedName function="false" hidden="false" localSheetId="24" name="Used_Investments" vbProcedure="false">'C24 Net worth'!$C$24</definedName>
    <definedName function="false" hidden="false" localSheetId="24" name="Used_Mortgage" vbProcedure="false">'C24 Net worth'!$C$21</definedName>
    <definedName function="false" hidden="false" localSheetId="24" name="Used_Pensions" vbProcedure="false">'C24 Net worth'!$C$23</definedName>
    <definedName function="false" hidden="false" localSheetId="24" name="Used_Property" vbProcedure="false">'C24 Net worth'!$C$22</definedName>
    <definedName function="false" hidden="false" localSheetId="24" name="You_Owe" vbProcedure="false">'C24 Net worth'!$C$29</definedName>
    <definedName function="false" hidden="false" localSheetId="24" name="You_Own" vbProcedure="false">'C24 Net worth'!$C$28</definedName>
    <definedName function="false" hidden="false" localSheetId="25" name="Debt_Repayments" vbProcedure="false">'C25 Monthly surplus'!$C$9</definedName>
    <definedName function="false" hidden="false" localSheetId="25" name="Essentials" vbProcedure="false">'C25 Monthly surplus'!$C$7</definedName>
    <definedName function="false" hidden="false" localSheetId="25" name="Going_Out" vbProcedure="false">'C25 Monthly surplus'!$C$16</definedName>
    <definedName function="false" hidden="false" localSheetId="25" name="Lifestyle" vbProcedure="false">'C25 Monthly surplus'!$C$8</definedName>
    <definedName function="false" hidden="false" localSheetId="25" name="Plan_Goal_Amount" vbProcedure="false">'C25 Monthly surplus'!$C$25</definedName>
    <definedName function="false" hidden="false" localSheetId="25" name="Plan_Goal_Kind" vbProcedure="false">'C25 Monthly surplus'!$C$24</definedName>
    <definedName function="false" hidden="false" localSheetId="25" name="Plan_Goal_Years" vbProcedure="false">'C25 Monthly surplus'!$C$26</definedName>
    <definedName function="false" hidden="false" localSheetId="25" name="Surplus" vbProcedure="false">'C25 Monthly surplus'!$C$15</definedName>
    <definedName function="false" hidden="false" localSheetId="25" name="Take_Home" vbProcedure="false">'C25 Monthly surplus'!$C$6</definedName>
    <definedName function="false" hidden="false" localSheetId="25" name="Used_Take_Home" vbProcedure="false">'C25 Monthly surplus'!$C$12</definedName>
    <definedName function="false" hidden="false" localSheetId="26" name="Budget_Needs" vbProcedure="false">'C26 Budget 50 30 20'!$C$7</definedName>
    <definedName function="false" hidden="false" localSheetId="26" name="Budget_Save" vbProcedure="false">'C26 Budget 50 30 20'!$C$9</definedName>
    <definedName function="false" hidden="false" localSheetId="26" name="Budget_Wants" vbProcedure="false">'C26 Budget 50 30 20'!$C$8</definedName>
    <definedName function="false" hidden="false" localSheetId="26" name="Needs" vbProcedure="false">'C26 Budget 50 30 20'!$C$17</definedName>
    <definedName function="false" hidden="false" localSheetId="26" name="Plan_Goal_Kind" vbProcedure="false">'C26 Budget 50 30 20'!$C$26</definedName>
    <definedName function="false" hidden="false" localSheetId="26" name="Save" vbProcedure="false">'C26 Budget 50 30 20'!$C$16</definedName>
    <definedName function="false" hidden="false" localSheetId="26" name="Split_Check" vbProcedure="false">'C26 Budget 50 30 20'!$C$15</definedName>
    <definedName function="false" hidden="false" localSheetId="26" name="Take_Home" vbProcedure="false">'C26 Budget 50 30 20'!$C$6</definedName>
    <definedName function="false" hidden="false" localSheetId="26" name="Used_Take_Home" vbProcedure="false">'C26 Budget 50 30 20'!$C$12</definedName>
    <definedName function="false" hidden="false" localSheetId="26" name="Wants" vbProcedure="false">'C26 Budget 50 30 20'!$C$18</definedName>
    <definedName function="false" hidden="false" localSheetId="27" name="APR" vbProcedure="false">'C27 Debt repayment'!$C$7</definedName>
    <definedName function="false" hidden="false" localSheetId="27" name="Balance" vbProcedure="false">'C27 Debt repayment'!$C$6</definedName>
    <definedName function="false" hidden="false" localSheetId="27" name="Extra_Payment" vbProcedure="false">'C27 Debt repayment'!$C$9</definedName>
    <definedName function="false" hidden="false" localSheetId="27" name="Final_Payment" vbProcedure="false">'C27 Debt repayment'!$C$16</definedName>
    <definedName function="false" hidden="false" localSheetId="27" name="Monthly_Payment" vbProcedure="false">'C27 Debt repayment'!$C$8</definedName>
    <definedName function="false" hidden="false" localSheetId="27" name="Monthly_Rate" vbProcedure="false">'C27 Debt repayment'!$C$14</definedName>
    <definedName function="false" hidden="false" localSheetId="27" name="Months_To_Clear" vbProcedure="false">'C27 Debt repayment'!$C$12</definedName>
    <definedName function="false" hidden="false" localSheetId="27" name="Payment" vbProcedure="false">'C27 Debt repayment'!$C$15</definedName>
    <definedName function="false" hidden="false" localSheetId="27" name="Plan_Goal_Kind" vbProcedure="false">'C27 Debt repayment'!$C$28</definedName>
    <definedName function="false" hidden="false" localSheetId="27" name="Total_Interest" vbProcedure="false">'C27 Debt repayment'!$C$13</definedName>
    <definedName function="false" hidden="false" localSheetId="28" name="APR" vbProcedure="false">'C28 Loan repayment'!$C$7</definedName>
    <definedName function="false" hidden="false" localSheetId="28" name="Loan_Amount" vbProcedure="false">'C28 Loan repayment'!$C$6</definedName>
    <definedName function="false" hidden="false" localSheetId="28" name="Monthly_Rate" vbProcedure="false">'C28 Loan repayment'!$C$14</definedName>
    <definedName function="false" hidden="false" localSheetId="28" name="Monthly_Repayment" vbProcedure="false">'C28 Loan repayment'!$C$11</definedName>
    <definedName function="false" hidden="false" localSheetId="28" name="Plan_Goal_Kind" vbProcedure="false">'C28 Loan repayment'!$C$23</definedName>
    <definedName function="false" hidden="false" localSheetId="28" name="Total_Interest" vbProcedure="false">'C28 Loan repayment'!$C$12</definedName>
    <definedName function="false" hidden="false" localSheetId="28" name="Total_Repaid" vbProcedure="false">'C28 Loan repayment'!$C$13</definedName>
    <definedName function="false" hidden="false" localSheetId="28" name="Years" vbProcedure="false">'C28 Loan repayment'!$C$8</definedName>
  </definedNames>
  <calcPr calcId="191029" calcMode="auto" fullCalcOnLoad="1" iterate="false" refMode="A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C6" authorId="0">
      <text>
        <r>
          <rPr>
            <sz val="10"/>
            <rFont val="Arial"/>
            <family val="2"/>
          </rPr>
          <t xml:space="preserve">Default: €60,000 · pre-filled from Your finances: income</t>
        </r>
      </text>
    </comment>
    <comment ref="C7" authorId="0">
      <text>
        <r>
          <rPr>
            <sz val="10"/>
            <rFont val="Arial"/>
            <family val="2"/>
          </rPr>
          <t xml:space="preserve">Default: €0 · pre-filled from Your finances: partner's income</t>
        </r>
      </text>
    </comment>
    <comment ref="C8" authorId="0">
      <text>
        <r>
          <rPr>
            <sz val="10"/>
            <rFont val="Arial"/>
            <family val="2"/>
          </rPr>
          <t xml:space="preserve">Default: €25,000 · pre-filled from Plan: home goal's amount saved</t>
        </r>
      </text>
    </comment>
    <comment ref="C9" authorId="0">
      <text>
        <r>
          <rPr>
            <sz val="10"/>
            <rFont val="Arial"/>
            <family val="2"/>
          </rPr>
          <t xml:space="preserve">Default: Yes · pre-filled from Your finances: home status (owner = No)</t>
        </r>
      </text>
    </comment>
    <comment ref="C10" authorId="0">
      <text>
        <r>
          <rPr>
            <sz val="10"/>
            <rFont val="Arial"/>
            <family val="2"/>
          </rPr>
          <t xml:space="preserve">Suggested: 3.75%</t>
        </r>
      </text>
    </comment>
    <comment ref="C11" authorId="0">
      <text>
        <r>
          <rPr>
            <sz val="10"/>
            <rFont val="Arial"/>
            <family val="2"/>
          </rPr>
          <t xml:space="preserve">Suggested: 30</t>
        </r>
      </text>
    </comment>
    <comment ref="C12" authorId="0">
      <text>
        <r>
          <rPr>
            <sz val="10"/>
            <rFont val="Arial"/>
            <family val="2"/>
          </rPr>
          <t xml:space="preserve">Suggested: €3,000</t>
        </r>
      </text>
    </comment>
    <comment ref="C13" authorId="0">
      <text>
        <r>
          <rPr>
            <sz val="10"/>
            <rFont val="Arial"/>
            <family val="2"/>
          </rPr>
          <t xml:space="preserve">Suggested: 3</t>
        </r>
      </text>
    </comment>
    <comment ref="C14" authorId="0">
      <text>
        <r>
          <rPr>
            <sz val="10"/>
            <rFont val="Arial"/>
            <family val="2"/>
          </rPr>
          <t xml:space="preserve">Default: €0</t>
        </r>
      </text>
    </comment>
  </commentList>
</comments>
</file>

<file path=xl/comments3.xml><?xml version="1.0" encoding="utf-8"?>
<comments xmlns="http://schemas.openxmlformats.org/spreadsheetml/2006/main" xmlns:xdr="http://schemas.openxmlformats.org/drawingml/2006/spreadsheetDrawing">
  <authors>
    <author>Unknown Author</author>
  </authors>
  <commentList>
    <comment ref="C7" authorId="0">
      <text>
        <r>
          <rPr>
            <sz val="10"/>
            <rFont val="Arial"/>
            <family val="2"/>
          </rPr>
          <t xml:space="preserve">Filled by the document reader from: Mortgage statement: "Outstanding balance" / "Balance outstanding" / "Amount outstanding" / "Closing balance". Blank = not on the statement / no statement.</t>
        </r>
      </text>
    </comment>
    <comment ref="C8" authorId="0">
      <text>
        <r>
          <rPr>
            <sz val="10"/>
            <rFont val="Arial"/>
            <family val="2"/>
          </rPr>
          <t xml:space="preserve">Filled by the document reader from: Mortgage statement: "Interest rate" / "Current rate" / "Rate applied" / "Variable rate" / "Fixed rate". Blank = not on the statement / no statement.</t>
        </r>
      </text>
    </comment>
    <comment ref="C9" authorId="0">
      <text>
        <r>
          <rPr>
            <sz val="10"/>
            <rFont val="Arial"/>
            <family val="2"/>
          </rPr>
          <t xml:space="preserve">Filled by the document reader from: Mortgage statement: "Remaining term" / "Term remaining" / "Years remaining" (convert months to years). Blank = not on the statement / no statement.</t>
        </r>
      </text>
    </comment>
    <comment ref="C10" authorId="0">
      <text>
        <r>
          <rPr>
            <sz val="10"/>
            <rFont val="Arial"/>
            <family val="2"/>
          </rPr>
          <t xml:space="preserve">Filled by the document reader from: Mortgage statement: "Monthly repayment" / "Monthly instalment" / "Repayment amount". Blank = not on the statement / no statement.</t>
        </r>
      </text>
    </comment>
    <comment ref="C11" authorId="0">
      <text>
        <r>
          <rPr>
            <sz val="10"/>
            <rFont val="Arial"/>
            <family val="2"/>
          </rPr>
          <t xml:space="preserve">Filled by the document reader from: The statement: "Statement date" / "Statement period to" / "Valuation date" / "As at". Blank = not on the statement / no statement.</t>
        </r>
      </text>
    </comment>
    <comment ref="C14" authorId="0">
      <text>
        <r>
          <rPr>
            <sz val="10"/>
            <rFont val="Arial"/>
            <family val="2"/>
          </rPr>
          <t xml:space="preserve">Default: €300,000 · pre-filled from Your finances / mortgage statement: balance</t>
        </r>
      </text>
    </comment>
    <comment ref="C15" authorId="0">
      <text>
        <r>
          <rPr>
            <sz val="10"/>
            <rFont val="Arial"/>
            <family val="2"/>
          </rPr>
          <t xml:space="preserve">Suggested: 3.75% · pre-filled from Your finances / mortgage statement: rate</t>
        </r>
      </text>
    </comment>
    <comment ref="C16" authorId="0">
      <text>
        <r>
          <rPr>
            <sz val="10"/>
            <rFont val="Arial"/>
            <family val="2"/>
          </rPr>
          <t xml:space="preserve">Default: 30 · pre-filled from Years left (25 if not given)</t>
        </r>
      </text>
    </comment>
    <comment ref="C17" authorId="0">
      <text>
        <r>
          <rPr>
            <sz val="10"/>
            <rFont val="Arial"/>
            <family val="2"/>
          </rPr>
          <t xml:space="preserve">Default: €0 · pre-filled from Your finances / statement: stated repayment</t>
        </r>
      </text>
    </comment>
    <comment ref="C18" authorId="0">
      <text>
        <r>
          <rPr>
            <sz val="10"/>
            <rFont val="Arial"/>
            <family val="2"/>
          </rPr>
          <t xml:space="preserve">Suggested: 3</t>
        </r>
      </text>
    </comment>
    <comment ref="C19" authorId="0">
      <text>
        <r>
          <rPr>
            <sz val="10"/>
            <rFont val="Arial"/>
            <family val="2"/>
          </rPr>
          <t xml:space="preserve">Default: 0%</t>
        </r>
      </text>
    </comment>
  </commentList>
</comments>
</file>

<file path=xl/comments4.xml><?xml version="1.0" encoding="utf-8"?>
<comments xmlns="http://schemas.openxmlformats.org/spreadsheetml/2006/main" xmlns:xdr="http://schemas.openxmlformats.org/drawingml/2006/spreadsheetDrawing">
  <authors>
    <author>Unknown Author</author>
  </authors>
  <commentList>
    <comment ref="C6" authorId="0">
      <text>
        <r>
          <rPr>
            <sz val="10"/>
            <rFont val="Arial"/>
            <family val="2"/>
          </rPr>
          <t xml:space="preserve">Default: €350,000</t>
        </r>
      </text>
    </comment>
    <comment ref="C7" authorId="0">
      <text>
        <r>
          <rPr>
            <sz val="10"/>
            <rFont val="Arial"/>
            <family val="2"/>
          </rPr>
          <t xml:space="preserve">Default: 10%</t>
        </r>
      </text>
    </comment>
    <comment ref="C8" authorId="0">
      <text>
        <r>
          <rPr>
            <sz val="10"/>
            <rFont val="Arial"/>
            <family val="2"/>
          </rPr>
          <t xml:space="preserve">Suggested: €3,000</t>
        </r>
      </text>
    </comment>
    <comment ref="C9" authorId="0">
      <text>
        <r>
          <rPr>
            <sz val="10"/>
            <rFont val="Arial"/>
            <family val="2"/>
          </rPr>
          <t xml:space="preserve">Default: €12,000 · pre-filled from Plan: home goal's amount saved</t>
        </r>
      </text>
    </comment>
    <comment ref="C10" authorId="0">
      <text>
        <r>
          <rPr>
            <sz val="10"/>
            <rFont val="Arial"/>
            <family val="2"/>
          </rPr>
          <t xml:space="preserve">Default: €800</t>
        </r>
      </text>
    </comment>
    <comment ref="C11" authorId="0">
      <text>
        <r>
          <rPr>
            <sz val="10"/>
            <rFont val="Arial"/>
            <family val="2"/>
          </rPr>
          <t xml:space="preserve">Default: €0</t>
        </r>
      </text>
    </comment>
  </commentList>
</comments>
</file>

<file path=xl/comments5.xml><?xml version="1.0" encoding="utf-8"?>
<comments xmlns="http://schemas.openxmlformats.org/spreadsheetml/2006/main" xmlns:xdr="http://schemas.openxmlformats.org/drawingml/2006/spreadsheetDrawing">
  <authors>
    <author>Unknown Author</author>
  </authors>
  <commentList>
    <comment ref="C7" authorId="0">
      <text>
        <r>
          <rPr>
            <sz val="10"/>
            <rFont val="Arial"/>
            <family val="2"/>
          </rPr>
          <t xml:space="preserve">Filled by the document reader from: Mortgage statement: "Outstanding balance" / "Balance outstanding" / "Amount outstanding" / "Closing balance". Blank = not on the statement / no statement.</t>
        </r>
      </text>
    </comment>
    <comment ref="C8" authorId="0">
      <text>
        <r>
          <rPr>
            <sz val="10"/>
            <rFont val="Arial"/>
            <family val="2"/>
          </rPr>
          <t xml:space="preserve">Filled by the document reader from: Mortgage statement: "Interest rate" / "Current rate" / "Rate applied" / "Variable rate" / "Fixed rate". Blank = not on the statement / no statement.</t>
        </r>
      </text>
    </comment>
    <comment ref="C9" authorId="0">
      <text>
        <r>
          <rPr>
            <sz val="10"/>
            <rFont val="Arial"/>
            <family val="2"/>
          </rPr>
          <t xml:space="preserve">Filled by the document reader from: Mortgage statement: "Remaining term" / "Term remaining" / "Years remaining" (convert months to years). Blank = not on the statement / no statement.</t>
        </r>
      </text>
    </comment>
    <comment ref="C10" authorId="0">
      <text>
        <r>
          <rPr>
            <sz val="10"/>
            <rFont val="Arial"/>
            <family val="2"/>
          </rPr>
          <t xml:space="preserve">Filled by the document reader from: Mortgage statement: "Monthly repayment" / "Monthly instalment" / "Repayment amount". Blank = not on the statement / no statement.</t>
        </r>
      </text>
    </comment>
    <comment ref="C11" authorId="0">
      <text>
        <r>
          <rPr>
            <sz val="10"/>
            <rFont val="Arial"/>
            <family val="2"/>
          </rPr>
          <t xml:space="preserve">Filled by the document reader from: The statement: "Statement date" / "Statement period to" / "Valuation date" / "As at". Blank = not on the statement / no statement.</t>
        </r>
      </text>
    </comment>
    <comment ref="C14" authorId="0">
      <text>
        <r>
          <rPr>
            <sz val="10"/>
            <rFont val="Arial"/>
            <family val="2"/>
          </rPr>
          <t xml:space="preserve">Default: €250,000 · pre-filled from Your finances / statement: balance</t>
        </r>
      </text>
    </comment>
    <comment ref="C15" authorId="0">
      <text>
        <r>
          <rPr>
            <sz val="10"/>
            <rFont val="Arial"/>
            <family val="2"/>
          </rPr>
          <t xml:space="preserve">Suggested: 3.75% · pre-filled from Your finances / statement: rate</t>
        </r>
      </text>
    </comment>
    <comment ref="C16" authorId="0">
      <text>
        <r>
          <rPr>
            <sz val="10"/>
            <rFont val="Arial"/>
            <family val="2"/>
          </rPr>
          <t xml:space="preserve">Default: 25 · pre-filled from Years left (25 if not given)</t>
        </r>
      </text>
    </comment>
    <comment ref="C17" authorId="0">
      <text>
        <r>
          <rPr>
            <sz val="10"/>
            <rFont val="Arial"/>
            <family val="2"/>
          </rPr>
          <t xml:space="preserve">Default: €200</t>
        </r>
      </text>
    </comment>
    <comment ref="C18" authorId="0">
      <text>
        <r>
          <rPr>
            <sz val="10"/>
            <rFont val="Arial"/>
            <family val="2"/>
          </rPr>
          <t xml:space="preserve">Default: €0 · pre-filled from Your finances / statement: stated repayment</t>
        </r>
      </text>
    </comment>
  </commentList>
</comments>
</file>

<file path=xl/comments6.xml><?xml version="1.0" encoding="utf-8"?>
<comments xmlns="http://schemas.openxmlformats.org/spreadsheetml/2006/main" xmlns:xdr="http://schemas.openxmlformats.org/drawingml/2006/spreadsheetDrawing">
  <authors>
    <author>Unknown Author</author>
  </authors>
  <commentList>
    <comment ref="C7" authorId="0">
      <text>
        <r>
          <rPr>
            <sz val="10"/>
            <rFont val="Arial"/>
            <family val="2"/>
          </rPr>
          <t xml:space="preserve">Filled by the document reader from: Mortgage statement: "Outstanding balance" / "Balance outstanding" / "Amount outstanding" / "Closing balance". Blank = not on the statement / no statement.</t>
        </r>
      </text>
    </comment>
    <comment ref="C8" authorId="0">
      <text>
        <r>
          <rPr>
            <sz val="10"/>
            <rFont val="Arial"/>
            <family val="2"/>
          </rPr>
          <t xml:space="preserve">Filled by the document reader from: Mortgage statement: "Interest rate" / "Current rate" / "Rate applied" / "Variable rate" / "Fixed rate". Blank = not on the statement / no statement.</t>
        </r>
      </text>
    </comment>
    <comment ref="C9" authorId="0">
      <text>
        <r>
          <rPr>
            <sz val="10"/>
            <rFont val="Arial"/>
            <family val="2"/>
          </rPr>
          <t xml:space="preserve">Filled by the document reader from: Mortgage statement: "Remaining term" / "Term remaining" / "Years remaining" (convert months to years). Blank = not on the statement / no statement.</t>
        </r>
      </text>
    </comment>
    <comment ref="C10" authorId="0">
      <text>
        <r>
          <rPr>
            <sz val="10"/>
            <rFont val="Arial"/>
            <family val="2"/>
          </rPr>
          <t xml:space="preserve">Filled by the document reader from: Mortgage statement: "Monthly repayment" / "Monthly instalment" / "Repayment amount". Blank = not on the statement / no statement.</t>
        </r>
      </text>
    </comment>
    <comment ref="C11" authorId="0">
      <text>
        <r>
          <rPr>
            <sz val="10"/>
            <rFont val="Arial"/>
            <family val="2"/>
          </rPr>
          <t xml:space="preserve">Filled by the document reader from: The statement: "Statement date" / "Statement period to" / "Valuation date" / "As at". Blank = not on the statement / no statement.</t>
        </r>
      </text>
    </comment>
    <comment ref="C14" authorId="0">
      <text>
        <r>
          <rPr>
            <sz val="10"/>
            <rFont val="Arial"/>
            <family val="2"/>
          </rPr>
          <t xml:space="preserve">Default: €300,000 · pre-filled from Your finances / statement: balance</t>
        </r>
      </text>
    </comment>
    <comment ref="C15" authorId="0">
      <text>
        <r>
          <rPr>
            <sz val="10"/>
            <rFont val="Arial"/>
            <family val="2"/>
          </rPr>
          <t xml:space="preserve">Suggested: 3.75% · pre-filled from Your finances / statement: rate</t>
        </r>
      </text>
    </comment>
    <comment ref="C16" authorId="0">
      <text>
        <r>
          <rPr>
            <sz val="10"/>
            <rFont val="Arial"/>
            <family val="2"/>
          </rPr>
          <t xml:space="preserve">Default: 25 · pre-filled from Years left (25 if not given)</t>
        </r>
      </text>
    </comment>
    <comment ref="C17" authorId="0">
      <text>
        <r>
          <rPr>
            <sz val="10"/>
            <rFont val="Arial"/>
            <family val="2"/>
          </rPr>
          <t xml:space="preserve">Default: 1%</t>
        </r>
      </text>
    </comment>
    <comment ref="C18" authorId="0">
      <text>
        <r>
          <rPr>
            <sz val="10"/>
            <rFont val="Arial"/>
            <family val="2"/>
          </rPr>
          <t xml:space="preserve">Default: €0 · pre-filled from Your finances / statement: stated repayment</t>
        </r>
      </text>
    </comment>
  </commentList>
</comments>
</file>

<file path=xl/comments7.xml><?xml version="1.0" encoding="utf-8"?>
<comments xmlns="http://schemas.openxmlformats.org/spreadsheetml/2006/main" xmlns:xdr="http://schemas.openxmlformats.org/drawingml/2006/spreadsheetDrawing">
  <authors>
    <author>Unknown Author</author>
  </authors>
  <commentList>
    <comment ref="C7" authorId="0">
      <text>
        <r>
          <rPr>
            <sz val="10"/>
            <rFont val="Arial"/>
            <family val="2"/>
          </rPr>
          <t xml:space="preserve">Filled by the document reader from: Mortgage statement: "Outstanding balance" / "Balance outstanding" / "Amount outstanding" / "Closing balance". Blank = not on the statement / no statement.</t>
        </r>
      </text>
    </comment>
    <comment ref="C8" authorId="0">
      <text>
        <r>
          <rPr>
            <sz val="10"/>
            <rFont val="Arial"/>
            <family val="2"/>
          </rPr>
          <t xml:space="preserve">Filled by the document reader from: Mortgage statement: "Interest rate" / "Current rate" / "Rate applied" / "Variable rate" / "Fixed rate". Blank = not on the statement / no statement.</t>
        </r>
      </text>
    </comment>
    <comment ref="C9" authorId="0">
      <text>
        <r>
          <rPr>
            <sz val="10"/>
            <rFont val="Arial"/>
            <family val="2"/>
          </rPr>
          <t xml:space="preserve">Filled by the document reader from: Mortgage statement: "Remaining term" / "Term remaining" / "Years remaining" (convert months to years). Blank = not on the statement / no statement.</t>
        </r>
      </text>
    </comment>
    <comment ref="C10" authorId="0">
      <text>
        <r>
          <rPr>
            <sz val="10"/>
            <rFont val="Arial"/>
            <family val="2"/>
          </rPr>
          <t xml:space="preserve">Filled by the document reader from: The statement: "Statement date" / "Statement period to" / "Valuation date" / "As at". Blank = not on the statement / no statement.</t>
        </r>
      </text>
    </comment>
    <comment ref="C13" authorId="0">
      <text>
        <r>
          <rPr>
            <sz val="10"/>
            <rFont val="Arial"/>
            <family val="2"/>
          </rPr>
          <t xml:space="preserve">Default: €300,000 · pre-filled from Your finances / statement: balance</t>
        </r>
      </text>
    </comment>
    <comment ref="C14" authorId="0">
      <text>
        <r>
          <rPr>
            <sz val="10"/>
            <rFont val="Arial"/>
            <family val="2"/>
          </rPr>
          <t xml:space="preserve">Suggested: 3.75% · pre-filled from Your finances / statement: rate</t>
        </r>
      </text>
    </comment>
    <comment ref="C15" authorId="0">
      <text>
        <r>
          <rPr>
            <sz val="10"/>
            <rFont val="Arial"/>
            <family val="2"/>
          </rPr>
          <t xml:space="preserve">Default: 25 · pre-filled from Years left (25 if not given)</t>
        </r>
      </text>
    </comment>
    <comment ref="C16" authorId="0">
      <text>
        <r>
          <rPr>
            <sz val="10"/>
            <rFont val="Arial"/>
            <family val="2"/>
          </rPr>
          <t xml:space="preserve">Default: 35</t>
        </r>
      </text>
    </comment>
  </commentList>
</comments>
</file>

<file path=xl/comments8.xml><?xml version="1.0" encoding="utf-8"?>
<comments xmlns="http://schemas.openxmlformats.org/spreadsheetml/2006/main" xmlns:xdr="http://schemas.openxmlformats.org/drawingml/2006/spreadsheetDrawing">
  <authors>
    <author>Unknown Author</author>
  </authors>
  <commentList>
    <comment ref="C6" authorId="0">
      <text>
        <r>
          <rPr>
            <sz val="10"/>
            <rFont val="Arial"/>
            <family val="2"/>
          </rPr>
          <t xml:space="preserve">Default: €1,800</t>
        </r>
      </text>
    </comment>
    <comment ref="C7" authorId="0">
      <text>
        <r>
          <rPr>
            <sz val="10"/>
            <rFont val="Arial"/>
            <family val="2"/>
          </rPr>
          <t xml:space="preserve">Default: €350,000</t>
        </r>
      </text>
    </comment>
    <comment ref="C8" authorId="0">
      <text>
        <r>
          <rPr>
            <sz val="10"/>
            <rFont val="Arial"/>
            <family val="2"/>
          </rPr>
          <t xml:space="preserve">Default: €35,000</t>
        </r>
      </text>
    </comment>
    <comment ref="C9" authorId="0">
      <text>
        <r>
          <rPr>
            <sz val="10"/>
            <rFont val="Arial"/>
            <family val="2"/>
          </rPr>
          <t xml:space="preserve">Suggested: 3.75%</t>
        </r>
      </text>
    </comment>
    <comment ref="C10" authorId="0">
      <text>
        <r>
          <rPr>
            <sz val="10"/>
            <rFont val="Arial"/>
            <family val="2"/>
          </rPr>
          <t xml:space="preserve">Suggested: 30</t>
        </r>
      </text>
    </comment>
    <comment ref="C11" authorId="0">
      <text>
        <r>
          <rPr>
            <sz val="10"/>
            <rFont val="Arial"/>
            <family val="2"/>
          </rPr>
          <t xml:space="preserve">Default: 10</t>
        </r>
      </text>
    </comment>
    <comment ref="C12" authorId="0">
      <text>
        <r>
          <rPr>
            <sz val="10"/>
            <rFont val="Arial"/>
            <family val="2"/>
          </rPr>
          <t xml:space="preserve">Suggested: 2%</t>
        </r>
      </text>
    </comment>
    <comment ref="C13" authorId="0">
      <text>
        <r>
          <rPr>
            <sz val="10"/>
            <rFont val="Arial"/>
            <family val="2"/>
          </rPr>
          <t xml:space="preserve">Suggested: 3%</t>
        </r>
      </text>
    </comment>
    <comment ref="C14" authorId="0">
      <text>
        <r>
          <rPr>
            <sz val="10"/>
            <rFont val="Arial"/>
            <family val="2"/>
          </rPr>
          <t xml:space="preserve">Suggested: 1%</t>
        </r>
      </text>
    </comment>
    <comment ref="C15" authorId="0">
      <text>
        <r>
          <rPr>
            <sz val="10"/>
            <rFont val="Arial"/>
            <family val="2"/>
          </rPr>
          <t xml:space="preserve">Suggested: €3,000</t>
        </r>
      </text>
    </comment>
    <comment ref="C16" authorId="0">
      <text>
        <r>
          <rPr>
            <sz val="10"/>
            <rFont val="Arial"/>
            <family val="2"/>
          </rPr>
          <t xml:space="preserve">Suggested: 1%</t>
        </r>
      </text>
    </comment>
    <comment ref="C17" authorId="0">
      <text>
        <r>
          <rPr>
            <sz val="10"/>
            <rFont val="Arial"/>
            <family val="2"/>
          </rPr>
          <t xml:space="preserve">Suggested: 3</t>
        </r>
      </text>
    </comment>
  </commentList>
</comments>
</file>

<file path=xl/comments9.xml><?xml version="1.0" encoding="utf-8"?>
<comments xmlns="http://schemas.openxmlformats.org/spreadsheetml/2006/main" xmlns:xdr="http://schemas.openxmlformats.org/drawingml/2006/spreadsheetDrawing">
  <authors>
    <author>Unknown Author</author>
  </authors>
  <commentList>
    <comment ref="C6" authorId="0">
      <text>
        <r>
          <rPr>
            <sz val="10"/>
            <rFont val="Arial"/>
            <family val="2"/>
          </rPr>
          <t xml:space="preserve">Starts blank: the client chooses. Everyone sees this differently. Ireland's prices are rising 3.9% now (CSO HICP flash, Sep 2026), mostly because of energy. Over decades, 2%–2.5% is the usual planning range (ECB target 2%). Enter 0% if you don't want to adjust for prices.</t>
        </r>
      </text>
    </comment>
    <comment ref="C10" authorId="0">
      <text>
        <r>
          <rPr>
            <sz val="10"/>
            <rFont val="Arial"/>
            <family val="2"/>
          </rPr>
          <t xml:space="preserve">Default: €15,000</t>
        </r>
      </text>
    </comment>
    <comment ref="C11" authorId="0">
      <text>
        <r>
          <rPr>
            <sz val="10"/>
            <rFont val="Arial"/>
            <family val="2"/>
          </rPr>
          <t xml:space="preserve">Default: 3</t>
        </r>
      </text>
    </comment>
    <comment ref="C12" authorId="0">
      <text>
        <r>
          <rPr>
            <sz val="10"/>
            <rFont val="Arial"/>
            <family val="2"/>
          </rPr>
          <t xml:space="preserve">Default: €2,000</t>
        </r>
      </text>
    </comment>
    <comment ref="C13" authorId="0">
      <text>
        <r>
          <rPr>
            <sz val="10"/>
            <rFont val="Arial"/>
            <family val="2"/>
          </rPr>
          <t xml:space="preserve">Suggested: 2%</t>
        </r>
      </text>
    </comment>
  </commentList>
</comments>
</file>

<file path=xl/comments10.xml><?xml version="1.0" encoding="utf-8"?>
<comments xmlns="http://schemas.openxmlformats.org/spreadsheetml/2006/main" xmlns:xdr="http://schemas.openxmlformats.org/drawingml/2006/spreadsheetDrawing">
  <authors>
    <author>Unknown Author</author>
  </authors>
  <commentList>
    <comment ref="C6" authorId="0">
      <text>
        <r>
          <rPr>
            <sz val="10"/>
            <rFont val="Arial"/>
            <family val="2"/>
          </rPr>
          <t xml:space="preserve">Starts blank: the client chooses. Everyone sees this differently. Ireland's prices are rising 3.9% now (CSO HICP flash, Sep 2026), mostly because of energy. Over decades, 2%–2.5% is the usual planning range (ECB target 2%). Enter 0% if you don't want to adjust for prices.</t>
        </r>
      </text>
    </comment>
    <comment ref="C10" authorId="0">
      <text>
        <r>
          <rPr>
            <sz val="10"/>
            <rFont val="Arial"/>
            <family val="2"/>
          </rPr>
          <t xml:space="preserve">Default: €5,000</t>
        </r>
      </text>
    </comment>
    <comment ref="C11" authorId="0">
      <text>
        <r>
          <rPr>
            <sz val="10"/>
            <rFont val="Arial"/>
            <family val="2"/>
          </rPr>
          <t xml:space="preserve">Default: €200</t>
        </r>
      </text>
    </comment>
    <comment ref="C12" authorId="0">
      <text>
        <r>
          <rPr>
            <sz val="10"/>
            <rFont val="Arial"/>
            <family val="2"/>
          </rPr>
          <t xml:space="preserve">Suggested: 4%</t>
        </r>
      </text>
    </comment>
    <comment ref="C13" authorId="0">
      <text>
        <r>
          <rPr>
            <sz val="10"/>
            <rFont val="Arial"/>
            <family val="2"/>
          </rPr>
          <t xml:space="preserve">Default: 20</t>
        </r>
      </text>
    </comment>
  </commentList>
</comments>
</file>

<file path=xl/comments11.xml><?xml version="1.0" encoding="utf-8"?>
<comments xmlns="http://schemas.openxmlformats.org/spreadsheetml/2006/main" xmlns:xdr="http://schemas.openxmlformats.org/drawingml/2006/spreadsheetDrawing">
  <authors>
    <author>Unknown Author</author>
  </authors>
  <commentList>
    <comment ref="C6" authorId="0">
      <text>
        <r>
          <rPr>
            <sz val="10"/>
            <rFont val="Arial"/>
            <family val="2"/>
          </rPr>
          <t xml:space="preserve">Starts blank: the client chooses. Everyone sees this differently. Ireland's prices are rising 3.9% now (CSO HICP flash, Sep 2026), mostly because of energy. Over decades, 2%–2.5% is the usual planning range (ECB target 2%). Enter 0% if you don't want to adjust for prices.</t>
        </r>
      </text>
    </comment>
    <comment ref="C11" authorId="0">
      <text>
        <r>
          <rPr>
            <sz val="10"/>
            <rFont val="Arial"/>
            <family val="2"/>
          </rPr>
          <t xml:space="preserve">Filled by the document reader from: Investment statement: "Total value" / "Portfolio value" / "Valuation" / "Market value" / "Policy value". Blank = not on the statement / no statement.</t>
        </r>
      </text>
    </comment>
    <comment ref="C12" authorId="0">
      <text>
        <r>
          <rPr>
            <sz val="10"/>
            <rFont val="Arial"/>
            <family val="2"/>
          </rPr>
          <t xml:space="preserve">Filled by the document reader from: Investment statement: "Annual management charge (AMC)" / "Ongoing charges figure (OCF)" / "Total annual charges". Blank = not on the statement / no statement.</t>
        </r>
      </text>
    </comment>
    <comment ref="C13" authorId="0">
      <text>
        <r>
          <rPr>
            <sz val="10"/>
            <rFont val="Arial"/>
            <family val="2"/>
          </rPr>
          <t xml:space="preserve">Filled by the document reader from: The statement: "Statement date" / "Statement period to" / "Valuation date" / "As at". Blank = not on the statement / no statement.</t>
        </r>
      </text>
    </comment>
    <comment ref="C16" authorId="0">
      <text>
        <r>
          <rPr>
            <sz val="10"/>
            <rFont val="Arial"/>
            <family val="2"/>
          </rPr>
          <t xml:space="preserve">Default: €10,000 · pre-filled from Your finances / statement: investments</t>
        </r>
      </text>
    </comment>
    <comment ref="C17" authorId="0">
      <text>
        <r>
          <rPr>
            <sz val="10"/>
            <rFont val="Arial"/>
            <family val="2"/>
          </rPr>
          <t xml:space="preserve">Suggested: 4%</t>
        </r>
      </text>
    </comment>
    <comment ref="C18" authorId="0">
      <text>
        <r>
          <rPr>
            <sz val="10"/>
            <rFont val="Arial"/>
            <family val="2"/>
          </rPr>
          <t xml:space="preserve">Default: 15</t>
        </r>
      </text>
    </comment>
    <comment ref="C19" authorId="0">
      <text>
        <r>
          <rPr>
            <sz val="10"/>
            <rFont val="Arial"/>
            <family val="2"/>
          </rPr>
          <t xml:space="preserve">Suggested: 0%</t>
        </r>
      </text>
    </comment>
    <comment ref="C20" authorId="0">
      <text>
        <r>
          <rPr>
            <sz val="10"/>
            <rFont val="Arial"/>
            <family val="2"/>
          </rPr>
          <t xml:space="preserve">Suggested: 5</t>
        </r>
      </text>
    </comment>
    <comment ref="C21" authorId="0">
      <text>
        <r>
          <rPr>
            <sz val="10"/>
            <rFont val="Arial"/>
            <family val="2"/>
          </rPr>
          <t xml:space="preserve">Default: No</t>
        </r>
      </text>
    </comment>
  </commentList>
</comments>
</file>

<file path=xl/comments12.xml><?xml version="1.0" encoding="utf-8"?>
<comments xmlns="http://schemas.openxmlformats.org/spreadsheetml/2006/main" xmlns:xdr="http://schemas.openxmlformats.org/drawingml/2006/spreadsheetDrawing">
  <authors>
    <author>Unknown Author</author>
  </authors>
  <commentList>
    <comment ref="C6" authorId="0">
      <text>
        <r>
          <rPr>
            <sz val="10"/>
            <rFont val="Arial"/>
            <family val="2"/>
          </rPr>
          <t xml:space="preserve">Default: €2,500 · pre-filled from Your finances: costs + mortgage + debt repayments</t>
        </r>
      </text>
    </comment>
    <comment ref="C7" authorId="0">
      <text>
        <r>
          <rPr>
            <sz val="10"/>
            <rFont val="Arial"/>
            <family val="2"/>
          </rPr>
          <t xml:space="preserve">Suggested: 6</t>
        </r>
      </text>
    </comment>
    <comment ref="C8" authorId="0">
      <text>
        <r>
          <rPr>
            <sz val="10"/>
            <rFont val="Arial"/>
            <family val="2"/>
          </rPr>
          <t xml:space="preserve">Suggested: 2</t>
        </r>
      </text>
    </comment>
    <comment ref="C9" authorId="0">
      <text>
        <r>
          <rPr>
            <sz val="10"/>
            <rFont val="Arial"/>
            <family val="2"/>
          </rPr>
          <t xml:space="preserve">Default: €6,250 · pre-filled from Your finances: cash</t>
        </r>
      </text>
    </comment>
  </commentList>
</comments>
</file>

<file path=xl/comments13.xml><?xml version="1.0" encoding="utf-8"?>
<comments xmlns="http://schemas.openxmlformats.org/spreadsheetml/2006/main" xmlns:xdr="http://schemas.openxmlformats.org/drawingml/2006/spreadsheetDrawing">
  <authors>
    <author>Unknown Author</author>
  </authors>
  <commentList>
    <comment ref="C6" authorId="0">
      <text>
        <r>
          <rPr>
            <sz val="10"/>
            <rFont val="Arial"/>
            <family val="2"/>
          </rPr>
          <t xml:space="preserve">Starts blank: the client chooses. Everyone sees this differently. Ireland's prices are rising 3.9% now (CSO HICP flash, Sep 2026), mostly because of energy. Over decades, 2%–2.5% is the usual planning range (ECB target 2%). Enter 0% if you don't want to adjust for prices.</t>
        </r>
      </text>
    </comment>
    <comment ref="C11" authorId="0">
      <text>
        <r>
          <rPr>
            <sz val="10"/>
            <rFont val="Arial"/>
            <family val="2"/>
          </rPr>
          <t xml:space="preserve">Filled by the document reader from: Pension statement: "Current fund value" / "Value of your fund" / "Transfer value" / "Total fund value". Blank = not on the statement / no statement.</t>
        </r>
      </text>
    </comment>
    <comment ref="C12" authorId="0">
      <text>
        <r>
          <rPr>
            <sz val="10"/>
            <rFont val="Arial"/>
            <family val="2"/>
          </rPr>
          <t xml:space="preserve">Filled by the document reader from: Pension statement: "Your contributions" / "Member contributions" / "Employee contributions" (convert yearly to monthly). Blank = not on the statement / no statement.</t>
        </r>
      </text>
    </comment>
    <comment ref="C13" authorId="0">
      <text>
        <r>
          <rPr>
            <sz val="10"/>
            <rFont val="Arial"/>
            <family val="2"/>
          </rPr>
          <t xml:space="preserve">Filled by the document reader from: Pension statement: "Employer contributions" / "Company contributions". Blank = not on the statement / no statement.</t>
        </r>
      </text>
    </comment>
    <comment ref="C14" authorId="0">
      <text>
        <r>
          <rPr>
            <sz val="10"/>
            <rFont val="Arial"/>
            <family val="2"/>
          </rPr>
          <t xml:space="preserve">Filled by the document reader from: Pension statement: "Normal retirement age" / "Normal retirement date" (convert the date to an age). Blank = not on the statement / no statement.</t>
        </r>
      </text>
    </comment>
    <comment ref="C15" authorId="0">
      <text>
        <r>
          <rPr>
            <sz val="10"/>
            <rFont val="Arial"/>
            <family val="2"/>
          </rPr>
          <t xml:space="preserve">Filled by the document reader from: Pension statement / SRP: "Projected fund at normal retirement date" / "Projected retirement fund" / "Estimated fund value at retirement". Blank = not on the statement / no statement.</t>
        </r>
      </text>
    </comment>
    <comment ref="C16" authorId="0">
      <text>
        <r>
          <rPr>
            <sz val="10"/>
            <rFont val="Arial"/>
            <family val="2"/>
          </rPr>
          <t xml:space="preserve">Filled by the document reader from: Pension statement / SRP: wording near the projection such as "in today's terms" / "in today's money" / "adjusted for inflation" (Yes) or "in money terms at retirement" (No). Blank = not on the statement / no statement.</t>
        </r>
      </text>
    </comment>
    <comment ref="C17" authorId="0">
      <text>
        <r>
          <rPr>
            <sz val="10"/>
            <rFont val="Arial"/>
            <family val="2"/>
          </rPr>
          <t xml:space="preserve">Filled by the document reader from: Pension statement: "Annual management charge" / "Total annual charges" / "Fund charges". Blank = not on the statement / no statement.</t>
        </r>
      </text>
    </comment>
    <comment ref="C18" authorId="0">
      <text>
        <r>
          <rPr>
            <sz val="10"/>
            <rFont val="Arial"/>
            <family val="2"/>
          </rPr>
          <t xml:space="preserve">Filled by the document reader from: The statement: "Statement date" / "Statement period to" / "Valuation date" / "As at". Blank = not on the statement / no statement.</t>
        </r>
      </text>
    </comment>
    <comment ref="C21" authorId="0">
      <text>
        <r>
          <rPr>
            <sz val="10"/>
            <rFont val="Arial"/>
            <family val="2"/>
          </rPr>
          <t xml:space="preserve">Default: 40 · pre-filled from About you: age</t>
        </r>
      </text>
    </comment>
    <comment ref="C22" authorId="0">
      <text>
        <r>
          <rPr>
            <sz val="10"/>
            <rFont val="Arial"/>
            <family val="2"/>
          </rPr>
          <t xml:space="preserve">Default: 65 · pre-filled from Plan: retirement age</t>
        </r>
      </text>
    </comment>
    <comment ref="C23" authorId="0">
      <text>
        <r>
          <rPr>
            <sz val="10"/>
            <rFont val="Arial"/>
            <family val="2"/>
          </rPr>
          <t xml:space="preserve">Default: €60,000 · pre-filled from Your finances / pension statement</t>
        </r>
      </text>
    </comment>
    <comment ref="C24" authorId="0">
      <text>
        <r>
          <rPr>
            <sz val="10"/>
            <rFont val="Arial"/>
            <family val="2"/>
          </rPr>
          <t xml:space="preserve">Default: €500 · pre-filled from Your finances / pension statement</t>
        </r>
      </text>
    </comment>
    <comment ref="C25" authorId="0">
      <text>
        <r>
          <rPr>
            <sz val="10"/>
            <rFont val="Arial"/>
            <family val="2"/>
          </rPr>
          <t xml:space="preserve">Default: €40,000 · pre-filled from Plan: retirement goal income</t>
        </r>
      </text>
    </comment>
    <comment ref="C26" authorId="0">
      <text>
        <r>
          <rPr>
            <sz val="10"/>
            <rFont val="Arial"/>
            <family val="2"/>
          </rPr>
          <t xml:space="preserve">Default: €15,564 · pre-filled from State Pension €15,563.60 × your entitlement (full 1, partly 0.6, not sure 0.8)</t>
        </r>
      </text>
    </comment>
    <comment ref="C27" authorId="0">
      <text>
        <r>
          <rPr>
            <sz val="10"/>
            <rFont val="Arial"/>
            <family val="2"/>
          </rPr>
          <t xml:space="preserve">Suggested: 4.5% · pre-filled from Plan: pension growth (your growth set)</t>
        </r>
      </text>
    </comment>
    <comment ref="C28" authorId="0">
      <text>
        <r>
          <rPr>
            <sz val="10"/>
            <rFont val="Arial"/>
            <family val="2"/>
          </rPr>
          <t xml:space="preserve">Suggested: 3% · pre-filled from Plan: pay rises</t>
        </r>
      </text>
    </comment>
    <comment ref="C29" authorId="0">
      <text>
        <r>
          <rPr>
            <sz val="10"/>
            <rFont val="Arial"/>
            <family val="2"/>
          </rPr>
          <t xml:space="preserve">Suggested: 25</t>
        </r>
      </text>
    </comment>
    <comment ref="C30" authorId="0">
      <text>
        <r>
          <rPr>
            <sz val="10"/>
            <rFont val="Arial"/>
            <family val="2"/>
          </rPr>
          <t xml:space="preserve">Suggested: 1%</t>
        </r>
      </text>
    </comment>
    <comment ref="C31" authorId="0">
      <text>
        <r>
          <rPr>
            <sz val="10"/>
            <rFont val="Arial"/>
            <family val="2"/>
          </rPr>
          <t xml:space="preserve">Suggested: 25%</t>
        </r>
      </text>
    </comment>
    <comment ref="C32" authorId="0">
      <text>
        <r>
          <rPr>
            <sz val="10"/>
            <rFont val="Arial"/>
            <family val="2"/>
          </rPr>
          <t xml:space="preserve">Default: 0</t>
        </r>
      </text>
    </comment>
    <comment ref="C33" authorId="0">
      <text>
        <r>
          <rPr>
            <sz val="10"/>
            <rFont val="Arial"/>
            <family val="2"/>
          </rPr>
          <t xml:space="preserve">Default: €0</t>
        </r>
      </text>
    </comment>
    <comment ref="C34" authorId="0">
      <text>
        <r>
          <rPr>
            <sz val="10"/>
            <rFont val="Arial"/>
            <family val="2"/>
          </rPr>
          <t xml:space="preserve">Default: €0</t>
        </r>
      </text>
    </comment>
  </commentList>
</comments>
</file>

<file path=xl/comments14.xml><?xml version="1.0" encoding="utf-8"?>
<comments xmlns="http://schemas.openxmlformats.org/spreadsheetml/2006/main" xmlns:xdr="http://schemas.openxmlformats.org/drawingml/2006/spreadsheetDrawing">
  <authors>
    <author>Unknown Author</author>
  </authors>
  <commentList>
    <comment ref="C6" authorId="0">
      <text>
        <r>
          <rPr>
            <sz val="10"/>
            <rFont val="Arial"/>
            <family val="2"/>
          </rPr>
          <t xml:space="preserve">Starts blank: the client chooses. Everyone sees this differently. Ireland's prices are rising 3.9% now (CSO HICP flash, Sep 2026), mostly because of energy. Over decades, 2%–2.5% is the usual planning range (ECB target 2%). Enter 0% if you don't want to adjust for prices.</t>
        </r>
      </text>
    </comment>
    <comment ref="C11" authorId="0">
      <text>
        <r>
          <rPr>
            <sz val="10"/>
            <rFont val="Arial"/>
            <family val="2"/>
          </rPr>
          <t xml:space="preserve">Filled by the document reader from: Pension statement: "Annual management charge" / "Total annual charges" / "Fund charges". Blank = not on the statement / no statement.</t>
        </r>
      </text>
    </comment>
    <comment ref="C12" authorId="0">
      <text>
        <r>
          <rPr>
            <sz val="10"/>
            <rFont val="Arial"/>
            <family val="2"/>
          </rPr>
          <t xml:space="preserve">Filled by the document reader from: The statement: "Statement date" / "Statement period to" / "Valuation date" / "As at". Blank = not on the statement / no statement.</t>
        </r>
      </text>
    </comment>
    <comment ref="C15" authorId="0">
      <text>
        <r>
          <rPr>
            <sz val="10"/>
            <rFont val="Arial"/>
            <family val="2"/>
          </rPr>
          <t xml:space="preserve">Default: €60,000 · pre-filled from Your finances: income</t>
        </r>
      </text>
    </comment>
    <comment ref="C16" authorId="0">
      <text>
        <r>
          <rPr>
            <sz val="10"/>
            <rFont val="Arial"/>
            <family val="2"/>
          </rPr>
          <t xml:space="preserve">Default: 2%</t>
        </r>
      </text>
    </comment>
    <comment ref="C17" authorId="0">
      <text>
        <r>
          <rPr>
            <sz val="10"/>
            <rFont val="Arial"/>
            <family val="2"/>
          </rPr>
          <t xml:space="preserve">Default: 25 · pre-filled from Plan: retirement age − age</t>
        </r>
      </text>
    </comment>
    <comment ref="C18" authorId="0">
      <text>
        <r>
          <rPr>
            <sz val="10"/>
            <rFont val="Arial"/>
            <family val="2"/>
          </rPr>
          <t xml:space="preserve">Suggested: 4.5% · pre-filled from Plan: pension growth</t>
        </r>
      </text>
    </comment>
    <comment ref="C19" authorId="0">
      <text>
        <r>
          <rPr>
            <sz val="10"/>
            <rFont val="Arial"/>
            <family val="2"/>
          </rPr>
          <t xml:space="preserve">Suggested: 1%</t>
        </r>
      </text>
    </comment>
    <comment ref="C20" authorId="0">
      <text>
        <r>
          <rPr>
            <sz val="10"/>
            <rFont val="Arial"/>
            <family val="2"/>
          </rPr>
          <t xml:space="preserve">Default: 40% · pre-filled from Tax engine marginal rate (band by status: €44k single, €48k single parent, €53k married, + up to €35k second earner)</t>
        </r>
      </text>
    </comment>
    <comment ref="C21" authorId="0">
      <text>
        <r>
          <rPr>
            <sz val="10"/>
            <rFont val="Arial"/>
            <family val="2"/>
          </rPr>
          <t xml:space="preserve">Default: 40 · pre-filled from About you: age</t>
        </r>
      </text>
    </comment>
    <comment ref="C22" authorId="0">
      <text>
        <r>
          <rPr>
            <sz val="10"/>
            <rFont val="Arial"/>
            <family val="2"/>
          </rPr>
          <t xml:space="preserve">Default: €0 · pre-filled from Your finances: your own pension contributions × 12</t>
        </r>
      </text>
    </comment>
  </commentList>
</comments>
</file>

<file path=xl/comments15.xml><?xml version="1.0" encoding="utf-8"?>
<comments xmlns="http://schemas.openxmlformats.org/spreadsheetml/2006/main" xmlns:xdr="http://schemas.openxmlformats.org/drawingml/2006/spreadsheetDrawing">
  <authors>
    <author>Unknown Author</author>
  </authors>
  <commentList>
    <comment ref="C6" authorId="0">
      <text>
        <r>
          <rPr>
            <sz val="10"/>
            <rFont val="Arial"/>
            <family val="2"/>
          </rPr>
          <t xml:space="preserve">Starts blank: the client chooses. Everyone sees this differently. Ireland's prices are rising 3.9% now (CSO HICP flash, Sep 2026), mostly because of energy. Over decades, 2%–2.5% is the usual planning range (ECB target 2%). Enter 0% if you don't want to adjust for prices.</t>
        </r>
      </text>
    </comment>
    <comment ref="C11" authorId="0">
      <text>
        <r>
          <rPr>
            <sz val="10"/>
            <rFont val="Arial"/>
            <family val="2"/>
          </rPr>
          <t xml:space="preserve">Filled by the document reader from: Pension statement: "Annual management charge" / "Total annual charges" / "Fund charges". Blank = not on the statement / no statement.</t>
        </r>
      </text>
    </comment>
    <comment ref="C12" authorId="0">
      <text>
        <r>
          <rPr>
            <sz val="10"/>
            <rFont val="Arial"/>
            <family val="2"/>
          </rPr>
          <t xml:space="preserve">Filled by the document reader from: The statement: "Statement date" / "Statement period to" / "Valuation date" / "As at". Blank = not on the statement / no statement.</t>
        </r>
      </text>
    </comment>
    <comment ref="C15" authorId="0">
      <text>
        <r>
          <rPr>
            <sz val="10"/>
            <rFont val="Arial"/>
            <family val="2"/>
          </rPr>
          <t xml:space="preserve">Default: €200</t>
        </r>
      </text>
    </comment>
    <comment ref="C16" authorId="0">
      <text>
        <r>
          <rPr>
            <sz val="10"/>
            <rFont val="Arial"/>
            <family val="2"/>
          </rPr>
          <t xml:space="preserve">Default: €60,000 · pre-filled from Your finances: income</t>
        </r>
      </text>
    </comment>
    <comment ref="C17" authorId="0">
      <text>
        <r>
          <rPr>
            <sz val="10"/>
            <rFont val="Arial"/>
            <family val="2"/>
          </rPr>
          <t xml:space="preserve">Default: 15 · pre-filled from Plan: retirement age − age</t>
        </r>
      </text>
    </comment>
    <comment ref="C18" authorId="0">
      <text>
        <r>
          <rPr>
            <sz val="10"/>
            <rFont val="Arial"/>
            <family val="2"/>
          </rPr>
          <t xml:space="preserve">Suggested: 4.5% · pre-filled from Plan: pension growth</t>
        </r>
      </text>
    </comment>
    <comment ref="C19" authorId="0">
      <text>
        <r>
          <rPr>
            <sz val="10"/>
            <rFont val="Arial"/>
            <family val="2"/>
          </rPr>
          <t xml:space="preserve">Suggested: 1%</t>
        </r>
      </text>
    </comment>
    <comment ref="C20" authorId="0">
      <text>
        <r>
          <rPr>
            <sz val="10"/>
            <rFont val="Arial"/>
            <family val="2"/>
          </rPr>
          <t xml:space="preserve">Default: 40% · pre-filled from Tax engine marginal rate (band by status: €44k single, €48k single parent, €53k married, + up to €35k second earner)</t>
        </r>
      </text>
    </comment>
    <comment ref="C21" authorId="0">
      <text>
        <r>
          <rPr>
            <sz val="10"/>
            <rFont val="Arial"/>
            <family val="2"/>
          </rPr>
          <t xml:space="preserve">Default: 40 · pre-filled from About you: age</t>
        </r>
      </text>
    </comment>
    <comment ref="C22" authorId="0">
      <text>
        <r>
          <rPr>
            <sz val="10"/>
            <rFont val="Arial"/>
            <family val="2"/>
          </rPr>
          <t xml:space="preserve">Default: €0 · pre-filled from Your finances: your own pension contributions × 12</t>
        </r>
      </text>
    </comment>
  </commentList>
</comments>
</file>

<file path=xl/comments16.xml><?xml version="1.0" encoding="utf-8"?>
<comments xmlns="http://schemas.openxmlformats.org/spreadsheetml/2006/main" xmlns:xdr="http://schemas.openxmlformats.org/drawingml/2006/spreadsheetDrawing">
  <authors>
    <author>Unknown Author</author>
  </authors>
  <commentList>
    <comment ref="C6" authorId="0">
      <text>
        <r>
          <rPr>
            <sz val="10"/>
            <rFont val="Arial"/>
            <family val="2"/>
          </rPr>
          <t xml:space="preserve">Starts blank: the client chooses. Everyone sees this differently. Ireland's prices are rising 3.9% now (CSO HICP flash, Sep 2026), mostly because of energy. Over decades, 2%–2.5% is the usual planning range (ECB target 2%). Enter 0% if you don't want to adjust for prices.</t>
        </r>
      </text>
    </comment>
    <comment ref="C11" authorId="0">
      <text>
        <r>
          <rPr>
            <sz val="10"/>
            <rFont val="Arial"/>
            <family val="2"/>
          </rPr>
          <t xml:space="preserve">Filled by the document reader from: Pension statement / SRP: "Projected fund at normal retirement date" / "Projected retirement fund" / "Estimated fund value at retirement". Blank = not on the statement / no statement.</t>
        </r>
      </text>
    </comment>
    <comment ref="C12" authorId="0">
      <text>
        <r>
          <rPr>
            <sz val="10"/>
            <rFont val="Arial"/>
            <family val="2"/>
          </rPr>
          <t xml:space="preserve">Filled by the document reader from: Pension statement: "Current fund value" / "Value of your fund" / "Transfer value" / "Total fund value". Blank = not on the statement / no statement.</t>
        </r>
      </text>
    </comment>
    <comment ref="C13" authorId="0">
      <text>
        <r>
          <rPr>
            <sz val="10"/>
            <rFont val="Arial"/>
            <family val="2"/>
          </rPr>
          <t xml:space="preserve">Filled by the document reader from: The statement: "Statement date" / "Statement period to" / "Valuation date" / "As at". Blank = not on the statement / no statement.</t>
        </r>
      </text>
    </comment>
    <comment ref="C16" authorId="0">
      <text>
        <r>
          <rPr>
            <sz val="10"/>
            <rFont val="Arial"/>
            <family val="2"/>
          </rPr>
          <t xml:space="preserve">Default: €400,000 · pre-filled from Plan: pension projected to retirement</t>
        </r>
      </text>
    </comment>
    <comment ref="C17" authorId="0">
      <text>
        <r>
          <rPr>
            <sz val="10"/>
            <rFont val="Arial"/>
            <family val="2"/>
          </rPr>
          <t xml:space="preserve">Default: €24,000</t>
        </r>
      </text>
    </comment>
    <comment ref="C18" authorId="0">
      <text>
        <r>
          <rPr>
            <sz val="10"/>
            <rFont val="Arial"/>
            <family val="2"/>
          </rPr>
          <t xml:space="preserve">Suggested: 3.15% · pre-filled from Plan: pension growth once retired</t>
        </r>
      </text>
    </comment>
    <comment ref="C19" authorId="0">
      <text>
        <r>
          <rPr>
            <sz val="10"/>
            <rFont val="Arial"/>
            <family val="2"/>
          </rPr>
          <t xml:space="preserve">Suggested: Start of year</t>
        </r>
      </text>
    </comment>
    <comment ref="C20" authorId="0">
      <text>
        <r>
          <rPr>
            <sz val="10"/>
            <rFont val="Arial"/>
            <family val="2"/>
          </rPr>
          <t xml:space="preserve">Default: 66 · pre-filled from Plan: retirement age</t>
        </r>
      </text>
    </comment>
    <comment ref="C21" authorId="0">
      <text>
        <r>
          <rPr>
            <sz val="10"/>
            <rFont val="Arial"/>
            <family val="2"/>
          </rPr>
          <t xml:space="preserve">Suggested: 90</t>
        </r>
      </text>
    </comment>
  </commentList>
</comments>
</file>

<file path=xl/comments17.xml><?xml version="1.0" encoding="utf-8"?>
<comments xmlns="http://schemas.openxmlformats.org/spreadsheetml/2006/main" xmlns:xdr="http://schemas.openxmlformats.org/drawingml/2006/spreadsheetDrawing">
  <authors>
    <author>Unknown Author</author>
  </authors>
  <commentList>
    <comment ref="C6" authorId="0">
      <text>
        <r>
          <rPr>
            <sz val="10"/>
            <rFont val="Arial"/>
            <family val="2"/>
          </rPr>
          <t xml:space="preserve">Starts blank: the client chooses. Everyone sees this differently. Ireland's prices are rising 3.9% now (CSO HICP flash, Sep 2026), mostly because of energy. Over decades, 2%–2.5% is the usual planning range (ECB target 2%). Enter 0% if you don't want to adjust for prices.</t>
        </r>
      </text>
    </comment>
    <comment ref="C11" authorId="0">
      <text>
        <r>
          <rPr>
            <sz val="10"/>
            <rFont val="Arial"/>
            <family val="2"/>
          </rPr>
          <t xml:space="preserve">Filled by the document reader from: Pension statement / SRP: "Projected fund at normal retirement date" / "Projected retirement fund" / "Estimated fund value at retirement". Blank = not on the statement / no statement.</t>
        </r>
      </text>
    </comment>
    <comment ref="C12" authorId="0">
      <text>
        <r>
          <rPr>
            <sz val="10"/>
            <rFont val="Arial"/>
            <family val="2"/>
          </rPr>
          <t xml:space="preserve">Filled by the document reader from: Pension statement: "Current fund value" / "Value of your fund" / "Transfer value" / "Total fund value". Blank = not on the statement / no statement.</t>
        </r>
      </text>
    </comment>
    <comment ref="C13" authorId="0">
      <text>
        <r>
          <rPr>
            <sz val="10"/>
            <rFont val="Arial"/>
            <family val="2"/>
          </rPr>
          <t xml:space="preserve">Filled by the document reader from: The statement: "Statement date" / "Statement period to" / "Valuation date" / "As at". Blank = not on the statement / no statement.</t>
        </r>
      </text>
    </comment>
    <comment ref="C16" authorId="0">
      <text>
        <r>
          <rPr>
            <sz val="10"/>
            <rFont val="Arial"/>
            <family val="2"/>
          </rPr>
          <t xml:space="preserve">Default: €400,000 · pre-filled from Plan: pension projected to retirement</t>
        </r>
      </text>
    </comment>
    <comment ref="C17" authorId="0">
      <text>
        <r>
          <rPr>
            <sz val="10"/>
            <rFont val="Arial"/>
            <family val="2"/>
          </rPr>
          <t xml:space="preserve">Default: €20,000</t>
        </r>
      </text>
    </comment>
    <comment ref="C18" authorId="0">
      <text>
        <r>
          <rPr>
            <sz val="10"/>
            <rFont val="Arial"/>
            <family val="2"/>
          </rPr>
          <t xml:space="preserve">Suggested: 2%</t>
        </r>
      </text>
    </comment>
    <comment ref="C19" authorId="0">
      <text>
        <r>
          <rPr>
            <sz val="10"/>
            <rFont val="Arial"/>
            <family val="2"/>
          </rPr>
          <t xml:space="preserve">Suggested: 4%</t>
        </r>
      </text>
    </comment>
    <comment ref="C20" authorId="0">
      <text>
        <r>
          <rPr>
            <sz val="10"/>
            <rFont val="Arial"/>
            <family val="2"/>
          </rPr>
          <t xml:space="preserve">Suggested: 6%</t>
        </r>
      </text>
    </comment>
    <comment ref="C21" authorId="0">
      <text>
        <r>
          <rPr>
            <sz val="10"/>
            <rFont val="Arial"/>
            <family val="2"/>
          </rPr>
          <t xml:space="preserve">Suggested: Start of year</t>
        </r>
      </text>
    </comment>
  </commentList>
</comments>
</file>

<file path=xl/comments18.xml><?xml version="1.0" encoding="utf-8"?>
<comments xmlns="http://schemas.openxmlformats.org/spreadsheetml/2006/main" xmlns:xdr="http://schemas.openxmlformats.org/drawingml/2006/spreadsheetDrawing">
  <authors>
    <author>Unknown Author</author>
  </authors>
  <commentList>
    <comment ref="C6" authorId="0">
      <text>
        <r>
          <rPr>
            <sz val="10"/>
            <rFont val="Arial"/>
            <family val="2"/>
          </rPr>
          <t xml:space="preserve">Starts blank: the client chooses. Everyone sees this differently. Ireland's prices are rising 3.9% now (CSO HICP flash, Sep 2026), mostly because of energy. Over decades, 2%–2.5% is the usual planning range (ECB target 2%). Enter 0% if you don't want to adjust for prices.</t>
        </r>
      </text>
    </comment>
    <comment ref="C11" authorId="0">
      <text>
        <r>
          <rPr>
            <sz val="10"/>
            <rFont val="Arial"/>
            <family val="2"/>
          </rPr>
          <t xml:space="preserve">Filled by the document reader from: Investment statement: "Total value" / "Portfolio value" / "Valuation" / "Market value" / "Policy value". Blank = not on the statement / no statement.</t>
        </r>
      </text>
    </comment>
    <comment ref="C12" authorId="0">
      <text>
        <r>
          <rPr>
            <sz val="10"/>
            <rFont val="Arial"/>
            <family val="2"/>
          </rPr>
          <t xml:space="preserve">Filled by the document reader from: The statement: "Statement date" / "Statement period to" / "Valuation date" / "As at". Blank = not on the statement / no statement.</t>
        </r>
      </text>
    </comment>
    <comment ref="C15" authorId="0">
      <text>
        <r>
          <rPr>
            <sz val="10"/>
            <rFont val="Arial"/>
            <family val="2"/>
          </rPr>
          <t xml:space="preserve">Default: €20,000 · pre-filled from Your finances / statement: investments</t>
        </r>
      </text>
    </comment>
    <comment ref="C16" authorId="0">
      <text>
        <r>
          <rPr>
            <sz val="10"/>
            <rFont val="Arial"/>
            <family val="2"/>
          </rPr>
          <t xml:space="preserve">Suggested: 5%</t>
        </r>
      </text>
    </comment>
    <comment ref="C17" authorId="0">
      <text>
        <r>
          <rPr>
            <sz val="10"/>
            <rFont val="Arial"/>
            <family val="2"/>
          </rPr>
          <t xml:space="preserve">Default: 15</t>
        </r>
      </text>
    </comment>
  </commentList>
</comments>
</file>

<file path=xl/comments19.xml><?xml version="1.0" encoding="utf-8"?>
<comments xmlns="http://schemas.openxmlformats.org/spreadsheetml/2006/main" xmlns:xdr="http://schemas.openxmlformats.org/drawingml/2006/spreadsheetDrawing">
  <authors>
    <author>Unknown Author</author>
  </authors>
  <commentList>
    <comment ref="C6" authorId="0">
      <text>
        <r>
          <rPr>
            <sz val="10"/>
            <rFont val="Arial"/>
            <family val="2"/>
          </rPr>
          <t xml:space="preserve">Starts blank: the client chooses. Everyone sees this differently. Ireland's prices are rising 3.9% now (CSO HICP flash, Sep 2026), mostly because of energy. Over decades, 2%–2.5% is the usual planning range (ECB target 2%). Enter 0% if you don't want to adjust for prices.</t>
        </r>
      </text>
    </comment>
    <comment ref="C11" authorId="0">
      <text>
        <r>
          <rPr>
            <sz val="10"/>
            <rFont val="Arial"/>
            <family val="2"/>
          </rPr>
          <t xml:space="preserve">Filled by the document reader from: Investment statement: "Regular contribution" / "Monthly premium" / "Monthly investment". Blank = not on the statement / no statement.</t>
        </r>
      </text>
    </comment>
    <comment ref="C12" authorId="0">
      <text>
        <r>
          <rPr>
            <sz val="10"/>
            <rFont val="Arial"/>
            <family val="2"/>
          </rPr>
          <t xml:space="preserve">Filled by the document reader from: Investment statement: "Annual management charge (AMC)" / "Ongoing charges figure (OCF)" / "Total annual charges". Blank = not on the statement / no statement.</t>
        </r>
      </text>
    </comment>
    <comment ref="C13" authorId="0">
      <text>
        <r>
          <rPr>
            <sz val="10"/>
            <rFont val="Arial"/>
            <family val="2"/>
          </rPr>
          <t xml:space="preserve">Filled by the document reader from: The statement: "Statement date" / "Statement period to" / "Valuation date" / "As at". Blank = not on the statement / no statement.</t>
        </r>
      </text>
    </comment>
    <comment ref="C16" authorId="0">
      <text>
        <r>
          <rPr>
            <sz val="10"/>
            <rFont val="Arial"/>
            <family val="2"/>
          </rPr>
          <t xml:space="preserve">Default: €300</t>
        </r>
      </text>
    </comment>
    <comment ref="C17" authorId="0">
      <text>
        <r>
          <rPr>
            <sz val="10"/>
            <rFont val="Arial"/>
            <family val="2"/>
          </rPr>
          <t xml:space="preserve">Default: 15</t>
        </r>
      </text>
    </comment>
    <comment ref="C18" authorId="0">
      <text>
        <r>
          <rPr>
            <sz val="10"/>
            <rFont val="Arial"/>
            <family val="2"/>
          </rPr>
          <t xml:space="preserve">Suggested: 5%</t>
        </r>
      </text>
    </comment>
    <comment ref="C19" authorId="0">
      <text>
        <r>
          <rPr>
            <sz val="10"/>
            <rFont val="Arial"/>
            <family val="2"/>
          </rPr>
          <t xml:space="preserve">Suggested: 1%</t>
        </r>
      </text>
    </comment>
    <comment ref="C20" authorId="0">
      <text>
        <r>
          <rPr>
            <sz val="10"/>
            <rFont val="Arial"/>
            <family val="2"/>
          </rPr>
          <t xml:space="preserve">Default: No</t>
        </r>
      </text>
    </comment>
  </commentList>
</comments>
</file>

<file path=xl/comments20.xml><?xml version="1.0" encoding="utf-8"?>
<comments xmlns="http://schemas.openxmlformats.org/spreadsheetml/2006/main" xmlns:xdr="http://schemas.openxmlformats.org/drawingml/2006/spreadsheetDrawing">
  <authors>
    <author>Unknown Author</author>
  </authors>
  <commentList>
    <comment ref="C7" authorId="0">
      <text>
        <r>
          <rPr>
            <sz val="10"/>
            <rFont val="Arial"/>
            <family val="2"/>
          </rPr>
          <t xml:space="preserve">Filled by the document reader from: Investment statement: "Total value" / "Portfolio value" / "Valuation" / "Market value" / "Policy value". Blank = not on the statement / no statement.</t>
        </r>
      </text>
    </comment>
    <comment ref="C8" authorId="0">
      <text>
        <r>
          <rPr>
            <sz val="10"/>
            <rFont val="Arial"/>
            <family val="2"/>
          </rPr>
          <t xml:space="preserve">Filled by the document reader from: Investment statement: "Annual management charge (AMC)" / "Ongoing charges figure (OCF)" / "Total annual charges". Blank = not on the statement / no statement.</t>
        </r>
      </text>
    </comment>
    <comment ref="C9" authorId="0">
      <text>
        <r>
          <rPr>
            <sz val="10"/>
            <rFont val="Arial"/>
            <family val="2"/>
          </rPr>
          <t xml:space="preserve">Filled by the document reader from: The statement: "Statement date" / "Statement period to" / "Valuation date" / "As at". Blank = not on the statement / no statement.</t>
        </r>
      </text>
    </comment>
    <comment ref="C12" authorId="0">
      <text>
        <r>
          <rPr>
            <sz val="10"/>
            <rFont val="Arial"/>
            <family val="2"/>
          </rPr>
          <t xml:space="preserve">Default: €50,000 · pre-filled from Your finances / statement: investments</t>
        </r>
      </text>
    </comment>
    <comment ref="C13" authorId="0">
      <text>
        <r>
          <rPr>
            <sz val="10"/>
            <rFont val="Arial"/>
            <family val="2"/>
          </rPr>
          <t xml:space="preserve">Default: 20</t>
        </r>
      </text>
    </comment>
    <comment ref="C14" authorId="0">
      <text>
        <r>
          <rPr>
            <sz val="10"/>
            <rFont val="Arial"/>
            <family val="2"/>
          </rPr>
          <t xml:space="preserve">Suggested: 5%</t>
        </r>
      </text>
    </comment>
    <comment ref="C15" authorId="0">
      <text>
        <r>
          <rPr>
            <sz val="10"/>
            <rFont val="Arial"/>
            <family val="2"/>
          </rPr>
          <t xml:space="preserve">Suggested: 0.5%</t>
        </r>
      </text>
    </comment>
    <comment ref="C16" authorId="0">
      <text>
        <r>
          <rPr>
            <sz val="10"/>
            <rFont val="Arial"/>
            <family val="2"/>
          </rPr>
          <t xml:space="preserve">Suggested: 1.5%</t>
        </r>
      </text>
    </comment>
  </commentList>
</comments>
</file>

<file path=xl/comments21.xml><?xml version="1.0" encoding="utf-8"?>
<comments xmlns="http://schemas.openxmlformats.org/spreadsheetml/2006/main" xmlns:xdr="http://schemas.openxmlformats.org/drawingml/2006/spreadsheetDrawing">
  <authors>
    <author>Unknown Author</author>
  </authors>
  <commentList>
    <comment ref="C7" authorId="0">
      <text>
        <r>
          <rPr>
            <sz val="10"/>
            <rFont val="Arial"/>
            <family val="2"/>
          </rPr>
          <t xml:space="preserve">Filled by the document reader from: Investment statement: "Total value" / "Portfolio value" / "Valuation" / "Market value" / "Policy value". Blank = not on the statement / no statement.</t>
        </r>
      </text>
    </comment>
    <comment ref="C8" authorId="0">
      <text>
        <r>
          <rPr>
            <sz val="10"/>
            <rFont val="Arial"/>
            <family val="2"/>
          </rPr>
          <t xml:space="preserve">Filled by the document reader from: Investment statement: "Asset allocation" — "Equities" / "Shares". Blank = not on the statement / no statement.</t>
        </r>
      </text>
    </comment>
    <comment ref="C9" authorId="0">
      <text>
        <r>
          <rPr>
            <sz val="10"/>
            <rFont val="Arial"/>
            <family val="2"/>
          </rPr>
          <t xml:space="preserve">Filled by the document reader from: The statement: "Statement date" / "Statement period to" / "Valuation date" / "As at". Blank = not on the statement / no statement.</t>
        </r>
      </text>
    </comment>
    <comment ref="C12" authorId="0">
      <text>
        <r>
          <rPr>
            <sz val="10"/>
            <rFont val="Arial"/>
            <family val="2"/>
          </rPr>
          <t xml:space="preserve">Default: €20,000 · pre-filled from Your finances / statement: investments</t>
        </r>
      </text>
    </comment>
    <comment ref="C13" authorId="0">
      <text>
        <r>
          <rPr>
            <sz val="10"/>
            <rFont val="Arial"/>
            <family val="2"/>
          </rPr>
          <t xml:space="preserve">Default: 10</t>
        </r>
      </text>
    </comment>
    <comment ref="C14" authorId="0">
      <text>
        <r>
          <rPr>
            <sz val="10"/>
            <rFont val="Arial"/>
            <family val="2"/>
          </rPr>
          <t xml:space="preserve">Default: 2</t>
        </r>
      </text>
    </comment>
    <comment ref="C15" authorId="0">
      <text>
        <r>
          <rPr>
            <sz val="10"/>
            <rFont val="Arial"/>
            <family val="2"/>
          </rPr>
          <t xml:space="preserve">Suggested: 2%</t>
        </r>
      </text>
    </comment>
    <comment ref="C16" authorId="0">
      <text>
        <r>
          <rPr>
            <sz val="10"/>
            <rFont val="Arial"/>
            <family val="2"/>
          </rPr>
          <t xml:space="preserve">Suggested: 4%</t>
        </r>
      </text>
    </comment>
    <comment ref="C17" authorId="0">
      <text>
        <r>
          <rPr>
            <sz val="10"/>
            <rFont val="Arial"/>
            <family val="2"/>
          </rPr>
          <t xml:space="preserve">Suggested: 6%</t>
        </r>
      </text>
    </comment>
    <comment ref="C18" authorId="0">
      <text>
        <r>
          <rPr>
            <sz val="10"/>
            <rFont val="Arial"/>
            <family val="2"/>
          </rPr>
          <t xml:space="preserve">Suggested: 5%</t>
        </r>
      </text>
    </comment>
    <comment ref="C19" authorId="0">
      <text>
        <r>
          <rPr>
            <sz val="10"/>
            <rFont val="Arial"/>
            <family val="2"/>
          </rPr>
          <t xml:space="preserve">Suggested: 10%</t>
        </r>
      </text>
    </comment>
    <comment ref="C20" authorId="0">
      <text>
        <r>
          <rPr>
            <sz val="10"/>
            <rFont val="Arial"/>
            <family val="2"/>
          </rPr>
          <t xml:space="preserve">Suggested: 16%</t>
        </r>
      </text>
    </comment>
  </commentList>
</comments>
</file>

<file path=xl/comments22.xml><?xml version="1.0" encoding="utf-8"?>
<comments xmlns="http://schemas.openxmlformats.org/spreadsheetml/2006/main" xmlns:xdr="http://schemas.openxmlformats.org/drawingml/2006/spreadsheetDrawing">
  <authors>
    <author>Unknown Author</author>
  </authors>
  <commentList>
    <comment ref="C7" authorId="0">
      <text>
        <r>
          <rPr>
            <sz val="10"/>
            <rFont val="Arial"/>
            <family val="2"/>
          </rPr>
          <t xml:space="preserve">Filled by the document reader from: Mortgage statement: "Outstanding balance" / "Balance outstanding" / "Amount outstanding" / "Closing balance". Blank = not on the statement / no statement.</t>
        </r>
      </text>
    </comment>
    <comment ref="C8" authorId="0">
      <text>
        <r>
          <rPr>
            <sz val="10"/>
            <rFont val="Arial"/>
            <family val="2"/>
          </rPr>
          <t xml:space="preserve">Filled by the document reader from: The statement: "Statement date" / "Statement period to" / "Valuation date" / "As at". Blank = not on the statement / no statement.</t>
        </r>
      </text>
    </comment>
    <comment ref="C11" authorId="0">
      <text>
        <r>
          <rPr>
            <sz val="10"/>
            <rFont val="Arial"/>
            <family val="2"/>
          </rPr>
          <t xml:space="preserve">Default: €60,000 · pre-filled from Your finances: income</t>
        </r>
      </text>
    </comment>
    <comment ref="C12" authorId="0">
      <text>
        <r>
          <rPr>
            <sz val="10"/>
            <rFont val="Arial"/>
            <family val="2"/>
          </rPr>
          <t xml:space="preserve">Suggested: 15</t>
        </r>
      </text>
    </comment>
    <comment ref="C13" authorId="0">
      <text>
        <r>
          <rPr>
            <sz val="10"/>
            <rFont val="Arial"/>
            <family val="2"/>
          </rPr>
          <t xml:space="preserve">Suggested: 60%</t>
        </r>
      </text>
    </comment>
    <comment ref="C14" authorId="0">
      <text>
        <r>
          <rPr>
            <sz val="10"/>
            <rFont val="Arial"/>
            <family val="2"/>
          </rPr>
          <t xml:space="preserve">Default: €250,000 · pre-filled from Your finances: mortgage balance</t>
        </r>
      </text>
    </comment>
    <comment ref="C15" authorId="0">
      <text>
        <r>
          <rPr>
            <sz val="10"/>
            <rFont val="Arial"/>
            <family val="2"/>
          </rPr>
          <t xml:space="preserve">Default: Yes</t>
        </r>
      </text>
    </comment>
    <comment ref="C16" authorId="0">
      <text>
        <r>
          <rPr>
            <sz val="10"/>
            <rFont val="Arial"/>
            <family val="2"/>
          </rPr>
          <t xml:space="preserve">Default: €10,000 · pre-filled from Your finances: debts</t>
        </r>
      </text>
    </comment>
    <comment ref="C17" authorId="0">
      <text>
        <r>
          <rPr>
            <sz val="10"/>
            <rFont val="Arial"/>
            <family val="2"/>
          </rPr>
          <t xml:space="preserve">Default: €20,000 · pre-filled from Your finances: cash + investments</t>
        </r>
      </text>
    </comment>
    <comment ref="C18" authorId="0">
      <text>
        <r>
          <rPr>
            <sz val="10"/>
            <rFont val="Arial"/>
            <family val="2"/>
          </rPr>
          <t xml:space="preserve">Default: €100,000</t>
        </r>
      </text>
    </comment>
    <comment ref="C19" authorId="0">
      <text>
        <r>
          <rPr>
            <sz val="10"/>
            <rFont val="Arial"/>
            <family val="2"/>
          </rPr>
          <t xml:space="preserve">Default: €259.50</t>
        </r>
      </text>
    </comment>
  </commentList>
</comments>
</file>

<file path=xl/comments23.xml><?xml version="1.0" encoding="utf-8"?>
<comments xmlns="http://schemas.openxmlformats.org/spreadsheetml/2006/main" xmlns:xdr="http://schemas.openxmlformats.org/drawingml/2006/spreadsheetDrawing">
  <authors>
    <author>Unknown Author</author>
  </authors>
  <commentList>
    <comment ref="C6" authorId="0">
      <text>
        <r>
          <rPr>
            <sz val="10"/>
            <rFont val="Arial"/>
            <family val="2"/>
          </rPr>
          <t xml:space="preserve">Default: €2,500 · pre-filled from Your finances: costs + mortgage + debt repayments</t>
        </r>
      </text>
    </comment>
    <comment ref="C7" authorId="0">
      <text>
        <r>
          <rPr>
            <sz val="10"/>
            <rFont val="Arial"/>
            <family val="2"/>
          </rPr>
          <t xml:space="preserve">Default: 3</t>
        </r>
      </text>
    </comment>
    <comment ref="C8" authorId="0">
      <text>
        <r>
          <rPr>
            <sz val="10"/>
            <rFont val="Arial"/>
            <family val="2"/>
          </rPr>
          <t xml:space="preserve">Default: €8,000 · pre-filled from Your finances: cash</t>
        </r>
      </text>
    </comment>
    <comment ref="C9" authorId="0">
      <text>
        <r>
          <rPr>
            <sz val="10"/>
            <rFont val="Arial"/>
            <family val="2"/>
          </rPr>
          <t xml:space="preserve">Default: €60,000 · pre-filled from Your finances: income</t>
        </r>
      </text>
    </comment>
    <comment ref="C10" authorId="0">
      <text>
        <r>
          <rPr>
            <sz val="10"/>
            <rFont val="Arial"/>
            <family val="2"/>
          </rPr>
          <t xml:space="preserve">Default: €254</t>
        </r>
      </text>
    </comment>
  </commentList>
</comments>
</file>

<file path=xl/comments24.xml><?xml version="1.0" encoding="utf-8"?>
<comments xmlns="http://schemas.openxmlformats.org/spreadsheetml/2006/main" xmlns:xdr="http://schemas.openxmlformats.org/drawingml/2006/spreadsheetDrawing">
  <authors>
    <author>Unknown Author</author>
  </authors>
  <commentList>
    <comment ref="C7" authorId="0">
      <text>
        <r>
          <rPr>
            <sz val="10"/>
            <rFont val="Arial"/>
            <family val="2"/>
          </rPr>
          <t xml:space="preserve">Filled by the document reader from: Mortgage statement: "Outstanding balance" / "Balance outstanding" / "Amount outstanding" / "Closing balance". Blank = not on the statement / no statement.</t>
        </r>
      </text>
    </comment>
    <comment ref="C8" authorId="0">
      <text>
        <r>
          <rPr>
            <sz val="10"/>
            <rFont val="Arial"/>
            <family val="2"/>
          </rPr>
          <t xml:space="preserve">Filled by the document reader from: Mortgage statement: "Interest rate" / "Current rate" / "Rate applied" / "Variable rate" / "Fixed rate". Blank = not on the statement / no statement.</t>
        </r>
      </text>
    </comment>
    <comment ref="C9" authorId="0">
      <text>
        <r>
          <rPr>
            <sz val="10"/>
            <rFont val="Arial"/>
            <family val="2"/>
          </rPr>
          <t xml:space="preserve">Filled by the document reader from: Mortgage statement: "Remaining term" / "Term remaining" / "Years remaining" (convert months to years). Blank = not on the statement / no statement.</t>
        </r>
      </text>
    </comment>
    <comment ref="C10" authorId="0">
      <text>
        <r>
          <rPr>
            <sz val="10"/>
            <rFont val="Arial"/>
            <family val="2"/>
          </rPr>
          <t xml:space="preserve">Filled by the document reader from: Mortgage statement: "Monthly repayment" / "Monthly instalment" / "Repayment amount". Blank = not on the statement / no statement.</t>
        </r>
      </text>
    </comment>
    <comment ref="C11" authorId="0">
      <text>
        <r>
          <rPr>
            <sz val="10"/>
            <rFont val="Arial"/>
            <family val="2"/>
          </rPr>
          <t xml:space="preserve">Filled by the document reader from: The statement: "Statement date" / "Statement period to" / "Valuation date" / "As at". Blank = not on the statement / no statement.</t>
        </r>
      </text>
    </comment>
    <comment ref="C14" authorId="0">
      <text>
        <r>
          <rPr>
            <sz val="10"/>
            <rFont val="Arial"/>
            <family val="2"/>
          </rPr>
          <t xml:space="preserve">Default: €250,000 · pre-filled from Your finances / statement: balance</t>
        </r>
      </text>
    </comment>
    <comment ref="C15" authorId="0">
      <text>
        <r>
          <rPr>
            <sz val="10"/>
            <rFont val="Arial"/>
            <family val="2"/>
          </rPr>
          <t xml:space="preserve">Suggested: 3.75% · pre-filled from Your finances / statement: rate</t>
        </r>
      </text>
    </comment>
    <comment ref="C16" authorId="0">
      <text>
        <r>
          <rPr>
            <sz val="10"/>
            <rFont val="Arial"/>
            <family val="2"/>
          </rPr>
          <t xml:space="preserve">Default: 25 · pre-filled from Years left (25 if not given)</t>
        </r>
      </text>
    </comment>
    <comment ref="C17" authorId="0">
      <text>
        <r>
          <rPr>
            <sz val="10"/>
            <rFont val="Arial"/>
            <family val="2"/>
          </rPr>
          <t xml:space="preserve">Default: €0 · pre-filled from Your finances / statement: stated repayment</t>
        </r>
      </text>
    </comment>
  </commentList>
</comments>
</file>

<file path=xl/comments25.xml><?xml version="1.0" encoding="utf-8"?>
<comments xmlns="http://schemas.openxmlformats.org/spreadsheetml/2006/main" xmlns:xdr="http://schemas.openxmlformats.org/drawingml/2006/spreadsheetDrawing">
  <authors>
    <author>Unknown Author</author>
  </authors>
  <commentList>
    <comment ref="C7" authorId="0">
      <text>
        <r>
          <rPr>
            <sz val="10"/>
            <rFont val="Arial"/>
            <family val="2"/>
          </rPr>
          <t xml:space="preserve">Filled by the document reader from: Mortgage statement: "Outstanding balance" / "Balance outstanding" / "Amount outstanding" / "Closing balance". Blank = not on the statement / no statement.</t>
        </r>
      </text>
    </comment>
    <comment ref="C8" authorId="0">
      <text>
        <r>
          <rPr>
            <sz val="10"/>
            <rFont val="Arial"/>
            <family val="2"/>
          </rPr>
          <t xml:space="preserve">Filled by the document reader from: Property valuation / mortgage statement: "Valuation" / "Market value" / "Property value". Blank = not on the statement / no statement.</t>
        </r>
      </text>
    </comment>
    <comment ref="C9" authorId="0">
      <text>
        <r>
          <rPr>
            <sz val="10"/>
            <rFont val="Arial"/>
            <family val="2"/>
          </rPr>
          <t xml:space="preserve">Filled by the document reader from: Pension statement: "Current fund value" / "Value of your fund" / "Transfer value" / "Total fund value". Blank = not on the statement / no statement.</t>
        </r>
      </text>
    </comment>
    <comment ref="C10" authorId="0">
      <text>
        <r>
          <rPr>
            <sz val="10"/>
            <rFont val="Arial"/>
            <family val="2"/>
          </rPr>
          <t xml:space="preserve">Filled by the document reader from: Investment statement: "Total value" / "Portfolio value" / "Valuation" / "Market value" / "Policy value". Blank = not on the statement / no statement.</t>
        </r>
      </text>
    </comment>
    <comment ref="C13" authorId="0">
      <text>
        <r>
          <rPr>
            <sz val="10"/>
            <rFont val="Arial"/>
            <family val="2"/>
          </rPr>
          <t xml:space="preserve">Default: €15,000 · pre-filled from Your finances: cash</t>
        </r>
      </text>
    </comment>
    <comment ref="C14" authorId="0">
      <text>
        <r>
          <rPr>
            <sz val="10"/>
            <rFont val="Arial"/>
            <family val="2"/>
          </rPr>
          <t xml:space="preserve">Default: €10,000 · pre-filled from Your finances: investments</t>
        </r>
      </text>
    </comment>
    <comment ref="C15" authorId="0">
      <text>
        <r>
          <rPr>
            <sz val="10"/>
            <rFont val="Arial"/>
            <family val="2"/>
          </rPr>
          <t xml:space="preserve">Default: €60,000 · pre-filled from Your finances: pension</t>
        </r>
      </text>
    </comment>
    <comment ref="C16" authorId="0">
      <text>
        <r>
          <rPr>
            <sz val="10"/>
            <rFont val="Arial"/>
            <family val="2"/>
          </rPr>
          <t xml:space="preserve">Default: €350,000 · pre-filled from Your finances: home + other property</t>
        </r>
      </text>
    </comment>
    <comment ref="C17" authorId="0">
      <text>
        <r>
          <rPr>
            <sz val="10"/>
            <rFont val="Arial"/>
            <family val="2"/>
          </rPr>
          <t xml:space="preserve">Default: €250,000 · pre-filled from Your finances: mortgage balance</t>
        </r>
      </text>
    </comment>
    <comment ref="C18" authorId="0">
      <text>
        <r>
          <rPr>
            <sz val="10"/>
            <rFont val="Arial"/>
            <family val="2"/>
          </rPr>
          <t xml:space="preserve">Default: €8,000 · pre-filled from Your finances: debts</t>
        </r>
      </text>
    </comment>
  </commentList>
</comments>
</file>

<file path=xl/comments26.xml><?xml version="1.0" encoding="utf-8"?>
<comments xmlns="http://schemas.openxmlformats.org/spreadsheetml/2006/main" xmlns:xdr="http://schemas.openxmlformats.org/drawingml/2006/spreadsheetDrawing">
  <authors>
    <author>Unknown Author</author>
  </authors>
  <commentList>
    <comment ref="C6" authorId="0">
      <text>
        <r>
          <rPr>
            <sz val="10"/>
            <rFont val="Arial"/>
            <family val="2"/>
          </rPr>
          <t xml:space="preserve">Starts blank: the client chooses.</t>
        </r>
      </text>
    </comment>
    <comment ref="C7" authorId="0">
      <text>
        <r>
          <rPr>
            <sz val="10"/>
            <rFont val="Arial"/>
            <family val="2"/>
          </rPr>
          <t xml:space="preserve">Default: €2,000 · pre-filled from Your finances: costs + one-offs ÷ 12 + mortgage</t>
        </r>
      </text>
    </comment>
    <comment ref="C8" authorId="0">
      <text>
        <r>
          <rPr>
            <sz val="10"/>
            <rFont val="Arial"/>
            <family val="2"/>
          </rPr>
          <t xml:space="preserve">Default: €800</t>
        </r>
      </text>
    </comment>
    <comment ref="C9" authorId="0">
      <text>
        <r>
          <rPr>
            <sz val="10"/>
            <rFont val="Arial"/>
            <family val="2"/>
          </rPr>
          <t xml:space="preserve">Default: €200 · pre-filled from Your finances: debt repayments</t>
        </r>
      </text>
    </comment>
  </commentList>
</comments>
</file>

<file path=xl/comments27.xml><?xml version="1.0" encoding="utf-8"?>
<comments xmlns="http://schemas.openxmlformats.org/spreadsheetml/2006/main" xmlns:xdr="http://schemas.openxmlformats.org/drawingml/2006/spreadsheetDrawing">
  <authors>
    <author>Unknown Author</author>
  </authors>
  <commentList>
    <comment ref="C6" authorId="0">
      <text>
        <r>
          <rPr>
            <sz val="10"/>
            <rFont val="Arial"/>
            <family val="2"/>
          </rPr>
          <t xml:space="preserve">Starts blank: the client chooses.</t>
        </r>
      </text>
    </comment>
    <comment ref="C7" authorId="0">
      <text>
        <r>
          <rPr>
            <sz val="10"/>
            <rFont val="Arial"/>
            <family val="2"/>
          </rPr>
          <t xml:space="preserve">Suggested: 50%</t>
        </r>
      </text>
    </comment>
    <comment ref="C8" authorId="0">
      <text>
        <r>
          <rPr>
            <sz val="10"/>
            <rFont val="Arial"/>
            <family val="2"/>
          </rPr>
          <t xml:space="preserve">Suggested: 30%</t>
        </r>
      </text>
    </comment>
    <comment ref="C9" authorId="0">
      <text>
        <r>
          <rPr>
            <sz val="10"/>
            <rFont val="Arial"/>
            <family val="2"/>
          </rPr>
          <t xml:space="preserve">Suggested: 20%</t>
        </r>
      </text>
    </comment>
  </commentList>
</comments>
</file>

<file path=xl/comments28.xml><?xml version="1.0" encoding="utf-8"?>
<comments xmlns="http://schemas.openxmlformats.org/spreadsheetml/2006/main" xmlns:xdr="http://schemas.openxmlformats.org/drawingml/2006/spreadsheetDrawing">
  <authors>
    <author>Unknown Author</author>
  </authors>
  <commentList>
    <comment ref="C6" authorId="0">
      <text>
        <r>
          <rPr>
            <sz val="10"/>
            <rFont val="Arial"/>
            <family val="2"/>
          </rPr>
          <t xml:space="preserve">Default: €5,000 · pre-filled from Your finances: the debt that takes longest to clear</t>
        </r>
      </text>
    </comment>
    <comment ref="C7" authorId="0">
      <text>
        <r>
          <rPr>
            <sz val="10"/>
            <rFont val="Arial"/>
            <family val="2"/>
          </rPr>
          <t xml:space="preserve">Suggested: 20% · pre-filled from Your finances: that debt's rate (else 20% card / 8% loan)</t>
        </r>
      </text>
    </comment>
    <comment ref="C8" authorId="0">
      <text>
        <r>
          <rPr>
            <sz val="10"/>
            <rFont val="Arial"/>
            <family val="2"/>
          </rPr>
          <t xml:space="preserve">Default: €250 · pre-filled from Your finances: that debt's repayment</t>
        </r>
      </text>
    </comment>
    <comment ref="C9" authorId="0">
      <text>
        <r>
          <rPr>
            <sz val="10"/>
            <rFont val="Arial"/>
            <family val="2"/>
          </rPr>
          <t xml:space="preserve">Default: €0</t>
        </r>
      </text>
    </comment>
  </commentList>
</comments>
</file>

<file path=xl/comments29.xml><?xml version="1.0" encoding="utf-8"?>
<comments xmlns="http://schemas.openxmlformats.org/spreadsheetml/2006/main" xmlns:xdr="http://schemas.openxmlformats.org/drawingml/2006/spreadsheetDrawing">
  <authors>
    <author>Unknown Author</author>
  </authors>
  <commentList>
    <comment ref="C6" authorId="0">
      <text>
        <r>
          <rPr>
            <sz val="10"/>
            <rFont val="Arial"/>
            <family val="2"/>
          </rPr>
          <t xml:space="preserve">Default: €15,000</t>
        </r>
      </text>
    </comment>
    <comment ref="C7" authorId="0">
      <text>
        <r>
          <rPr>
            <sz val="10"/>
            <rFont val="Arial"/>
            <family val="2"/>
          </rPr>
          <t xml:space="preserve">Suggested: 8%</t>
        </r>
      </text>
    </comment>
    <comment ref="C8" authorId="0">
      <text>
        <r>
          <rPr>
            <sz val="10"/>
            <rFont val="Arial"/>
            <family val="2"/>
          </rPr>
          <t xml:space="preserve">Default: 5</t>
        </r>
      </text>
    </comment>
  </commentList>
</comments>
</file>

<file path=xl/comments30.xml><?xml version="1.0" encoding="utf-8"?>
<comments xmlns="http://schemas.openxmlformats.org/spreadsheetml/2006/main" xmlns:xdr="http://schemas.openxmlformats.org/drawingml/2006/spreadsheetDrawing">
  <authors>
    <author>Unknown Author</author>
  </authors>
  <commentList>
    <comment ref="C5" authorId="0">
      <text>
        <r>
          <rPr>
            <sz val="10"/>
            <rFont val="Arial"/>
            <family val="2"/>
          </rPr>
          <t xml:space="preserve">Default: Single</t>
        </r>
      </text>
    </comment>
    <comment ref="C6" authorId="0">
      <text>
        <r>
          <rPr>
            <sz val="10"/>
            <rFont val="Arial"/>
            <family val="2"/>
          </rPr>
          <t xml:space="preserve">Default: €60,000</t>
        </r>
      </text>
    </comment>
    <comment ref="C7" authorId="0">
      <text>
        <r>
          <rPr>
            <sz val="10"/>
            <rFont val="Arial"/>
            <family val="2"/>
          </rPr>
          <t xml:space="preserve">Default: €0</t>
        </r>
      </text>
    </comment>
    <comment ref="C8" authorId="0">
      <text>
        <r>
          <rPr>
            <sz val="10"/>
            <rFont val="Arial"/>
            <family val="2"/>
          </rPr>
          <t xml:space="preserve">Default: No</t>
        </r>
      </text>
    </comment>
    <comment ref="C9" authorId="0">
      <text>
        <r>
          <rPr>
            <sz val="10"/>
            <rFont val="Arial"/>
            <family val="2"/>
          </rPr>
          <t xml:space="preserve">Default: No</t>
        </r>
      </text>
    </comment>
    <comment ref="C10" authorId="0">
      <text>
        <r>
          <rPr>
            <sz val="10"/>
            <rFont val="Arial"/>
            <family val="2"/>
          </rPr>
          <t xml:space="preserve">Default: From 1 Oct 2026</t>
        </r>
      </text>
    </comment>
  </commentList>
</comments>
</file>

<file path=xl/sharedStrings.xml><?xml version="1.0" encoding="utf-8"?>
<sst xmlns="http://schemas.openxmlformats.org/spreadsheetml/2006/main" count="3627" uniqueCount="1679">
  <si>
    <t xml:space="preserve">LifeGoals calculators</t>
  </si>
  <si>
    <t xml:space="preserve">Version 2.0 · 2 Oct 2026 · built from LifeGoals-Customer-Journey-Prototype.html (CALCS), corrected per the independent accuracy audit</t>
  </si>
  <si>
    <t xml:space="preserve">How to use</t>
  </si>
  <si>
    <t xml:space="preserve">• Open a calculator from the list below. Change the yellow cells only (blue text): everything else updates on its own.</t>
  </si>
  <si>
    <t xml:space="preserve">• Each input cell shows its unit and allowed range when you click it, and refuses values outside it. The default is in the cell note and at the far right.</t>
  </si>
  <si>
    <t xml:space="preserve">• Inputs marked "Suggested · change if you like" are judgement choices (growth, fees, pay rises, emergency months, retirement multiple, rates …). They are pre-filled with the audit's suggestion and the guidance shows when you click the cell.</t>
  </si>
  <si>
    <t xml:space="preserve">• Facts and law (tax bands, State rates, Central Bank rules, stamp duty, lump-sum bands …) are on the Assumptions sheet, the Irish rules register (Irish rules 2026 · checked 2 Oct 2026). Take-home pay is worked out on the Tax engine sheet, which C25 and C26 use.</t>
  </si>
  <si>
    <t xml:space="preserve">• Results are in the green box, each with its formula written out beside it. Formulas use names (e.g. =Amount*(1+Inflation)^Years) so they read like the maths.</t>
  </si>
  <si>
    <t xml:space="preserve">• Inflation is the client's own choice: the yellow "Inflation you expect" cell on each calculator that uses it starts blank. While it is blank, results that need it say "Enter your inflation rate"; 0% is a real choice (no adjustment for prices).</t>
  </si>
  <si>
    <t xml:space="preserve">• Statements: grey-blue cells under "FROM YOUR STATEMENT" are filled by the document reader. The FIGURE USED box applies the rule statement figure if present, else your typed figure, and says which was used. See the "Document reader spec" sheet.</t>
  </si>
  <si>
    <t xml:space="preserve">• The workbook recalculates automatically, including when it is opened.</t>
  </si>
  <si>
    <t xml:space="preserve">Colour legend</t>
  </si>
  <si>
    <t xml:space="preserve">• Yellow fill, blue text = an input you type.</t>
  </si>
  <si>
    <t xml:space="preserve">• Grey-blue fill, blue text = a figure the document reader fills from a statement (blank when there is none).</t>
  </si>
  <si>
    <t xml:space="preserve">• Green box, bold = a result.</t>
  </si>
  <si>
    <t xml:space="preserve">• Grey box = a working figure behind a result.</t>
  </si>
  <si>
    <t xml:space="preserve">• Grey text = defaults, ranges and notes.</t>
  </si>
  <si>
    <t xml:space="preserve">• Orange = a warning message shown to the customer.</t>
  </si>
  <si>
    <t xml:space="preserve">Numbering</t>
  </si>
  <si>
    <t xml:space="preserve">• C01–C28 in the order of the prototype's CALCS array; the same numbers are used in the UI/UX spec.</t>
  </si>
  <si>
    <t xml:space="preserve">Out of scope</t>
  </si>
  <si>
    <t xml:space="preserve">• The main plan cashflow / goal-funding engine (project()) is documented separately.</t>
  </si>
  <si>
    <t xml:space="preserve">Calculators</t>
  </si>
  <si>
    <t xml:space="preserve">No.</t>
  </si>
  <si>
    <t xml:space="preserve">Calculator (click to open)</t>
  </si>
  <si>
    <t xml:space="preserve">Question it answers</t>
  </si>
  <si>
    <t xml:space="preserve">Category</t>
  </si>
  <si>
    <t xml:space="preserve">C01</t>
  </si>
  <si>
    <t xml:space="preserve">What home price could be within reach?</t>
  </si>
  <si>
    <t xml:space="preserve">Home &amp; Mortgage</t>
  </si>
  <si>
    <t xml:space="preserve">C02</t>
  </si>
  <si>
    <t xml:space="preserve">What would my monthly repayment be?</t>
  </si>
  <si>
    <t xml:space="preserve">C03</t>
  </si>
  <si>
    <t xml:space="preserve">How long until I have my deposit?</t>
  </si>
  <si>
    <t xml:space="preserve">C04</t>
  </si>
  <si>
    <t xml:space="preserve">What if I paid a little extra each month?</t>
  </si>
  <si>
    <t xml:space="preserve">C05</t>
  </si>
  <si>
    <t xml:space="preserve">What if my mortgage rate changed?</t>
  </si>
  <si>
    <t xml:space="preserve">C06</t>
  </si>
  <si>
    <t xml:space="preserve">Shorter or longer term: what is the trade-off?</t>
  </si>
  <si>
    <t xml:space="preserve">C07</t>
  </si>
  <si>
    <t xml:space="preserve">How do renting and buying compare over time?</t>
  </si>
  <si>
    <t xml:space="preserve">C08</t>
  </si>
  <si>
    <t xml:space="preserve">How much a month to reach my goal?</t>
  </si>
  <si>
    <t xml:space="preserve">Savings &amp; Goals</t>
  </si>
  <si>
    <t xml:space="preserve">C09</t>
  </si>
  <si>
    <t xml:space="preserve">What could regular saving grow into?</t>
  </si>
  <si>
    <t xml:space="preserve">C10</t>
  </si>
  <si>
    <t xml:space="preserve">What could a one-off amount become?</t>
  </si>
  <si>
    <t xml:space="preserve">Investments</t>
  </si>
  <si>
    <t xml:space="preserve">C11</t>
  </si>
  <si>
    <t xml:space="preserve">How strong is my financial cushion?</t>
  </si>
  <si>
    <t xml:space="preserve">C12</t>
  </si>
  <si>
    <t xml:space="preserve">Could your current path fund the retirement you want?</t>
  </si>
  <si>
    <t xml:space="preserve">Pensions &amp; Retirement</t>
  </si>
  <si>
    <t xml:space="preserve">C13</t>
  </si>
  <si>
    <t xml:space="preserve">What difference would a small increase make?</t>
  </si>
  <si>
    <t xml:space="preserve">C14</t>
  </si>
  <si>
    <t xml:space="preserve">What could extra voluntary contributions add?</t>
  </si>
  <si>
    <t xml:space="preserve">C15</t>
  </si>
  <si>
    <t xml:space="preserve">How long could my retirement savings last?</t>
  </si>
  <si>
    <t xml:space="preserve">C16</t>
  </si>
  <si>
    <t xml:space="preserve">How do different growth rates change things?</t>
  </si>
  <si>
    <t xml:space="preserve">C17</t>
  </si>
  <si>
    <t xml:space="preserve">What is my money really worth in future?</t>
  </si>
  <si>
    <t xml:space="preserve">C18</t>
  </si>
  <si>
    <t xml:space="preserve">What could investing monthly build?</t>
  </si>
  <si>
    <t xml:space="preserve">C19</t>
  </si>
  <si>
    <t xml:space="preserve">How much do fees really cost over time?</t>
  </si>
  <si>
    <t xml:space="preserve">C20</t>
  </si>
  <si>
    <t xml:space="preserve">What range of outcomes might each style have?</t>
  </si>
  <si>
    <t xml:space="preserve">C21</t>
  </si>
  <si>
    <t xml:space="preserve">How much cover might my family need?</t>
  </si>
  <si>
    <t xml:space="preserve">Protection</t>
  </si>
  <si>
    <t xml:space="preserve">C22</t>
  </si>
  <si>
    <t xml:space="preserve">How long could I cope if I couldn't work?</t>
  </si>
  <si>
    <t xml:space="preserve">C23</t>
  </si>
  <si>
    <t xml:space="preserve">What cover would clear my mortgage?</t>
  </si>
  <si>
    <t xml:space="preserve">C24</t>
  </si>
  <si>
    <t xml:space="preserve">What am I worth, all in?</t>
  </si>
  <si>
    <t xml:space="preserve">Everyday Money</t>
  </si>
  <si>
    <t xml:space="preserve">C25</t>
  </si>
  <si>
    <t xml:space="preserve">What is left at the end of the month?</t>
  </si>
  <si>
    <t xml:space="preserve">C26</t>
  </si>
  <si>
    <t xml:space="preserve">A simple way to split your pay</t>
  </si>
  <si>
    <t xml:space="preserve">C27</t>
  </si>
  <si>
    <t xml:space="preserve">How fast can I clear my debt?</t>
  </si>
  <si>
    <t xml:space="preserve">C28</t>
  </si>
  <si>
    <t xml:space="preserve">What would a loan cost me?</t>
  </si>
  <si>
    <t xml:space="preserve">BUDGET 2027 WATCH (update after 6 Oct 2026; nothing changed in advance)</t>
  </si>
  <si>
    <t xml:space="preserve">Budget 2027 is due on Tuesday 6 October 2026 (Summer Economic Statement, 22 July 2026; €8.5bn package). Nothing below has been changed in advance. Update each constant on 6–7 Oct 2026 with its effective date, then re-run the Tax engine checks. Sources: https://kpmg.com/ie/en/insights/tax/budget-2027.html · https://www.irishpolitics.ie/budget/ (verify on gov.ie on the day).</t>
  </si>
  <si>
    <t xml:space="preserve">Constant (2026 value)</t>
  </si>
  <si>
    <t xml:space="preserve">Name(s) to update</t>
  </si>
  <si>
    <t xml:space="preserve">Watch for</t>
  </si>
  <si>
    <t xml:space="preserve">Income-tax bands (€44,000 / €48,000 / €53,000; €35,000 second-earner uplift)</t>
  </si>
  <si>
    <t xml:space="preserve">Band_Single, Band_Single_Parent, Band_Married, Band_Second_Earner_Max</t>
  </si>
  <si>
    <t xml:space="preserve">about +€2,000?</t>
  </si>
  <si>
    <t xml:space="preserve">Personal and PAYE credits (€2,000 + €2,000; €4,000 married)</t>
  </si>
  <si>
    <t xml:space="preserve">Credit_Personal_Single, Credit_Personal_Married, Credit_PAYE</t>
  </si>
  <si>
    <t xml:space="preserve">change?</t>
  </si>
  <si>
    <t xml:space="preserve">Rent, Home Carer and SPCCC credits (€1,000 / €1,950 / €1,900)</t>
  </si>
  <si>
    <t xml:space="preserve">Credit_Rent_Single, Credit_Rent_Joint, Credit_Home_Carer, Credit_SPCCC</t>
  </si>
  <si>
    <t xml:space="preserve">USC bands (€12,012 / €28,700 / €70,044) and exemption €13,000</t>
  </si>
  <si>
    <t xml:space="preserve">USC_Band_1–3, USC_Exempt</t>
  </si>
  <si>
    <t xml:space="preserve">2% band ceiling rise (minimum wage)</t>
  </si>
  <si>
    <t xml:space="preserve">PRSI path (4.35% now; 4.5% from 1 Oct 2027; 4.7% from 1 Oct 2028)</t>
  </si>
  <si>
    <t xml:space="preserve">PRSI_Rate, PRSI credit</t>
  </si>
  <si>
    <t xml:space="preserve">confirm; any PRSI-credit change</t>
  </si>
  <si>
    <t xml:space="preserve">State Pension €299.30 a week (€15,563.60)</t>
  </si>
  <si>
    <t xml:space="preserve">State_Pension_Week</t>
  </si>
  <si>
    <t xml:space="preserve">+€10 a week? (€309.30)</t>
  </si>
  <si>
    <t xml:space="preserve">Illness Benefit €254; survivor's pension €259.50 (&lt;66) / €299.30 (66+)</t>
  </si>
  <si>
    <t xml:space="preserve">Illness_Benefit_Week, Survivor_Pension_Week, Survivor_Pension_Week_66</t>
  </si>
  <si>
    <t xml:space="preserve">+€10 a week?</t>
  </si>
  <si>
    <t xml:space="preserve">Exit tax 38%, deemed disposal 8 years, DIRT 33%</t>
  </si>
  <si>
    <t xml:space="preserve">Exit_Tax, Deemed_Disposal_Years, DIRT</t>
  </si>
  <si>
    <t xml:space="preserve">funds review: further exit-tax cut / deemed-disposal change?</t>
  </si>
  <si>
    <t xml:space="preserve">Pension relief bands, €115,000 cap, lump-sum bands, SFT (€2.4m in 2027)</t>
  </si>
  <si>
    <t xml:space="preserve">Relief_Age_From/Relief_Age_Pct, Relief_Earnings_Cap, Lump_Sum_*</t>
  </si>
  <si>
    <t xml:space="preserve">Stamp duty 1% / 2% / 6%; Help to Buy €30,000; CBI 4× / 3.5× / 90%</t>
  </si>
  <si>
    <t xml:space="preserve">SD_*, LTI_FTB, LTI_SSB, LTV_Max</t>
  </si>
  <si>
    <t xml:space="preserve">Inflation "Ireland now" 3.9% (CSO HICP flash Sep 2026)</t>
  </si>
  <si>
    <t xml:space="preserve">Guidance text on each inflation input and on this sheet</t>
  </si>
  <si>
    <t xml:space="preserve">next CSO flash: end of Oct 2026</t>
  </si>
  <si>
    <t xml:space="preserve">Audit fixes applied</t>
  </si>
  <si>
    <t xml:space="preserve">Where</t>
  </si>
  <si>
    <t xml:space="preserve">Audit class</t>
  </si>
  <si>
    <t xml:space="preserve">Item</t>
  </si>
  <si>
    <t xml:space="preserve">Must</t>
  </si>
  <si>
    <t xml:space="preserve">Gap is like-for-like: target (today's money) − fund ÷ (1 + inflation)^years.</t>
  </si>
  <si>
    <t xml:space="preserve">Hand-off updates the existing retirement goal (income, age) instead of a 25× lump-sum spend.</t>
  </si>
  <si>
    <t xml:space="preserve">Hand-off is the deposit (loan × 10% ÷ 90%), not the mortgage amount.</t>
  </si>
  <si>
    <t xml:space="preserve">Hand-off is a mortgage-free (mfree) goal, not today's balance as a spend; none if it never clears.</t>
  </si>
  <si>
    <t xml:space="preserve">No "Infinity yrs" and no negative interest saved: "Not at this repayment" / "—".</t>
  </si>
  <si>
    <t xml:space="preserve">C04, C27</t>
  </si>
  <si>
    <t xml:space="preserve">Exact months by NPER (no 1,200-month loop cap); over 1,200 months shows "Over 100 years" / "Payment too low…".</t>
  </si>
  <si>
    <t xml:space="preserve">C09, C10</t>
  </si>
  <si>
    <t xml:space="preserve">Hand-off always in today's money (value ÷ (1 + inflation)^years), kind pot.</t>
  </si>
  <si>
    <t xml:space="preserve">C13, C14</t>
  </si>
  <si>
    <t xml:space="preserve">No spend goal: raise the plan's pension contribution instead.</t>
  </si>
  <si>
    <t xml:space="preserve">Hand-off in today's money, kind pot (was nominal, inflated twice).</t>
  </si>
  <si>
    <t xml:space="preserve">Style is a 1/2/3 list (no decimals, no €NaN).</t>
  </si>
  <si>
    <t xml:space="preserve">No spend goal: a protection need for the adviser.</t>
  </si>
  <si>
    <t xml:space="preserve">No goal (the plan already repays the debt); no goal when it never clears.</t>
  </si>
  <si>
    <t xml:space="preserve">C02, C05</t>
  </si>
  <si>
    <t xml:space="preserve">Should</t>
  </si>
  <si>
    <t xml:space="preserve">What-if rate floored at 0%.</t>
  </si>
  <si>
    <t xml:space="preserve">Deposit validated between 10% of the price and the price; mortgage never negative.</t>
  </si>
  <si>
    <t xml:space="preserve">C11, C22, C25</t>
  </si>
  <si>
    <t xml:space="preserve">Hand-off kinds corrected (safety pot; protection need; savings pot).</t>
  </si>
  <si>
    <t xml:space="preserve">C15, C16</t>
  </si>
  <si>
    <t xml:space="preserve">Withdrawals taken at the start of each year.</t>
  </si>
  <si>
    <t xml:space="preserve">Mortgage protection Yes/No (default Yes) and State survivor's pension (default €259.50 a week).</t>
  </si>
  <si>
    <t xml:space="preserve">Illness Benefit (€254 a week) netted off; income protection capped at 75% of income less Illness Benefit.</t>
  </si>
  <si>
    <t xml:space="preserve">Warning when the repayment does not cover the interest; no rising balances shown.</t>
  </si>
  <si>
    <t xml:space="preserve">C27, C28</t>
  </si>
  <si>
    <t xml:space="preserve">APR treated as an effective annual rate: monthly = (1 + APR)^(1/12) − 1.</t>
  </si>
  <si>
    <t xml:space="preserve">C08–C10, C17, C18</t>
  </si>
  <si>
    <t xml:space="preserve">"Before tax: DIRT 33% / exit tax 38%" note.</t>
  </si>
  <si>
    <t xml:space="preserve">Nice</t>
  </si>
  <si>
    <t xml:space="preserve">First-time buyer is Yes/No.</t>
  </si>
  <si>
    <t xml:space="preserve">C03, C15, C16 etc.</t>
  </si>
  <si>
    <t xml:space="preserve">Singular forms ("1 month", "1 year"); "You have your deposit".</t>
  </si>
  <si>
    <t xml:space="preserve">"No change" when the time saved is 0.</t>
  </si>
  <si>
    <t xml:space="preserve">"Both terms are the same" for equal terms.</t>
  </si>
  <si>
    <t xml:space="preserve">C08, C03</t>
  </si>
  <si>
    <t xml:space="preserve">Hand-off passes "already saved".</t>
  </si>
  <si>
    <t xml:space="preserve">Tax rate restricted to 20% or 40%.</t>
  </si>
  <si>
    <t xml:space="preserve">"60+ years" in every row at the end of the table.</t>
  </si>
  <si>
    <t xml:space="preserve">€0 surplus reads "Nothing left over this month".</t>
  </si>
  <si>
    <t xml:space="preserve">Assumptions</t>
  </si>
  <si>
    <t xml:space="preserve">Constants added for the fixes (DIRT, exit tax, Illness Benefit, survivor's pension); inflation reference refreshed (3.4% Aug 2026).</t>
  </si>
  <si>
    <t xml:space="preserve">Not applied (for Pooja to decide)</t>
  </si>
  <si>
    <t xml:space="preserve">Remove the placeholder "[confirm current Central Bank rules]" from the customer line (prototype copy; the workbook uses the audit's replacement wording).</t>
  </si>
  <si>
    <t xml:space="preserve">C01, C03</t>
  </si>
  <si>
    <t xml:space="preserve">Help to Buy as an optional deposit input (rules audit #62).</t>
  </si>
  <si>
    <t xml:space="preserve">Use "−" (not "-") in the rate text (prototype copy).</t>
  </si>
  <si>
    <t xml:space="preserve">House prices rising while saving (stamp duty and fees are now included).</t>
  </si>
  <si>
    <t xml:space="preserve">Local Property Tax and insurance in the cost of owning (rules audit #63).</t>
  </si>
  <si>
    <t xml:space="preserve">C08–C10, C18</t>
  </si>
  <si>
    <t xml:space="preserve">An after-tax result row (DIRT 33% / exit tax 38% with deemed disposal). Only the "before tax" note is applied.</t>
  </si>
  <si>
    <t xml:space="preserve">Hide "start later" when the term is no longer than the wait.</t>
  </si>
  <si>
    <t xml:space="preserve">Tip copy: "Often 3 to 6 months" instead of "Ideal: 6 months" (prototype copy).</t>
  </si>
  <si>
    <t xml:space="preserve">Gross up the desired income for tax (a "before tax" note is applied instead).</t>
  </si>
  <si>
    <t xml:space="preserve">Contributions rising with pay (as C12): €70,503, not €54,572, at defaults.</t>
  </si>
  <si>
    <t xml:space="preserve">ARF imputed distribution hint (4% from 61, 5% from 71, 6% over €2m).</t>
  </si>
  <si>
    <t xml:space="preserve">Treat the growth rates as median (geometric) returns.</t>
  </si>
  <si>
    <t xml:space="preserve">Discount the income need; funeral costs and CAT; a survivor's-age switch (the guidance gives the 66+ rate).</t>
  </si>
  <si>
    <t xml:space="preserve">Explain statutory sick pay (5 days) vs the employer's scheme (a short note is in How it works).</t>
  </si>
  <si>
    <t xml:space="preserve">Note joint-life / dual-life cover and the insurer's assumed reduction rate.</t>
  </si>
  <si>
    <t xml:space="preserve">C25, C26</t>
  </si>
  <si>
    <t xml:space="preserve">Round the take-home pre-fill to whole euros (prototype).</t>
  </si>
  <si>
    <t xml:space="preserve">Plan engine (HTML)</t>
  </si>
  <si>
    <t xml:space="preserve">Rules audit P1–P3</t>
  </si>
  <si>
    <t xml:space="preserve">Married pension relief and joint assessment in retirement (#29, #12, #61), PRSI and State Pension at 66+ (#22, #23), PRSI on ARF draws (#24), Class S (#25), PRSI path by year (#19), auto-enrolment (#38), partner State Pension (#42), untaxed other income (#73), age-80 supplement (#41), ARF 6% (#35): these are in the plan engine, which the Financial Planner is fixing in the prototype; not part of these calculators.</t>
  </si>
  <si>
    <t xml:space="preserve">Copy</t>
  </si>
  <si>
    <t xml:space="preserve">Fix the "29 calculators" note (there are 28).</t>
  </si>
  <si>
    <t xml:space="preserve">C01 · How much could I borrow?</t>
  </si>
  <si>
    <t xml:space="preserve">Category: Home &amp; Mortgage</t>
  </si>
  <si>
    <t xml:space="preserve">Question it answers: What home price could be within reach?</t>
  </si>
  <si>
    <t xml:space="preserve">Prototype id: borrow</t>
  </si>
  <si>
    <t xml:space="preserve">Applies the Central Bank limits (4× or 3.5× income, 90% loan-to-value) to show the most you could borrow and the home price that gives, after stamp duty and fees.</t>
  </si>
  <si>
    <t xml:space="preserve">INPUTS</t>
  </si>
  <si>
    <t xml:space="preserve">Your figure</t>
  </si>
  <si>
    <t xml:space="preserve">Unit</t>
  </si>
  <si>
    <t xml:space="preserve">Allowed</t>
  </si>
  <si>
    <t xml:space="preserve">Your gross yearly income</t>
  </si>
  <si>
    <t xml:space="preserve">€</t>
  </si>
  <si>
    <t xml:space="preserve">Allowed: €15,000 to €2,500,000 · steps of €1,000</t>
  </si>
  <si>
    <t xml:space="preserve">Default: €60,000 · pre-filled from Your finances: income</t>
  </si>
  <si>
    <t xml:space="preserve">Partner's gross yearly income</t>
  </si>
  <si>
    <t xml:space="preserve">Allowed: €0 to €2,500,000 · steps of €1,000</t>
  </si>
  <si>
    <t xml:space="preserve">Default: €0 · pre-filled from Your finances: partner's income</t>
  </si>
  <si>
    <t xml:space="preserve">Deposit saved</t>
  </si>
  <si>
    <t xml:space="preserve">Allowed: €0 to €2,000,000 · steps of €1,000</t>
  </si>
  <si>
    <t xml:space="preserve">Default: €25,000 · pre-filled from Plan: home goal's amount saved</t>
  </si>
  <si>
    <t xml:space="preserve">First-time buyer?</t>
  </si>
  <si>
    <t xml:space="preserve">Yes</t>
  </si>
  <si>
    <t xml:space="preserve">Yes / No</t>
  </si>
  <si>
    <t xml:space="preserve">Allowed: Yes or No</t>
  </si>
  <si>
    <t xml:space="preserve">Default: Yes · pre-filled from Your finances: home status (owner = No)</t>
  </si>
  <si>
    <t xml:space="preserve">Mortgage interest rate</t>
  </si>
  <si>
    <t xml:space="preserve">%</t>
  </si>
  <si>
    <t xml:space="preserve">Suggested · change if you like · Allowed: 1% to 8% · steps of 0.05%</t>
  </si>
  <si>
    <t xml:space="preserve">Suggested: 3.75%</t>
  </si>
  <si>
    <t xml:space="preserve">Mortgage term</t>
  </si>
  <si>
    <t xml:space="preserve">years</t>
  </si>
  <si>
    <t xml:space="preserve">Suggested · change if you like · Allowed: 10 to 35 · steps of 1</t>
  </si>
  <si>
    <t xml:space="preserve">Suggested: 30</t>
  </si>
  <si>
    <t xml:space="preserve">Legal and other buying fees</t>
  </si>
  <si>
    <t xml:space="preserve">Suggested · change if you like · Allowed: €0 to €10,000 · steps of €100</t>
  </si>
  <si>
    <t xml:space="preserve">Suggested: €3,000</t>
  </si>
  <si>
    <t xml:space="preserve">Years until you buy (for the plan)</t>
  </si>
  <si>
    <t xml:space="preserve">Suggested · change if you like · Allowed: 1 to 30 · steps of 1</t>
  </si>
  <si>
    <t xml:space="preserve">Suggested: 3</t>
  </si>
  <si>
    <t xml:space="preserve">What if: save extra towards the deposit</t>
  </si>
  <si>
    <t xml:space="preserve">Allowed: €0 to €500,000 · steps of €1,000</t>
  </si>
  <si>
    <t xml:space="preserve">Default: €0</t>
  </si>
  <si>
    <t xml:space="preserve">RESULTS</t>
  </si>
  <si>
    <t xml:space="preserve">Result</t>
  </si>
  <si>
    <t xml:space="preserve">Shown as</t>
  </si>
  <si>
    <t xml:space="preserve">Formula</t>
  </si>
  <si>
    <t xml:space="preserve">Homes up to about</t>
  </si>
  <si>
    <t xml:space="preserve">ƒx  =MIN(Price_By_Deposit,Price_By_Income)</t>
  </si>
  <si>
    <t xml:space="preserve">Most you could borrow</t>
  </si>
  <si>
    <t xml:space="preserve">ƒx  =MIN(Borrow_By_Income,LTV_Max*Home_Price)</t>
  </si>
  <si>
    <t xml:space="preserve">Monthly repayment (illustrative)</t>
  </si>
  <si>
    <t xml:space="preserve">ƒx  =PMT(Interest_Rate/12,Term_Years*12,-Max_Loan)</t>
  </si>
  <si>
    <t xml:space="preserve">Stamp duty on that price (paid from your deposit)</t>
  </si>
  <si>
    <t xml:space="preserve">ƒx  =SD_Rate_1*MIN(Home_Price,SD_Band_1)+SD_Rate_2*MAX(0,MIN(Home_Price,SD_Band_2)-SD_Band_1)+SD_Rate_3*MAX(0,Home_Price-SD_Band_2)</t>
  </si>
  <si>
    <t xml:space="preserve">Borrowing allowed by income</t>
  </si>
  <si>
    <t xml:space="preserve">ƒx  =(Income+Partner_Income)*Income_Multiple</t>
  </si>
  <si>
    <t xml:space="preserve">Income multiple used</t>
  </si>
  <si>
    <t xml:space="preserve">× income</t>
  </si>
  <si>
    <t xml:space="preserve">ƒx  =IF(First_Time_Buyer="Yes",LTI_FTB,LTI_SSB)</t>
  </si>
  <si>
    <t xml:space="preserve">Your deposit (incl. what-if extra)</t>
  </si>
  <si>
    <t xml:space="preserve">ƒx  =Deposit+Extra_Deposit</t>
  </si>
  <si>
    <t xml:space="preserve">Deposit left for the price after fees</t>
  </si>
  <si>
    <t xml:space="preserve">ƒx  =MAX(0,Total_Deposit-Buying_Fees)</t>
  </si>
  <si>
    <t xml:space="preserve">Deposit + stamp duty needed for a €1m home</t>
  </si>
  <si>
    <t xml:space="preserve">ƒx  =(1-LTV_Max+SD_Rate_1)*SD_Band_1</t>
  </si>
  <si>
    <t xml:space="preserve">Deposit + stamp duty needed for a €1.5m home</t>
  </si>
  <si>
    <t xml:space="preserve">ƒx  =Cash_At_Band_1+(1-LTV_Max+SD_Rate_2)*(SD_Band_2-SD_Band_1)</t>
  </si>
  <si>
    <t xml:space="preserve">Price your deposit allows (10% deposit + stamp duty)</t>
  </si>
  <si>
    <t xml:space="preserve">ƒx  =IF(Cash_For_Price&lt;=Cash_At_Band_1,Cash_For_Price/(1-LTV_Max+SD_Rate_1),IF(Cash_For_Price&lt;=Cash_At_Band_2,SD_Band_1+(Cash_For_Price-Cash_At_Band_1)/(1-LTV_Max+SD_Rate_2),SD_Band_2+(Cash_For_Price-Cash_At_Band_2)/(1-LTV_Max+SD_Rate_3)))</t>
  </si>
  <si>
    <t xml:space="preserve">Income limit + deposit left after fees</t>
  </si>
  <si>
    <t xml:space="preserve">ƒx  =Borrow_By_Income+Cash_For_Price</t>
  </si>
  <si>
    <t xml:space="preserve">Price your income allows (loan + deposit, after stamp duty)</t>
  </si>
  <si>
    <t xml:space="preserve">ƒx  =IF(Income_Cash&lt;=(1+SD_Rate_1)*SD_Band_1,Income_Cash/(1+SD_Rate_1),IF(Income_Cash&lt;=(1+SD_Rate_1)*SD_Band_1+(1+SD_Rate_2)*(SD_Band_2-SD_Band_1),SD_Band_1+(Income_Cash-(1+SD_Rate_1)*SD_Band_1)/(1+SD_Rate_2),SD_Band_2+(Income_Cash-(1+SD_Rate_1)*SD_Band_1-(1+SD_Rate_2)*(SD_Band_2-SD_Band_1))/(1+SD_Rate_3)))</t>
  </si>
  <si>
    <t xml:space="preserve">What sets the limit</t>
  </si>
  <si>
    <t xml:space="preserve">ƒx  =IF(Price_By_Deposit&lt;Price_By_Income,"Your deposit","Your income")</t>
  </si>
  <si>
    <t xml:space="preserve">HOW IT WORKS</t>
  </si>
  <si>
    <t xml:space="preserve">• Income limit = combined gross income × 4 (first-time buyer) or × 3.5 (everyone else). The loan can also be at most 90% of the price.</t>
  </si>
  <si>
    <t xml:space="preserve">• Your deposit must pay 10% of the price, the stamp duty (1% up to €1m, 2% on €1m–€1.5m, 6% above) and the buying fees. So the price is the lower of: what the deposit allows (10% + stamp duty) and what income + deposit allow (price + stamp duty). Both are solved exactly, band by band.</t>
  </si>
  <si>
    <t xml:space="preserve">• Repayment = standard annuity PMT at rate ÷ 12 over the term.</t>
  </si>
  <si>
    <t xml:space="preserve">Edge rules and validation:</t>
  </si>
  <si>
    <t xml:space="preserve">• First-time buyer is a Yes/No choice.</t>
  </si>
  <si>
    <t xml:space="preserve">• When both limits are equal the text says the income sets the limit.</t>
  </si>
  <si>
    <t xml:space="preserve">• Lenders can lend above these limits for a small share of loans each year, so some buyers get an exception. Your lender decides.</t>
  </si>
  <si>
    <t xml:space="preserve">• At 0% interest Excel's PMT/NPER/FV give amount ÷ months, so no special case is needed in Excel; in code use payment = amount / months.</t>
  </si>
  <si>
    <t xml:space="preserve">ADD TO MY PLAN (what this calculator sends to the plan)</t>
  </si>
  <si>
    <t xml:space="preserve">Goal</t>
  </si>
  <si>
    <t xml:space="preserve">ƒx  ="Buy a home (deposit goal)"</t>
  </si>
  <si>
    <t xml:space="preserve">Amount (today's money): 10% deposit + stamp duty + fees</t>
  </si>
  <si>
    <t xml:space="preserve">ƒx  =ROUND(Home_Price*Min_Deposit_Pct+Stamp_Duty+Buying_Fees,0)</t>
  </si>
  <si>
    <t xml:space="preserve">Already saved</t>
  </si>
  <si>
    <t xml:space="preserve">ƒx  =Total_Deposit</t>
  </si>
  <si>
    <t xml:space="preserve">In (years)</t>
  </si>
  <si>
    <t xml:space="preserve">ƒx  =Home_Goal_Years</t>
  </si>
  <si>
    <t xml:space="preserve">C02 · Monthly mortgage repayment</t>
  </si>
  <si>
    <t xml:space="preserve">Question it answers: What would my monthly repayment be?</t>
  </si>
  <si>
    <t xml:space="preserve">Prototype id: repayment</t>
  </si>
  <si>
    <t xml:space="preserve">Works out the monthly repayment, how long until the mortgage is paid off and the total interest; and what a rate change would do.</t>
  </si>
  <si>
    <t xml:space="preserve">FROM YOUR STATEMENT (filled automatically by the document reader)</t>
  </si>
  <si>
    <t xml:space="preserve">Document: Mortgage statement (annual statement of account) or offer letter. Blank = no statement uploaded, or the figure is not on it. Grey-blue cells are filled by the reader (you can type here to test).</t>
  </si>
  <si>
    <t xml:space="preserve">Outstanding balance</t>
  </si>
  <si>
    <t xml:space="preserve">Allowed: €0 to €10,000,000</t>
  </si>
  <si>
    <t xml:space="preserve">Reader field: see cell note</t>
  </si>
  <si>
    <t xml:space="preserve">Interest rate</t>
  </si>
  <si>
    <t xml:space="preserve">Allowed: 0% to 15%</t>
  </si>
  <si>
    <t xml:space="preserve">Term remaining</t>
  </si>
  <si>
    <t xml:space="preserve">Allowed: 0 to 40</t>
  </si>
  <si>
    <t xml:space="preserve">Monthly repayment</t>
  </si>
  <si>
    <t xml:space="preserve">Allowed: €0 to €100,000</t>
  </si>
  <si>
    <t xml:space="preserve">Statement date</t>
  </si>
  <si>
    <t xml:space="preserve">date</t>
  </si>
  <si>
    <t xml:space="preserve">Allowed: a date (dd/mm/yyyy)</t>
  </si>
  <si>
    <t xml:space="preserve">OR TYPE IT YOURSELF</t>
  </si>
  <si>
    <t xml:space="preserve">Mortgage amount</t>
  </si>
  <si>
    <t xml:space="preserve">Allowed: €50,000 to €10,000,000 · steps of €1,000</t>
  </si>
  <si>
    <t xml:space="preserve">Default: €300,000 · pre-filled from Your finances / mortgage statement: balance</t>
  </si>
  <si>
    <t xml:space="preserve">Suggested: 3.75% · pre-filled from Your finances / mortgage statement: rate</t>
  </si>
  <si>
    <t xml:space="preserve">Term</t>
  </si>
  <si>
    <t xml:space="preserve">Allowed: 5 to 35 · steps of 1</t>
  </si>
  <si>
    <t xml:space="preserve">Default: 30 · pre-filled from Years left (25 if not given)</t>
  </si>
  <si>
    <t xml:space="preserve">Your actual monthly repayment (optional, 0 = work it out)</t>
  </si>
  <si>
    <t xml:space="preserve">Allowed: €0 to €100,000 · steps of €1</t>
  </si>
  <si>
    <t xml:space="preserve">Default: €0 · pre-filled from Your finances / statement: stated repayment</t>
  </si>
  <si>
    <t xml:space="preserve">What if: rates change by</t>
  </si>
  <si>
    <t xml:space="preserve">Allowed: -2% to 3% · steps of 0.25%</t>
  </si>
  <si>
    <t xml:space="preserve">Default: 0%</t>
  </si>
  <si>
    <t xml:space="preserve">FIGURE USED (statement figure if present, else your figure)</t>
  </si>
  <si>
    <t xml:space="preserve">ƒx  =IF(ISBLANK(Stmt_Balance),Loan_Amount,Stmt_Balance)</t>
  </si>
  <si>
    <t xml:space="preserve">ƒx  =IF(ISBLANK(Stmt_Rate),Interest_Rate,Stmt_Rate)</t>
  </si>
  <si>
    <t xml:space="preserve">ƒx  =IF(ISBLANK(Stmt_Term),Term_Years,Stmt_Term)</t>
  </si>
  <si>
    <t xml:space="preserve">Actual monthly repayment (0 = work it out)</t>
  </si>
  <si>
    <t xml:space="preserve">ƒx  =IF(ISBLANK(Stmt_Repayment),Actual_Repayment,Stmt_Repayment)</t>
  </si>
  <si>
    <t xml:space="preserve">Statement date check</t>
  </si>
  <si>
    <t xml:space="preserve">ƒx  =IF(ISBLANK(Stmt_Statement_Date),"",IF(TODAY()-Stmt_Statement_Date&gt;Statement_Max_Age_Days,"Needs a look: statement is more than 12 months old","Up to date"))</t>
  </si>
  <si>
    <t xml:space="preserve">ƒx  =IF(Used_Actual_Repayment&gt;0,Used_Actual_Repayment,Formula_Repayment)</t>
  </si>
  <si>
    <t xml:space="preserve">Mortgage free in (months)</t>
  </si>
  <si>
    <t xml:space="preserve">ƒx  =IF(Monthly_Repayment&lt;=Used_Loan_Amount*Monthly_Rate,"Never",ROUNDUP(ROUND(NPER(Monthly_Rate,-Monthly_Repayment,Used_Loan_Amount),6),0))</t>
  </si>
  <si>
    <t xml:space="preserve">Total interest</t>
  </si>
  <si>
    <t xml:space="preserve">ƒx  =IF(Months_To_Pay="Never","—",Monthly_Repayment*(Months_To_Pay-1)+Final_Payment-Used_Loan_Amount)</t>
  </si>
  <si>
    <t xml:space="preserve">Total repaid</t>
  </si>
  <si>
    <t xml:space="preserve">ƒx  =IF(Months_To_Pay="Never","—",Used_Loan_Amount+Total_Interest)</t>
  </si>
  <si>
    <t xml:space="preserve">Monthly interest rate</t>
  </si>
  <si>
    <t xml:space="preserve">ƒx  =Used_Interest_Rate/12</t>
  </si>
  <si>
    <t xml:space="preserve">Repayment by formula (standard annuity)</t>
  </si>
  <si>
    <t xml:space="preserve">ƒx  =PMT(Monthly_Rate,Used_Term_Years*12,-Used_Loan_Amount)</t>
  </si>
  <si>
    <t xml:space="preserve">Last (part) payment</t>
  </si>
  <si>
    <t xml:space="preserve">ƒx  =IF(Months_To_Pay="Never","—",-FV(Monthly_Rate,Months_To_Pay-1,-Monthly_Repayment,Used_Loan_Amount)*(1+Monthly_Rate))      (balance left before the last month, plus that month's interest)</t>
  </si>
  <si>
    <t xml:space="preserve">What if: new rate (never below 0%)</t>
  </si>
  <si>
    <t xml:space="preserve">ƒx  =MAX(0,Used_Interest_Rate+Rate_Change)</t>
  </si>
  <si>
    <t xml:space="preserve">What if: monthly repayment</t>
  </si>
  <si>
    <t xml:space="preserve">ƒx  =Monthly_Repayment+PMT(New_Rate/12,Used_Term_Years*12,-Used_Loan_Amount)-Formula_Repayment</t>
  </si>
  <si>
    <t xml:space="preserve">What if: change over a year</t>
  </si>
  <si>
    <t xml:space="preserve">ƒx  =(Repayment_If_Changed-Monthly_Repayment)*12</t>
  </si>
  <si>
    <t xml:space="preserve">• Repayment = PMT(rate ÷ 12, years × 12, −amount), the standard repayment-mortgage formula; your stated repayment replaces it if you give one.</t>
  </si>
  <si>
    <t xml:space="preserve">• Months to pay off = NPER(rate ÷ 12, −repayment, amount), rounded up. Total interest = all full payments + the last part payment − the amount (exact, as a lender's schedule).</t>
  </si>
  <si>
    <t xml:space="preserve">• What if: the stated repayment moves by the same amount as the formula repayment would: repayment + PMT(new rate) − PMT(current rate). The new rate is floored at 0%.</t>
  </si>
  <si>
    <t xml:space="preserve">• If the payment is at or below the first month's interest the balance never falls: show "Never at this repayment" and leave total interest blank ("—").</t>
  </si>
  <si>
    <t xml:space="preserve">• More than 1,200 months (100 years) is shown as "Over 100 years"; the exact month count is still calculated (no loop cap).</t>
  </si>
  <si>
    <t xml:space="preserve">• NPER is rounded to 6 decimals before rounding up, so a repayment that exactly fits the term ends on the term (floating-point noise would otherwise add a month).</t>
  </si>
  <si>
    <t xml:space="preserve">Amount (today's money): the deposit for this loan</t>
  </si>
  <si>
    <t xml:space="preserve">ƒx  =ROUND(Used_Loan_Amount*(1-LTV_Max)/LTV_Max,0)</t>
  </si>
  <si>
    <t xml:space="preserve">Audit fix: the mortgage amount itself is borrowing, not a savings goal, so only the deposit (loan ÷ 9 at 90% LTV) is sent.</t>
  </si>
  <si>
    <t xml:space="preserve">C03 · Deposit calculator</t>
  </si>
  <si>
    <t xml:space="preserve">Question it answers: How long until I have my deposit?</t>
  </si>
  <si>
    <t xml:space="preserve">Prototype id: deposit</t>
  </si>
  <si>
    <t xml:space="preserve">Works out the deposit, stamp duty and fees you need and how many months of saving it takes.</t>
  </si>
  <si>
    <t xml:space="preserve">Home price</t>
  </si>
  <si>
    <t xml:space="preserve">Allowed: €100,000 to €10,000,000 · steps of €5,000</t>
  </si>
  <si>
    <t xml:space="preserve">Default: €350,000</t>
  </si>
  <si>
    <t xml:space="preserve">Deposit needed</t>
  </si>
  <si>
    <t xml:space="preserve">Allowed: 10% to 30% · steps of 1% · the Central Bank minimum is 10% (90% LTV)</t>
  </si>
  <si>
    <t xml:space="preserve">Default: 10%</t>
  </si>
  <si>
    <t xml:space="preserve">Saved so far</t>
  </si>
  <si>
    <t xml:space="preserve">Allowed: €0 to €2,000,000 · steps of €500</t>
  </si>
  <si>
    <t xml:space="preserve">Default: €12,000 · pre-filled from Plan: home goal's amount saved</t>
  </si>
  <si>
    <t xml:space="preserve">Monthly saving</t>
  </si>
  <si>
    <t xml:space="preserve">Allowed: €50 to €50,000 · steps of €50</t>
  </si>
  <si>
    <t xml:space="preserve">Default: €800</t>
  </si>
  <si>
    <t xml:space="preserve">What if: save extra each month</t>
  </si>
  <si>
    <t xml:space="preserve">Allowed: €0 to €15,000 · steps of €50</t>
  </si>
  <si>
    <t xml:space="preserve">Time to your deposit (months)</t>
  </si>
  <si>
    <t xml:space="preserve">ƒx  =IF(Still_To_Save=0,0,ROUNDUP(Still_To_Save/(Monthly_Saving+Extra_Saving),0))</t>
  </si>
  <si>
    <t xml:space="preserve">Total you need (deposit + stamp duty + fees)</t>
  </si>
  <si>
    <t xml:space="preserve">ƒx  =Deposit_Needed+Stamp_Duty+Buying_Fees</t>
  </si>
  <si>
    <t xml:space="preserve">Still to save</t>
  </si>
  <si>
    <t xml:space="preserve">ƒx  =MAX(0,Total_Needed-Saved)</t>
  </si>
  <si>
    <t xml:space="preserve">Deposit</t>
  </si>
  <si>
    <t xml:space="preserve">ƒx  =Home_Price*Deposit_Pct</t>
  </si>
  <si>
    <t xml:space="preserve">Stamp duty</t>
  </si>
  <si>
    <t xml:space="preserve">• Deposit = price × deposit %. Stamp duty = 1% up to €1m, 2% on €1m–€1.5m, 6% above. Total = deposit + stamp duty + fees.</t>
  </si>
  <si>
    <t xml:space="preserve">• Months = still to save ÷ monthly saving (incl. the what-if extra), rounded up. No interest and no house-price growth are assumed.</t>
  </si>
  <si>
    <t xml:space="preserve">• Deposit % starts at 10%, the Central Bank minimum (90% loan-to-value).</t>
  </si>
  <si>
    <t xml:space="preserve">• Nothing left to save shows "You have your deposit".</t>
  </si>
  <si>
    <t xml:space="preserve">• Monthly saving must be at least €50, so there is no divide by zero.</t>
  </si>
  <si>
    <t xml:space="preserve">ƒx  ="Home deposit"</t>
  </si>
  <si>
    <t xml:space="preserve">Amount (today's money): deposit + stamp duty + fees</t>
  </si>
  <si>
    <t xml:space="preserve">ƒx  =ROUND(Total_Needed,0)</t>
  </si>
  <si>
    <t xml:space="preserve">ƒx  =Saved</t>
  </si>
  <si>
    <t xml:space="preserve">ƒx  =MAX(1,ROUNDUP(Months_To_Deposit/12,0))</t>
  </si>
  <si>
    <t xml:space="preserve">C04 · Mortgage overpayment</t>
  </si>
  <si>
    <t xml:space="preserve">Question it answers: What if I paid a little extra each month?</t>
  </si>
  <si>
    <t xml:space="preserve">Prototype id: overpay</t>
  </si>
  <si>
    <t xml:space="preserve">Compares paying off the mortgage at your repayment with paying a little extra each month: time and interest saved.</t>
  </si>
  <si>
    <t xml:space="preserve">Mortgage balance</t>
  </si>
  <si>
    <t xml:space="preserve">Allowed: €20,000 to €10,000,000 · steps of €1,000</t>
  </si>
  <si>
    <t xml:space="preserve">Default: €250,000 · pre-filled from Your finances / statement: balance</t>
  </si>
  <si>
    <t xml:space="preserve">Suggested: 3.75% · pre-filled from Your finances / statement: rate</t>
  </si>
  <si>
    <t xml:space="preserve">Years left</t>
  </si>
  <si>
    <t xml:space="preserve">Allowed: 3 to 35 · steps of 1</t>
  </si>
  <si>
    <t xml:space="preserve">Default: 25 · pre-filled from Years left (25 if not given)</t>
  </si>
  <si>
    <t xml:space="preserve">Extra each month</t>
  </si>
  <si>
    <t xml:space="preserve">Allowed: €0 to €20,000 · steps of €25</t>
  </si>
  <si>
    <t xml:space="preserve">Default: €200</t>
  </si>
  <si>
    <t xml:space="preserve">ƒx  =IF(ISBLANK(Stmt_Balance),Mortgage_Balance,Stmt_Balance)</t>
  </si>
  <si>
    <t xml:space="preserve">ƒx  =IF(ISBLANK(Stmt_Term),Years_Left,Stmt_Term)</t>
  </si>
  <si>
    <t xml:space="preserve">Mortgage free sooner by (months)</t>
  </si>
  <si>
    <t xml:space="preserve">ƒx  =IF(OR(Months_Now="Never",Months_With_Extra="Never"),"—",Months_Now-Months_With_Extra)</t>
  </si>
  <si>
    <t xml:space="preserve">Interest saved</t>
  </si>
  <si>
    <t xml:space="preserve">ƒx  =IF(OR(Months_Now="Never",Months_With_Extra="Never"),"—",Interest_Now-Interest_With_Extra)</t>
  </si>
  <si>
    <t xml:space="preserve">Mortgage free now in (months)</t>
  </si>
  <si>
    <t xml:space="preserve">ƒx  =IF(Repayment_Now&lt;=Used_Mortgage_Balance*Monthly_Rate,"Never",ROUNDUP(ROUND(NPER(Monthly_Rate,-Repayment_Now,Used_Mortgage_Balance),6),0))</t>
  </si>
  <si>
    <t xml:space="preserve">With the extra (months)</t>
  </si>
  <si>
    <t xml:space="preserve">ƒx  =IF(Repayment_With_Extra&lt;=Used_Mortgage_Balance*Monthly_Rate,"Never",ROUNDUP(ROUND(NPER(Monthly_Rate,-Repayment_With_Extra,Used_Mortgage_Balance),6),0))</t>
  </si>
  <si>
    <t xml:space="preserve">Repayment now</t>
  </si>
  <si>
    <t xml:space="preserve">ƒx  =IF(Used_Actual_Repayment&gt;0,Used_Actual_Repayment,PMT(Monthly_Rate,Used_Years_Left*12,-Used_Mortgage_Balance))</t>
  </si>
  <si>
    <t xml:space="preserve">Repayment with the extra</t>
  </si>
  <si>
    <t xml:space="preserve">ƒx  =Repayment_Now+Extra_Payment</t>
  </si>
  <si>
    <t xml:space="preserve">Last (part) payment now</t>
  </si>
  <si>
    <t xml:space="preserve">ƒx  =IF(Months_Now="Never","—",-FV(Monthly_Rate,Months_Now-1,-Repayment_Now,Used_Mortgage_Balance)*(1+Monthly_Rate))</t>
  </si>
  <si>
    <t xml:space="preserve">Last (part) payment with the extra</t>
  </si>
  <si>
    <t xml:space="preserve">ƒx  =IF(Months_With_Extra="Never","—",-FV(Monthly_Rate,Months_With_Extra-1,-Repayment_With_Extra,Used_Mortgage_Balance)*(1+Monthly_Rate))</t>
  </si>
  <si>
    <t xml:space="preserve">Total interest now</t>
  </si>
  <si>
    <t xml:space="preserve">ƒx  =IF(Months_Now="Never","—",Repayment_Now*(Months_Now-1)+Last_Payment_Now-Used_Mortgage_Balance)</t>
  </si>
  <si>
    <t xml:space="preserve">Total interest with the extra</t>
  </si>
  <si>
    <t xml:space="preserve">ƒx  =IF(Months_With_Extra="Never","—",Repayment_With_Extra*(Months_With_Extra-1)+Last_Payment_With_Extra-Used_Mortgage_Balance)</t>
  </si>
  <si>
    <t xml:space="preserve">• Months to pay off = NPER(rate ÷ 12, −repayment, balance), rounded up, worked out twice: at your repayment and at repayment + extra.</t>
  </si>
  <si>
    <t xml:space="preserve">• Total interest = full payments + last part payment − balance. Interest saved = interest now − interest with the extra. Sooner by = the difference in months.</t>
  </si>
  <si>
    <t xml:space="preserve">• If your repayment never clears the mortgage: "Not at this repayment", and "—" for sooner by and interest saved (no negative saving).</t>
  </si>
  <si>
    <t xml:space="preserve">• If even the extra does not clear it: "—" for "With the extra" and no goal is sent.</t>
  </si>
  <si>
    <t xml:space="preserve">• A difference of 0 months reads "No change".</t>
  </si>
  <si>
    <t xml:space="preserve">ƒx  =IF(Months_With_Extra="Never","No goal","Mortgage free (plan kind mfree, priced from your mortgage; no cash amount)")</t>
  </si>
  <si>
    <t xml:space="preserve">ƒx  =IF(Months_With_Extra="Never","—",ROUNDUP(Months_With_Extra/12,0))</t>
  </si>
  <si>
    <t xml:space="preserve">Audit fix: the old goal sent today's balance as a cash spend at the payoff year (a double count). The plan should also raise its mortgage repayment by the extra.</t>
  </si>
  <si>
    <t xml:space="preserve">C05 · Interest-rate impact</t>
  </si>
  <si>
    <t xml:space="preserve">Question it answers: What if my mortgage rate changed?</t>
  </si>
  <si>
    <t xml:space="preserve">Prototype id: ratechange</t>
  </si>
  <si>
    <t xml:space="preserve">Shows how much your monthly repayment changes if your mortgage rate goes up or down.</t>
  </si>
  <si>
    <t xml:space="preserve">Default: €300,000 · pre-filled from Your finances / statement: balance</t>
  </si>
  <si>
    <t xml:space="preserve">Current rate</t>
  </si>
  <si>
    <t xml:space="preserve">Rate change</t>
  </si>
  <si>
    <t xml:space="preserve">Default: 1%</t>
  </si>
  <si>
    <t xml:space="preserve">ƒx  =IF(ISBLANK(Stmt_Rate),Current_Rate,Stmt_Rate)</t>
  </si>
  <si>
    <t xml:space="preserve">Monthly change</t>
  </si>
  <si>
    <t xml:space="preserve">ƒx  =Repayment_After-Repayment_Now</t>
  </si>
  <si>
    <t xml:space="preserve">ƒx  =IF(Used_Actual_Repayment&gt;0,Used_Actual_Repayment,Formula_Now)</t>
  </si>
  <si>
    <t xml:space="preserve">Repayment after the change</t>
  </si>
  <si>
    <t xml:space="preserve">ƒx  =Repayment_Now+PMT(New_Rate/12,Used_Years_Left*12,-Used_Mortgage_Balance)-Formula_Now</t>
  </si>
  <si>
    <t xml:space="preserve">Change over a year</t>
  </si>
  <si>
    <t xml:space="preserve">ƒx  =Monthly_Change*12</t>
  </si>
  <si>
    <t xml:space="preserve">Repayment now by formula</t>
  </si>
  <si>
    <t xml:space="preserve">ƒx  =PMT(Used_Current_Rate/12,Used_Years_Left*12,-Used_Mortgage_Balance)</t>
  </si>
  <si>
    <t xml:space="preserve">New rate (never below 0%)</t>
  </si>
  <si>
    <t xml:space="preserve">ƒx  =MAX(0,Used_Current_Rate+Rate_Change)</t>
  </si>
  <si>
    <t xml:space="preserve">• Repayment = PMT(rate ÷ 12, years left × 12, −balance) at the current and the new rate.</t>
  </si>
  <si>
    <t xml:space="preserve">• The change is the difference between the two; a stated repayment moves by the same amount.</t>
  </si>
  <si>
    <t xml:space="preserve">• The new rate is floored at 0% (Irish mortgages have not had negative rates).</t>
  </si>
  <si>
    <t xml:space="preserve">ƒx  ="No goal"</t>
  </si>
  <si>
    <t xml:space="preserve">C06 · Mortgage term comparison</t>
  </si>
  <si>
    <t xml:space="preserve">Question it answers: Shorter or longer term: what is the trade-off?</t>
  </si>
  <si>
    <t xml:space="preserve">Prototype id: term</t>
  </si>
  <si>
    <t xml:space="preserve">Compares two mortgage terms: the monthly repayment and the total interest of each.</t>
  </si>
  <si>
    <t xml:space="preserve">Term A</t>
  </si>
  <si>
    <t xml:space="preserve">Term B</t>
  </si>
  <si>
    <t xml:space="preserve">Default: 35</t>
  </si>
  <si>
    <t xml:space="preserve">ƒx  =IF(ISBLANK(Stmt_Term),Term_A,Stmt_Term)</t>
  </si>
  <si>
    <t xml:space="preserve">Interest difference</t>
  </si>
  <si>
    <t xml:space="preserve">ƒx  =ABS(Interest_B-Interest_A)</t>
  </si>
  <si>
    <t xml:space="preserve">Term A: monthly repayment</t>
  </si>
  <si>
    <t xml:space="preserve">ƒx  =PMT(Used_Interest_Rate/12,Used_Term_A*12,-Used_Loan_Amount)</t>
  </si>
  <si>
    <t xml:space="preserve">Term B: monthly repayment</t>
  </si>
  <si>
    <t xml:space="preserve">ƒx  =PMT(Used_Interest_Rate/12,Term_B*12,-Used_Loan_Amount)</t>
  </si>
  <si>
    <t xml:space="preserve">Term A: total interest</t>
  </si>
  <si>
    <t xml:space="preserve">ƒx  =Monthly_A*Used_Term_A*12-Used_Loan_Amount</t>
  </si>
  <si>
    <t xml:space="preserve">Term B: total interest</t>
  </si>
  <si>
    <t xml:space="preserve">ƒx  =Monthly_B*Term_B*12-Used_Loan_Amount</t>
  </si>
  <si>
    <t xml:space="preserve">• Monthly = PMT(rate ÷ 12, term × 12, −amount) for each term.</t>
  </si>
  <si>
    <t xml:space="preserve">• Total interest = monthly × months − amount.</t>
  </si>
  <si>
    <t xml:space="preserve">• Equal terms show "Both terms are the same."</t>
  </si>
  <si>
    <t xml:space="preserve">C07 · Rent vs buy</t>
  </si>
  <si>
    <t xml:space="preserve">Question it answers: How do renting and buying compare over time?</t>
  </si>
  <si>
    <t xml:space="preserve">Prototype id: rentbuy</t>
  </si>
  <si>
    <t xml:space="preserve">Compares rent paid with the costs of buying that do not build equity (interest, upkeep, stamp duty, fees and what the deposit could have earned), and the equity you would build.</t>
  </si>
  <si>
    <t xml:space="preserve">Monthly rent</t>
  </si>
  <si>
    <t xml:space="preserve">Allowed: €500 to €50,000 · steps of €50</t>
  </si>
  <si>
    <t xml:space="preserve">Default: €1,800</t>
  </si>
  <si>
    <t xml:space="preserve">Allowed: at least 10% of the price and no more than the price</t>
  </si>
  <si>
    <t xml:space="preserve">Default: €35,000</t>
  </si>
  <si>
    <t xml:space="preserve">Mortgage rate</t>
  </si>
  <si>
    <t xml:space="preserve">Suggested · change if you like · Allowed: 5 to 35 · steps of 1</t>
  </si>
  <si>
    <t xml:space="preserve">Years to compare</t>
  </si>
  <si>
    <t xml:space="preserve">Allowed: 1 to 30 · steps of 1</t>
  </si>
  <si>
    <t xml:space="preserve">Default: 10</t>
  </si>
  <si>
    <t xml:space="preserve">House prices rise a year</t>
  </si>
  <si>
    <t xml:space="preserve">Suggested · change if you like · Allowed: 0% to 6% · steps of 0.5%</t>
  </si>
  <si>
    <t xml:space="preserve">Suggested: 2%</t>
  </si>
  <si>
    <t xml:space="preserve">Rent rises a year</t>
  </si>
  <si>
    <t xml:space="preserve">Suggested · change if you like · Allowed: 0% to 8% · steps of 0.5%</t>
  </si>
  <si>
    <t xml:space="preserve">Suggested: 3%</t>
  </si>
  <si>
    <t xml:space="preserve">Upkeep a year, % of the home's value</t>
  </si>
  <si>
    <t xml:space="preserve">Suggested · change if you like · Allowed: 0% to 3% · steps of 0.1%</t>
  </si>
  <si>
    <t xml:space="preserve">Suggested: 1%</t>
  </si>
  <si>
    <t xml:space="preserve">What the deposit could earn a year (after tax)</t>
  </si>
  <si>
    <t xml:space="preserve">Home equity after the years</t>
  </si>
  <si>
    <t xml:space="preserve">ƒx  =Home_Value-Balance_After</t>
  </si>
  <si>
    <t xml:space="preserve">Rent paid (rising each year)</t>
  </si>
  <si>
    <t xml:space="preserve">ƒx  =IF(Rent_Growth=0,Monthly_Rent*12*Years,Monthly_Rent*12*((1+Rent_Growth)^Years-1)/Rent_Growth)</t>
  </si>
  <si>
    <t xml:space="preserve">Buying costs that don't build equity</t>
  </si>
  <si>
    <t xml:space="preserve">ƒx  =Interest_Paid+Upkeep+Stamp_Duty+Buying_Fees+Opportunity_Cost</t>
  </si>
  <si>
    <t xml:space="preserve">Home value</t>
  </si>
  <si>
    <t xml:space="preserve">ƒx  =Home_Price*(1+House_Growth)^Years</t>
  </si>
  <si>
    <t xml:space="preserve">Mortgage</t>
  </si>
  <si>
    <t xml:space="preserve">ƒx  =MAX(0,Home_Price-Deposit)</t>
  </si>
  <si>
    <t xml:space="preserve">ƒx  =PMT(Mortgage_Rate/12,RentBuy_Term*12,-Loan)</t>
  </si>
  <si>
    <t xml:space="preserve">Mortgage left after the years</t>
  </si>
  <si>
    <t xml:space="preserve">ƒx  =MAX(0,-FV(Mortgage_Rate/12,MIN(Years,RentBuy_Term)*12,-Monthly_Repayment,Loan))</t>
  </si>
  <si>
    <t xml:space="preserve">Interest paid over the years</t>
  </si>
  <si>
    <t xml:space="preserve">ƒx  =Monthly_Repayment*MIN(Years,RentBuy_Term)*12-(Loan-Balance_After)</t>
  </si>
  <si>
    <t xml:space="preserve">Upkeep (on the home's value each year)</t>
  </si>
  <si>
    <t xml:space="preserve">ƒx  =IF(House_Growth=0,Home_Price*Upkeep_Rate*Years,Home_Price*Upkeep_Rate*((1+House_Growth)^Years-1)/House_Growth)</t>
  </si>
  <si>
    <t xml:space="preserve">What the deposit could have earned</t>
  </si>
  <si>
    <t xml:space="preserve">ƒx  =Deposit*((1+Opp_Rate)^Years-1)</t>
  </si>
  <si>
    <t xml:space="preserve">• Mortgage = price − deposit: repayment = PMT(rate ÷ 12, term × 12, −mortgage). Balance after the years = −FV(rate ÷ 12, months, −repayment, mortgage). Interest = repayments − capital repaid.</t>
  </si>
  <si>
    <t xml:space="preserve">• Rent rises each year: rent paid = monthly rent × 12 × ((1 + rise)^years − 1) ÷ rise. Upkeep is a % of the home's value each year, which rises with house prices.</t>
  </si>
  <si>
    <t xml:space="preserve">• Buying costs that don't build equity = interest + upkeep + stamp duty + fees + what the deposit could have earned. Home value = price × (1 + growth)^years; equity = value − balance.</t>
  </si>
  <si>
    <t xml:space="preserve">• The deposit must be between 10% of the price (Central Bank LTV) and the price itself; the mortgage is never negative.</t>
  </si>
  <si>
    <t xml:space="preserve">• Comparing for longer than the term: the balance is 0 after the term and no further interest is paid. Local Property Tax and insurance are not included.</t>
  </si>
  <si>
    <t xml:space="preserve">ƒx  =ROUND(Deposit+Stamp_Duty+Buying_Fees,0)</t>
  </si>
  <si>
    <t xml:space="preserve">C08 · Goal planner</t>
  </si>
  <si>
    <t xml:space="preserve">Category: Savings &amp; Goals</t>
  </si>
  <si>
    <t xml:space="preserve">Question it answers: How much a month to reach my goal?</t>
  </si>
  <si>
    <t xml:space="preserve">Prototype id: goalplanner</t>
  </si>
  <si>
    <t xml:space="preserve">Works out how much to save each month to reach a goal, allowing for prices rising and growth on your savings.</t>
  </si>
  <si>
    <t xml:space="preserve">YOUR INFLATION CHOICE</t>
  </si>
  <si>
    <t xml:space="preserve">Inflation you expect (your choice)</t>
  </si>
  <si>
    <t xml:space="preserve">Allowed: 0% to 10% · steps of 0.25%</t>
  </si>
  <si>
    <t xml:space="preserve">Starts blank: the client chooses. Everyone sees this differently. Ireland's prices are rising 3.9% now (CSO HICP flash, Sep 2026), mostly because of energy. Over decades, 2%–2.5% is the usual planning range (ECB target 2%). Enter 0% if you don't want to adjust for prices.</t>
  </si>
  <si>
    <t xml:space="preserve">Everyone sees this differently. Ireland's prices are rising 3.9% now (CSO HICP flash, Sep 2026), mostly because of energy. Over decades, 2%–2.5% is the usual planning range (ECB target 2%). Enter 0% if you don't want to adjust for prices.</t>
  </si>
  <si>
    <t xml:space="preserve">Goal amount (today's prices)</t>
  </si>
  <si>
    <t xml:space="preserve">Allowed: €500 to €5,000,000 · steps of €500</t>
  </si>
  <si>
    <t xml:space="preserve">Default: €15,000</t>
  </si>
  <si>
    <t xml:space="preserve">Years until the goal</t>
  </si>
  <si>
    <t xml:space="preserve">Default: 3</t>
  </si>
  <si>
    <t xml:space="preserve">Default: €2,000</t>
  </si>
  <si>
    <t xml:space="preserve">Growth / interest a year (after tax)</t>
  </si>
  <si>
    <t xml:space="preserve">Suggested · change if you like · Allowed: 0% to 7% · steps of 0.5%</t>
  </si>
  <si>
    <t xml:space="preserve">Monthly amount to save</t>
  </si>
  <si>
    <t xml:space="preserve">ƒx  =IF(ISBLANK(Inflation_Choice),"Enter your inflation rate",PMT(Monthly_Growth,Years*12,0,-Still_Needed))</t>
  </si>
  <si>
    <t xml:space="preserve">Goal will cost about (in the goal year)</t>
  </si>
  <si>
    <t xml:space="preserve">ƒx  =IF(ISBLANK(Inflation_Choice),"Enter your inflation rate",Goal_Amount*(1+Inflation_Choice)^Years)</t>
  </si>
  <si>
    <t xml:space="preserve">Your savings grow to</t>
  </si>
  <si>
    <t xml:space="preserve">ƒx  =Saved*(1+Growth_Rate)^Years</t>
  </si>
  <si>
    <t xml:space="preserve">Still needed at the goal year</t>
  </si>
  <si>
    <t xml:space="preserve">ƒx  =IF(ISBLANK(Inflation_Choice),"Enter your inflation rate",MAX(0,Future_Cost-Saved_Grows_To))</t>
  </si>
  <si>
    <t xml:space="preserve">Monthly growth rate</t>
  </si>
  <si>
    <t xml:space="preserve">ƒx  =(1+Growth_Rate)^(1/12)-1</t>
  </si>
  <si>
    <t xml:space="preserve">• Future cost = goal × (1 + inflation)^years. Savings already put aside grow at the growth rate.</t>
  </si>
  <si>
    <t xml:space="preserve">• Monthly saving = PMT(monthly growth, months, 0, −still needed): the level end-of-month saving that grows to what is still needed.</t>
  </si>
  <si>
    <t xml:space="preserve">• Monthly growth = (1 + yearly growth)^(1/12) − 1, the monthly rate equal to the yearly rate.</t>
  </si>
  <si>
    <t xml:space="preserve">• If savings already cover the goal the monthly amount is €0.</t>
  </si>
  <si>
    <t xml:space="preserve">• Inflation is always applied (Assumptions). With 0% growth PMT gives still needed ÷ months.</t>
  </si>
  <si>
    <t xml:space="preserve">ƒx  ="My goal (spend goal)"</t>
  </si>
  <si>
    <t xml:space="preserve">Amount (today's prices)</t>
  </si>
  <si>
    <t xml:space="preserve">ƒx  =Goal_Amount</t>
  </si>
  <si>
    <t xml:space="preserve">ƒx  =Years</t>
  </si>
  <si>
    <t xml:space="preserve">Inflation for the plan (your choice)</t>
  </si>
  <si>
    <t xml:space="preserve">ƒx  =IF(ISBLANK(Inflation_Choice),"Choose an inflation rate first",Inflation_Choice)</t>
  </si>
  <si>
    <t xml:space="preserve">C09 · Compound growth</t>
  </si>
  <si>
    <t xml:space="preserve">Question it answers: What could regular saving grow into?</t>
  </si>
  <si>
    <t xml:space="preserve">Prototype id: compound</t>
  </si>
  <si>
    <t xml:space="preserve">Shows what a starting amount plus regular monthly saving could grow to, and what that is worth in today's money.</t>
  </si>
  <si>
    <t xml:space="preserve">Starting amount</t>
  </si>
  <si>
    <t xml:space="preserve">Default: €5,000</t>
  </si>
  <si>
    <t xml:space="preserve">Monthly addition</t>
  </si>
  <si>
    <t xml:space="preserve">Allowed: €0 to €30,000 · steps of €25</t>
  </si>
  <si>
    <t xml:space="preserve">Growth rate a year</t>
  </si>
  <si>
    <t xml:space="preserve">Suggested: 4%</t>
  </si>
  <si>
    <t xml:space="preserve">Years</t>
  </si>
  <si>
    <t xml:space="preserve">Allowed: 1 to 40 · steps of 1</t>
  </si>
  <si>
    <t xml:space="preserve">Default: 20</t>
  </si>
  <si>
    <t xml:space="preserve">Could grow to</t>
  </si>
  <si>
    <t xml:space="preserve">ƒx  =FV(Monthly_Growth,Years*12,-Monthly_Addition,-Starting_Amount)</t>
  </si>
  <si>
    <t xml:space="preserve">Worth in today's money</t>
  </si>
  <si>
    <t xml:space="preserve">ƒx  =IF(ISBLANK(Inflation_Choice),"Enter your inflation rate",Grows_To/(1+Inflation_Choice)^Years)</t>
  </si>
  <si>
    <t xml:space="preserve">Paid in</t>
  </si>
  <si>
    <t xml:space="preserve">ƒx  =Starting_Amount+Monthly_Addition*12*Years</t>
  </si>
  <si>
    <t xml:space="preserve">Illustrative growth</t>
  </si>
  <si>
    <t xml:space="preserve">ƒx  =Grows_To-Paid_In</t>
  </si>
  <si>
    <t xml:space="preserve">• Value = FV(monthly growth, months, −monthly addition, −starting amount): the starting amount compounds and each addition is made at the end of the month.</t>
  </si>
  <si>
    <t xml:space="preserve">• Today's money = value ÷ (1 + inflation)^years.</t>
  </si>
  <si>
    <t xml:space="preserve">• 0% growth gives starting amount + additions.</t>
  </si>
  <si>
    <t xml:space="preserve">• Results are before tax and are not guaranteed.</t>
  </si>
  <si>
    <t xml:space="preserve">ƒx  ="Grow my wealth (plan kind pot)"</t>
  </si>
  <si>
    <t xml:space="preserve">Amount (today's money)</t>
  </si>
  <si>
    <t xml:space="preserve">ƒx  =IF(ISBLANK(Inflation_Choice),"Choose an inflation rate first",ROUND(Value_Today,0))</t>
  </si>
  <si>
    <t xml:space="preserve">Audit fix: the amount is always in today's money (the plan adds inflation itself).</t>
  </si>
  <si>
    <t xml:space="preserve">C10 · Lump-sum growth</t>
  </si>
  <si>
    <t xml:space="preserve">Category: Investments</t>
  </si>
  <si>
    <t xml:space="preserve">Question it answers: What could a one-off amount become?</t>
  </si>
  <si>
    <t xml:space="preserve">Prototype id: lumpsum</t>
  </si>
  <si>
    <t xml:space="preserve">Shows what a one-off amount could become after fees, the cost of waiting 5 years, and the value in today's money.</t>
  </si>
  <si>
    <t xml:space="preserve">Document: Investment / fund statement. Blank = no statement uploaded, or the figure is not on it. Grey-blue cells are filled by the reader (you can type here to test).</t>
  </si>
  <si>
    <t xml:space="preserve">Total value</t>
  </si>
  <si>
    <t xml:space="preserve">Allowed: €0 to €100,000,000</t>
  </si>
  <si>
    <t xml:space="preserve">Annual charges % (if shown)</t>
  </si>
  <si>
    <t xml:space="preserve">Allowed: 0% to 5%</t>
  </si>
  <si>
    <t xml:space="preserve">Amount</t>
  </si>
  <si>
    <t xml:space="preserve">Allowed: €500 to €5,000,000 · steps of €100</t>
  </si>
  <si>
    <t xml:space="preserve">Default: €10,000 · pre-filled from Your finances / statement: investments</t>
  </si>
  <si>
    <t xml:space="preserve">Growth rate a year (before fees)</t>
  </si>
  <si>
    <t xml:space="preserve">Default: 15</t>
  </si>
  <si>
    <t xml:space="preserve">Yearly fees</t>
  </si>
  <si>
    <t xml:space="preserve">Suggested · change if you like · Allowed: 0% to 3% · steps of 0.05%</t>
  </si>
  <si>
    <t xml:space="preserve">Suggested: 0%</t>
  </si>
  <si>
    <t xml:space="preserve">Years you might wait before investing</t>
  </si>
  <si>
    <t xml:space="preserve">Suggested · change if you like · Allowed: 1 to 10 · steps of 1</t>
  </si>
  <si>
    <t xml:space="preserve">Suggested: 5</t>
  </si>
  <si>
    <t xml:space="preserve">Show in today's money?</t>
  </si>
  <si>
    <t xml:space="preserve">No</t>
  </si>
  <si>
    <t xml:space="preserve">Default: No</t>
  </si>
  <si>
    <t xml:space="preserve">Statement uploaded?</t>
  </si>
  <si>
    <t xml:space="preserve">ƒx  =IF(COUNTA(Stmt_Total_Value,Stmt_Charges,Stmt_Statement_Date)&gt;0,"Yes","No")</t>
  </si>
  <si>
    <t xml:space="preserve">ƒx  =IF(ISBLANK(Stmt_Total_Value),Amount,Stmt_Total_Value)</t>
  </si>
  <si>
    <t xml:space="preserve">ƒx  =IF(NOT(ISBLANK(Stmt_Charges)),Stmt_Charges,IF(Statement_Uploaded="Yes",0,Yearly_Fees))</t>
  </si>
  <si>
    <t xml:space="preserve">Could grow to (today's money if you chose Yes)</t>
  </si>
  <si>
    <t xml:space="preserve">ƒx  =IF(Adjust_For_Inflation="Yes",Value_Today,Grows_To)</t>
  </si>
  <si>
    <t xml:space="preserve">If you start today (after fees)</t>
  </si>
  <si>
    <t xml:space="preserve">ƒx  =Used_Amount*(1+Growth_After_Fees)^Years</t>
  </si>
  <si>
    <t xml:space="preserve">If you start after waiting</t>
  </si>
  <si>
    <t xml:space="preserve">ƒx  =Used_Amount*(1+Growth_After_Fees)^MAX(0,Years-Wait_Years)</t>
  </si>
  <si>
    <t xml:space="preserve">Cost of waiting</t>
  </si>
  <si>
    <t xml:space="preserve">ƒx  =IF(Adjust_For_Inflation="Yes",IF(ISBLANK(Inflation_Choice),"Enter your inflation rate",(Grows_To-Value_Start_Later)/(1+Inflation_Choice)^Years),Grows_To-Value_Start_Later)</t>
  </si>
  <si>
    <t xml:space="preserve">Fees cost</t>
  </si>
  <si>
    <t xml:space="preserve">ƒx  =Used_Amount*(1+Growth_Rate)^Years-Grows_To</t>
  </si>
  <si>
    <t xml:space="preserve">Growth after fees a year</t>
  </si>
  <si>
    <t xml:space="preserve">ƒx  =(1+Growth_Rate)*(1-Used_Yearly_Fees)-1</t>
  </si>
  <si>
    <t xml:space="preserve">Real return a year (after fees and inflation)</t>
  </si>
  <si>
    <t xml:space="preserve">ƒx  =IF(ISBLANK(Inflation_Choice),"Enter your inflation rate",(1+Growth_After_Fees)/(1+Inflation_Choice)-1)</t>
  </si>
  <si>
    <t xml:space="preserve">• Growth after fees = (1 + growth) × (1 − fees) − 1 (fees taken from the fund each year).</t>
  </si>
  <si>
    <t xml:space="preserve">• Value = amount × (1 + growth after fees)^years. Starting in 5 years means 5 fewer years of growth to the same end date.</t>
  </si>
  <si>
    <t xml:space="preserve">• Today's money = value ÷ (1 + inflation)^years; real return = (1 + growth after fees) ÷ (1 + inflation) − 1 (exact, not growth − inflation).</t>
  </si>
  <si>
    <t xml:space="preserve">• With 5 years or fewer, "start in 5 years" equals the amount itself.</t>
  </si>
  <si>
    <t xml:space="preserve">• Results are before tax.</t>
  </si>
  <si>
    <t xml:space="preserve">Always in today's money, whatever the 'Show in today's money' choice.</t>
  </si>
  <si>
    <t xml:space="preserve">C11 · Emergency fund</t>
  </si>
  <si>
    <t xml:space="preserve">Question it answers: How strong is my financial cushion?</t>
  </si>
  <si>
    <t xml:space="preserve">Prototype id: emergency</t>
  </si>
  <si>
    <t xml:space="preserve">Shows how many months of essential spending your easy-access savings cover, against your target.</t>
  </si>
  <si>
    <t xml:space="preserve">Essential monthly spending</t>
  </si>
  <si>
    <t xml:space="preserve">Allowed: €500 to €100,000 · steps of €100</t>
  </si>
  <si>
    <t xml:space="preserve">Default: €2,500 · pre-filled from Your finances: costs + mortgage + debt repayments</t>
  </si>
  <si>
    <t xml:space="preserve">Safety net: months of essential spending</t>
  </si>
  <si>
    <t xml:space="preserve">months</t>
  </si>
  <si>
    <t xml:space="preserve">Suggested · change if you like · Allowed: 3 to 12 · steps of 1</t>
  </si>
  <si>
    <t xml:space="preserve">Suggested: 6</t>
  </si>
  <si>
    <t xml:space="preserve">Build the safety net within (years, for the plan)</t>
  </si>
  <si>
    <t xml:space="preserve">Suggested: 2</t>
  </si>
  <si>
    <t xml:space="preserve">Easy-access savings</t>
  </si>
  <si>
    <t xml:space="preserve">Allowed: €0 to €1,000,000 · steps of €250</t>
  </si>
  <si>
    <t xml:space="preserve">Default: €6,250 · pre-filled from Your finances: cash</t>
  </si>
  <si>
    <t xml:space="preserve">You currently have (months)</t>
  </si>
  <si>
    <t xml:space="preserve">ƒx  =Savings/Essential_Spending</t>
  </si>
  <si>
    <t xml:space="preserve">Target cushion</t>
  </si>
  <si>
    <t xml:space="preserve">ƒx  =Essential_Spending*Months_Wanted</t>
  </si>
  <si>
    <t xml:space="preserve">Still to build</t>
  </si>
  <si>
    <t xml:space="preserve">ƒx  =MAX(0,Target-Savings)</t>
  </si>
  <si>
    <t xml:space="preserve">• Months covered = savings ÷ essential monthly spending. Target = spending × months wanted. Still to build = target − savings (never below 0).</t>
  </si>
  <si>
    <t xml:space="preserve">• Spending must be at least €500, so there is no divide by zero.</t>
  </si>
  <si>
    <t xml:space="preserve">ƒx  =IF(Still_To_Build&gt;0,"Safety net (plan kind safety: a reserve, not a spend)","No goal (cushion already in place)")</t>
  </si>
  <si>
    <t xml:space="preserve">ƒx  =IF(Still_To_Build&gt;0,ROUND(Target,0),"—")</t>
  </si>
  <si>
    <t xml:space="preserve">ƒx  =Savings</t>
  </si>
  <si>
    <t xml:space="preserve">ƒx  =Safety_Goal_Years</t>
  </si>
  <si>
    <t xml:space="preserve">C12 · Retirement projection</t>
  </si>
  <si>
    <t xml:space="preserve">Category: Pensions &amp; Retirement</t>
  </si>
  <si>
    <t xml:space="preserve">Question it answers: Could your current path fund the retirement you want?</t>
  </si>
  <si>
    <t xml:space="preserve">Prototype id: retirement</t>
  </si>
  <si>
    <t xml:space="preserve">Projects your pension fund at retirement and compares it, in today's money, with the fund you would need for the income you want.</t>
  </si>
  <si>
    <t xml:space="preserve">Document: Pension benefit statement / Statement of Reasonable Projection / PRSA statement. Blank = no statement uploaded, or the figure is not on it. Grey-blue cells are filled by the reader (you can type here to test).</t>
  </si>
  <si>
    <t xml:space="preserve">Fund value today</t>
  </si>
  <si>
    <t xml:space="preserve">Allowed: €0 to €50,000,000</t>
  </si>
  <si>
    <t xml:space="preserve">Your monthly contribution</t>
  </si>
  <si>
    <t xml:space="preserve">Employer monthly contribution</t>
  </si>
  <si>
    <t xml:space="preserve">Normal retirement age</t>
  </si>
  <si>
    <t xml:space="preserve">age</t>
  </si>
  <si>
    <t xml:space="preserve">Allowed: 50 to 75</t>
  </si>
  <si>
    <t xml:space="preserve">Projected fund at retirement (if shown)</t>
  </si>
  <si>
    <t xml:space="preserve">Projection is in today's money? (if shown)</t>
  </si>
  <si>
    <t xml:space="preserve">Your age</t>
  </si>
  <si>
    <t xml:space="preserve">Allowed: 20 to 70 · steps of 1</t>
  </si>
  <si>
    <t xml:space="preserve">Default: 40 · pre-filled from About you: age</t>
  </si>
  <si>
    <t xml:space="preserve">Target retirement age</t>
  </si>
  <si>
    <t xml:space="preserve">Allowed: 50 to 75 · steps of 1</t>
  </si>
  <si>
    <t xml:space="preserve">Default: 65 · pre-filled from Plan: retirement age</t>
  </si>
  <si>
    <t xml:space="preserve">Pension value today</t>
  </si>
  <si>
    <t xml:space="preserve">Allowed: €0 to €15,000,000 · steps of €1,000</t>
  </si>
  <si>
    <t xml:space="preserve">Default: €60,000 · pre-filled from Your finances / pension statement</t>
  </si>
  <si>
    <t xml:space="preserve">Monthly contributions (you + employer)</t>
  </si>
  <si>
    <t xml:space="preserve">Allowed: €0 to €50,000 · steps of €10</t>
  </si>
  <si>
    <t xml:space="preserve">Default: €500 · pre-filled from Your finances / pension statement</t>
  </si>
  <si>
    <t xml:space="preserve">Desired yearly income in retirement (today's money)</t>
  </si>
  <si>
    <t xml:space="preserve">Allowed: €10,000 to €1,500,000 · steps of €1,000</t>
  </si>
  <si>
    <t xml:space="preserve">Default: €40,000 · pre-filled from Plan: retirement goal income</t>
  </si>
  <si>
    <t xml:space="preserve">Other yearly income from 66, e.g. State Pension (today's money)</t>
  </si>
  <si>
    <t xml:space="preserve">Allowed: €0 to €500,000 · steps of €500</t>
  </si>
  <si>
    <t xml:space="preserve">Default: €15,564 · pre-filled from State Pension €15,563.60 × your entitlement (full 1, partly 0.6, not sure 0.8)</t>
  </si>
  <si>
    <t xml:space="preserve">Pension growth after charges a year</t>
  </si>
  <si>
    <t xml:space="preserve">Suggested · change if you like · Allowed: 1% to 7% · steps of 0.25%</t>
  </si>
  <si>
    <t xml:space="preserve">Suggested: 4.5% · pre-filled from Plan: pension growth (your growth set)</t>
  </si>
  <si>
    <t xml:space="preserve">Pay rises a year (contributions rise with pay)</t>
  </si>
  <si>
    <t xml:space="preserve">Suggested · change if you like · Allowed: 0% to 6% · steps of 0.25%</t>
  </si>
  <si>
    <t xml:space="preserve">Suggested: 3% · pre-filled from Plan: pay rises</t>
  </si>
  <si>
    <t xml:space="preserve">Retirement savings target: × the yearly income you need</t>
  </si>
  <si>
    <t xml:space="preserve">Suggested · change if you like · Allowed: 20 to 33 · steps of 1</t>
  </si>
  <si>
    <t xml:space="preserve">Suggested: 25</t>
  </si>
  <si>
    <t xml:space="preserve">Typical pension charges (if your statement doesn't say)</t>
  </si>
  <si>
    <t xml:space="preserve">Suggested · change if you like · Allowed: 0% to 2.5% · steps of 0.05%</t>
  </si>
  <si>
    <t xml:space="preserve">Tax-free lump sum you plan to take (% of the fund)</t>
  </si>
  <si>
    <t xml:space="preserve">Suggested · change if you like · Allowed: 0% to 25% · steps of 1%</t>
  </si>
  <si>
    <t xml:space="preserve">Suggested: 25%</t>
  </si>
  <si>
    <t xml:space="preserve">What if: retire later by</t>
  </si>
  <si>
    <t xml:space="preserve">Allowed: 0 to 5 · steps of 1</t>
  </si>
  <si>
    <t xml:space="preserve">Default: 0</t>
  </si>
  <si>
    <t xml:space="preserve">What if: save more each month</t>
  </si>
  <si>
    <t xml:space="preserve">What if: spend less in retirement (a year)</t>
  </si>
  <si>
    <t xml:space="preserve">Allowed: €0 to €200,000 · steps of €500</t>
  </si>
  <si>
    <t xml:space="preserve">ƒx  =IF(ISBLANK(Stmt_Fund_Value),Pension_Today,Stmt_Fund_Value)</t>
  </si>
  <si>
    <t xml:space="preserve">ƒx  =IF(COUNT(Stmt_You_Monthly,Stmt_Employer_Monthly)=0,Monthly_Contribution,SUM(Stmt_You_Monthly,Stmt_Employer_Monthly))</t>
  </si>
  <si>
    <t xml:space="preserve">Growth after charges</t>
  </si>
  <si>
    <t xml:space="preserve">ƒx  =IF(ISBLANK(Stmt_Charges),Growth_Rate,Growth_Rate+Typical_Pension_Charges-Stmt_Charges)</t>
  </si>
  <si>
    <t xml:space="preserve">Use the statement's projected fund?</t>
  </si>
  <si>
    <t xml:space="preserve">ƒx  =IF(AND(NOT(ISBLANK(Stmt_Projected_Fund)),Stmt_NRA=Retirement_Age+Retire_Later,Save_More=0),"Yes","No")      (projection shown, its retirement age matches yours, and no "save more" what-if)</t>
  </si>
  <si>
    <t xml:space="preserve">Illustrative gap (today's money)</t>
  </si>
  <si>
    <t xml:space="preserve">ƒx  =IF(ISNUMBER(Fund_Today),Target_Today-Fund_Today,"Enter your inflation rate")</t>
  </si>
  <si>
    <t xml:space="preserve">Projected fund at retirement</t>
  </si>
  <si>
    <t xml:space="preserve">ƒx  =IF(Use_Statement_Projection="Yes",Stmt_Projected_Fund,Calculated_Fund)</t>
  </si>
  <si>
    <t xml:space="preserve">Projected fund in today's money</t>
  </si>
  <si>
    <t xml:space="preserve">ƒx  =IF(AND(Use_Statement_Projection="Yes",Stmt_Projection_Today&lt;&gt;"No"),Stmt_Projected_Fund,IF(ISBLANK(Inflation_Choice),"Enter your inflation rate",Projected_Fund/(1+Inflation_Choice)^Years_To_Retirement))      (a statement projection already in today's money is not deflated again)</t>
  </si>
  <si>
    <t xml:space="preserve">Calculated fund at retirement (our assumptions)</t>
  </si>
  <si>
    <t xml:space="preserve">ƒx  =Used_Pension_Today*(1+Used_Growth_Rate)^Years_To_Retirement+Contributions_Grow_To</t>
  </si>
  <si>
    <t xml:space="preserve">Illustrative target (today's money)</t>
  </si>
  <si>
    <t xml:space="preserve">ƒx  =MAX(0,Desired_Income-Spend_Less-Other_Income)*Retire_Multiple+Bridge_Years*Other_Income</t>
  </si>
  <si>
    <t xml:space="preserve">Years before the State Pension starts at 66 (to fund yourself)</t>
  </si>
  <si>
    <t xml:space="preserve">ƒx  =MAX(0,State_Pension_Age-(Retirement_Age+Retire_Later))</t>
  </si>
  <si>
    <t xml:space="preserve">Lump sum you could take at retirement (gross)</t>
  </si>
  <si>
    <t xml:space="preserve">ƒx  =MIN(Projected_Fund*Lump_Sum_Pct,Lump_Sum_Cap)      (first €200,000 tax-free, next €300,000 at 20%)</t>
  </si>
  <si>
    <t xml:space="preserve">Tax on the lump sum</t>
  </si>
  <si>
    <t xml:space="preserve">ƒx  =Lump_Sum_Rate*MAX(0,Lump_Sum-Lump_Sum_Tax_Free)</t>
  </si>
  <si>
    <t xml:space="preserve">Lump sum after tax</t>
  </si>
  <si>
    <t xml:space="preserve">ƒx  =Lump_Sum-Lump_Sum_Tax</t>
  </si>
  <si>
    <t xml:space="preserve">Message to show</t>
  </si>
  <si>
    <t xml:space="preserve">Years to retirement</t>
  </si>
  <si>
    <t xml:space="preserve">ƒx  =MAX(1,Retirement_Age+Retire_Later-Age)</t>
  </si>
  <si>
    <t xml:space="preserve">Monthly contribution incl. what-if</t>
  </si>
  <si>
    <t xml:space="preserve">ƒx  =Used_Monthly_Contribution+Save_More</t>
  </si>
  <si>
    <t xml:space="preserve">Contributions (rising with pay) grow to</t>
  </si>
  <si>
    <t xml:space="preserve">ƒx  =IF(Used_Growth_Rate=Wage,12*Contribution*Years_To_Retirement*(1+Used_Growth_Rate)^(Years_To_Retirement-1),12*Contribution*((1+Used_Growth_Rate)^Years_To_Retirement-(1+Wage)^Years_To_Retirement)/(Used_Growth_Rate-Wage))</t>
  </si>
  <si>
    <t xml:space="preserve">• Fund = pension today × (1 + growth)^years + each year's contributions (12 × monthly, rising with pay each year, added at the year end), the closed-form growing annuity.</t>
  </si>
  <si>
    <t xml:space="preserve">• The fund is future money, the target is today's money, so the fund is turned into today's money first: fund ÷ (1 + inflation)^years (audit Must fix: like-for-like gap).</t>
  </si>
  <si>
    <t xml:space="preserve">• Target = (desired income − spend less − other income) × your multiple (suggested 25), plus the State Pension you must fund yourself for each year you retire before 66. Gap = target − fund in today's money.</t>
  </si>
  <si>
    <t xml:space="preserve">• Desired income and the State Pension are before tax: the State Pension is taxable (USC-exempt) and drawdown pays income tax and USC. About 25% of the fund can be taken as a lump sum: the first €200,000 tax-free, the next €300,000 at 20%.</t>
  </si>
  <si>
    <t xml:space="preserve">• Years to retirement is at least 1.</t>
  </si>
  <si>
    <t xml:space="preserve">• If growth equals the pay-rise rate the growing-annuity formula divides by zero, so the equal-rate form 12 × contribution × years × (1+g)^(years−1) is used.</t>
  </si>
  <si>
    <t xml:space="preserve">• Gap ≤ 0 shows "On track: no gap".</t>
  </si>
  <si>
    <t xml:space="preserve">ƒx  ="Update your retirement goal (no new goal)"</t>
  </si>
  <si>
    <t xml:space="preserve">Yearly income in retirement (today's money)</t>
  </si>
  <si>
    <t xml:space="preserve">ƒx  =Desired_Income-Spend_Less</t>
  </si>
  <si>
    <t xml:space="preserve">Retirement age</t>
  </si>
  <si>
    <t xml:space="preserve">ƒx  =Retirement_Age+Retire_Later</t>
  </si>
  <si>
    <t xml:space="preserve">Audit fix: the old 25× lump sum spend goal double-counted the plan's own retirement goal.</t>
  </si>
  <si>
    <t xml:space="preserve">C13 · Contribution impact</t>
  </si>
  <si>
    <t xml:space="preserve">Question it answers: What difference would a small increase make?</t>
  </si>
  <si>
    <t xml:space="preserve">Prototype id: contrib</t>
  </si>
  <si>
    <t xml:space="preserve">Shows what raising your pension contributions by a % of salary could add by retirement, and what it costs after tax relief.</t>
  </si>
  <si>
    <t xml:space="preserve">Document: Pension benefit statement / PRSA statement. Blank = no statement uploaded, or the figure is not on it. Grey-blue cells are filled by the reader (you can type here to test).</t>
  </si>
  <si>
    <t xml:space="preserve">Salary</t>
  </si>
  <si>
    <t xml:space="preserve">Increase contributions by (% of salary)</t>
  </si>
  <si>
    <t xml:space="preserve">Allowed: 0.5% to 10% · steps of 0.5%</t>
  </si>
  <si>
    <t xml:space="preserve">Default: 2%</t>
  </si>
  <si>
    <t xml:space="preserve">Allowed: 1 to 45 · steps of 1</t>
  </si>
  <si>
    <t xml:space="preserve">Default: 25 · pre-filled from Plan: retirement age − age</t>
  </si>
  <si>
    <t xml:space="preserve">Growth assumption a year</t>
  </si>
  <si>
    <t xml:space="preserve">Suggested · change if you like · Allowed: 1% to 7% · steps of 0.5%</t>
  </si>
  <si>
    <t xml:space="preserve">Suggested: 4.5% · pre-filled from Plan: pension growth</t>
  </si>
  <si>
    <t xml:space="preserve">Your tax rate (0.2 = 20%, 0.4 = 40%)</t>
  </si>
  <si>
    <t xml:space="preserve">20% or 40%</t>
  </si>
  <si>
    <t xml:space="preserve">Allowed: 20% or 40%</t>
  </si>
  <si>
    <t xml:space="preserve">Default: 40% · pre-filled from Tax engine marginal rate (band by status: €44k single, €48k single parent, €53k married, + up to €35k second earner)</t>
  </si>
  <si>
    <t xml:space="preserve">Your age (for the pension relief limit)</t>
  </si>
  <si>
    <t xml:space="preserve">Allowed: 18 to 75 · steps of 1</t>
  </si>
  <si>
    <t xml:space="preserve">What you pay in yourself now, a year (counts towards the relief limit)</t>
  </si>
  <si>
    <t xml:space="preserve">Allowed: €0 to €1,000,000 · steps of €100</t>
  </si>
  <si>
    <t xml:space="preserve">Default: €0 · pre-filled from Your finances: your own pension contributions × 12</t>
  </si>
  <si>
    <t xml:space="preserve">Growth assumption</t>
  </si>
  <si>
    <t xml:space="preserve">Could add to your pension</t>
  </si>
  <si>
    <t xml:space="preserve">ƒx  =FV((1+Used_Growth_Rate)^(1/12)-1,Years*12,-Extra_Per_Month)</t>
  </si>
  <si>
    <t xml:space="preserve">Extra per month</t>
  </si>
  <si>
    <t xml:space="preserve">ƒx  =Salary*Increase_Pct/12</t>
  </si>
  <si>
    <t xml:space="preserve">Cost to you after tax relief, a month</t>
  </si>
  <si>
    <t xml:space="preserve">ƒx  =Extra_Per_Month-Relief_Per_Month</t>
  </si>
  <si>
    <t xml:space="preserve">Relief limit a year (age band × earnings up to €115,000)</t>
  </si>
  <si>
    <t xml:space="preserve">ƒx  =LOOKUP(Age,Relief_Age_From,Relief_Age_Pct)*MIN(Salary,Relief_Earnings_Cap)</t>
  </si>
  <si>
    <t xml:space="preserve">Extra that gets relief, a year</t>
  </si>
  <si>
    <t xml:space="preserve">ƒx  =MIN(Extra_Per_Month*12,MAX(0,Relief_Limit_Year-Existing_Pension_Year))</t>
  </si>
  <si>
    <t xml:space="preserve">Tax relief a month</t>
  </si>
  <si>
    <t xml:space="preserve">ƒx  =Relieved_Year*Tax_Rate/12</t>
  </si>
  <si>
    <t xml:space="preserve">• Extra a month = salary × increase ÷ 12. Value = FV(monthly growth, months, −extra): level end-of-month contributions.</t>
  </si>
  <si>
    <t xml:space="preserve">• Tax relief = the part of the extra within your relief limit × your tax rate (USC and PRSI still apply). Cost = extra − relief.</t>
  </si>
  <si>
    <t xml:space="preserve">• Tax rate is 20% or 40% only (list); it pre-fills from the Tax engine.</t>
  </si>
  <si>
    <t xml:space="preserve">• Relief only within the age-related limit (15% under 30 … 40% from 60) of earnings up to €115,000, less what you already pay in (audit #79).</t>
  </si>
  <si>
    <t xml:space="preserve">ƒx  ="No goal: raise the plan's pension contribution instead"</t>
  </si>
  <si>
    <t xml:space="preserve">Extra pension contribution a month</t>
  </si>
  <si>
    <t xml:space="preserve">ƒx  =Extra_Per_Month</t>
  </si>
  <si>
    <t xml:space="preserve">Audit fix: pension money is not a spend goal.</t>
  </si>
  <si>
    <t xml:space="preserve">C14 · AVC impact</t>
  </si>
  <si>
    <t xml:space="preserve">Question it answers: What could extra voluntary contributions add?</t>
  </si>
  <si>
    <t xml:space="preserve">Prototype id: avc</t>
  </si>
  <si>
    <t xml:space="preserve">Shows what extra voluntary contributions (AVCs) could add by retirement, and their cost after tax relief.</t>
  </si>
  <si>
    <t xml:space="preserve">Document: Pension benefit statement / PRSA / AVC statement. Blank = no statement uploaded, or the figure is not on it. Grey-blue cells are filled by the reader (you can type here to test).</t>
  </si>
  <si>
    <t xml:space="preserve">AVC per month</t>
  </si>
  <si>
    <t xml:space="preserve">Allowed: €25 to €20,000 · steps of €25</t>
  </si>
  <si>
    <t xml:space="preserve">Salary (for the relief limit)</t>
  </si>
  <si>
    <t xml:space="preserve">Default: 15 · pre-filled from Plan: retirement age − age</t>
  </si>
  <si>
    <t xml:space="preserve">Could add</t>
  </si>
  <si>
    <t xml:space="preserve">ƒx  =FV((1+Used_Growth_Rate)^(1/12)-1,Years*12,-AVC_Per_Month)</t>
  </si>
  <si>
    <t xml:space="preserve">ƒx  =AVC_Per_Month*12*Years</t>
  </si>
  <si>
    <t xml:space="preserve">Net cost to you</t>
  </si>
  <si>
    <t xml:space="preserve">ƒx  =Net_Cost_Per_Month*12*Years</t>
  </si>
  <si>
    <t xml:space="preserve">Net cost of each monthly AVC</t>
  </si>
  <si>
    <t xml:space="preserve">ƒx  =AVC_Per_Month-Relief_Per_Month</t>
  </si>
  <si>
    <t xml:space="preserve">AVC that gets relief, a year</t>
  </si>
  <si>
    <t xml:space="preserve">ƒx  =MIN(AVC_Per_Month*12,MAX(0,Relief_Limit_Year-Existing_Pension_Year))</t>
  </si>
  <si>
    <t xml:space="preserve">• Value = FV(monthly growth, months, −AVC). Tax relief = the part of the AVC within your relief limit (age band × earnings up to €115,000, less what you already pay) × your tax rate. Net cost = AVC − relief.</t>
  </si>
  <si>
    <t xml:space="preserve">• The age-related limit covers your main scheme and AVCs together: enter what you already pay in.</t>
  </si>
  <si>
    <t xml:space="preserve">ƒx  =AVC_Per_Month</t>
  </si>
  <si>
    <t xml:space="preserve">C15 · Will my money last?</t>
  </si>
  <si>
    <t xml:space="preserve">Question it answers: How long could my retirement savings last?</t>
  </si>
  <si>
    <t xml:space="preserve">Prototype id: lastmoney</t>
  </si>
  <si>
    <t xml:space="preserve">Shows how many full years your retirement savings could pay a yearly income that rises with prices.</t>
  </si>
  <si>
    <t xml:space="preserve">Document: Pension benefit statement / Statement of Reasonable Projection. Blank = no statement uploaded, or the figure is not on it. Grey-blue cells are filled by the reader (you can type here to test).</t>
  </si>
  <si>
    <t xml:space="preserve">Retirement savings</t>
  </si>
  <si>
    <t xml:space="preserve">Allowed: €10,000 to €30,000,000 · steps of €10,000</t>
  </si>
  <si>
    <t xml:space="preserve">Default: €400,000 · pre-filled from Plan: pension projected to retirement</t>
  </si>
  <si>
    <t xml:space="preserve">Yearly withdrawal (first year)</t>
  </si>
  <si>
    <t xml:space="preserve">Allowed: €1,000 to €2,000,000 · steps of €1,000</t>
  </si>
  <si>
    <t xml:space="preserve">Default: €24,000</t>
  </si>
  <si>
    <t xml:space="preserve">Growth assumption a year (once retired)</t>
  </si>
  <si>
    <t xml:space="preserve">Suggested · change if you like · Allowed: 0% to 7% · steps of 0.05%</t>
  </si>
  <si>
    <t xml:space="preserve">Suggested: 3.15% · pre-filled from Plan: pension growth once retired</t>
  </si>
  <si>
    <t xml:space="preserve">Withdrawal taken at the</t>
  </si>
  <si>
    <t xml:space="preserve">Start of year</t>
  </si>
  <si>
    <t xml:space="preserve">Suggested · change if you like · Allowed: Start of year or End of year</t>
  </si>
  <si>
    <t xml:space="preserve">Suggested: Start of year</t>
  </si>
  <si>
    <t xml:space="preserve">Your age when withdrawals start</t>
  </si>
  <si>
    <t xml:space="preserve">Allowed: 50 to 90 · steps of 1</t>
  </si>
  <si>
    <t xml:space="preserve">Default: 66 · pre-filled from Plan: retirement age</t>
  </si>
  <si>
    <t xml:space="preserve">Plan to age</t>
  </si>
  <si>
    <t xml:space="preserve">Suggested · change if you like · Allowed: 85 to 100 · steps of 1</t>
  </si>
  <si>
    <t xml:space="preserve">Suggested: 90</t>
  </si>
  <si>
    <t xml:space="preserve">ƒx  =IF(NOT(ISBLANK(Stmt_Projected_Fund)),Stmt_Projected_Fund,IF(NOT(ISBLANK(Stmt_Fund_Value)),Stmt_Fund_Value,Retirement_Savings))</t>
  </si>
  <si>
    <t xml:space="preserve">Could last about (full years)</t>
  </si>
  <si>
    <t xml:space="preserve">ƒx  =IF(ISBLANK(Inflation_Choice),"Enter your inflation rate",SUM(W_paid))</t>
  </si>
  <si>
    <t xml:space="preserve">Money lasts to about age</t>
  </si>
  <si>
    <t xml:space="preserve">ƒx  =IF(ISNUMBER(Years_Lasting),Age_At_Start+Years_Lasting,"Enter your inflation rate")</t>
  </si>
  <si>
    <t xml:space="preserve">Withdrawal rate (first year)</t>
  </si>
  <si>
    <t xml:space="preserve">ƒx  =Yearly_Withdrawal/Used_Retirement_Savings</t>
  </si>
  <si>
    <t xml:space="preserve">WORKING (one row per year; withdrawal at the start or end of the year, as chosen)</t>
  </si>
  <si>
    <t xml:space="preserve">Year</t>
  </si>
  <si>
    <t xml:space="preserve">Withdrawal (rises with inflation)</t>
  </si>
  <si>
    <t xml:space="preserve">Savings at the start of the year</t>
  </si>
  <si>
    <t xml:space="preserve">Paid in full? (1 = yes)</t>
  </si>
  <si>
    <t xml:space="preserve">Left at the end of the year</t>
  </si>
  <si>
    <t xml:space="preserve">• Each year (start-of-year timing): take the withdrawal, then the rest grows. End-of-year timing: the pot grows, then the withdrawal is taken. The withdrawal rises with inflation each year.</t>
  </si>
  <si>
    <t xml:space="preserve">• Years lasting = the number of years the full withdrawal could be paid (the "Paid in full" column).</t>
  </si>
  <si>
    <t xml:space="preserve">• Start of year is the suggested (prudent) timing; end of year is optimistic.</t>
  </si>
  <si>
    <t xml:space="preserve">• If the money lasts all 60 years of the table it shows "60+ years".</t>
  </si>
  <si>
    <t xml:space="preserve">• Before tax: ARF and vested PRSA withdrawals pay income tax and USC.</t>
  </si>
  <si>
    <t xml:space="preserve">C16 · Retirement drawdown scenarios</t>
  </si>
  <si>
    <t xml:space="preserve">Question it answers: How do different growth rates change things?</t>
  </si>
  <si>
    <t xml:space="preserve">Prototype id: drawdown</t>
  </si>
  <si>
    <t xml:space="preserve">Shows how long your retirement savings could last at three growth rates, with withdrawals rising with prices.</t>
  </si>
  <si>
    <t xml:space="preserve">Default: €20,000</t>
  </si>
  <si>
    <t xml:space="preserve">Cautious: growth a year</t>
  </si>
  <si>
    <t xml:space="preserve">Balanced: growth a year</t>
  </si>
  <si>
    <t xml:space="preserve">Growth: growth a year</t>
  </si>
  <si>
    <t xml:space="preserve">Suggested: 6%</t>
  </si>
  <si>
    <t xml:space="preserve">Balanced lasts (full years)</t>
  </si>
  <si>
    <t xml:space="preserve">ƒx  =IF(ISBLANK(Inflation_Choice),"Enter your inflation rate",SUM(W_b_paid))</t>
  </si>
  <si>
    <t xml:space="preserve">Cautious lasts (full years)</t>
  </si>
  <si>
    <t xml:space="preserve">ƒx  =IF(ISBLANK(Inflation_Choice),"Enter your inflation rate",SUM(W_c_paid))</t>
  </si>
  <si>
    <t xml:space="preserve">Growth lasts (full years)</t>
  </si>
  <si>
    <t xml:space="preserve">ƒx  =IF(ISBLANK(Inflation_Choice),"Enter your inflation rate",SUM(W_g_paid))</t>
  </si>
  <si>
    <t xml:space="preserve">WORKING (one row per year; withdrawal at the start of the year, rising with inflation)</t>
  </si>
  <si>
    <t xml:space="preserve">Withdrawal</t>
  </si>
  <si>
    <t xml:space="preserve">Cautious: savings at start</t>
  </si>
  <si>
    <t xml:space="preserve">Cautious: paid? (1 = yes)</t>
  </si>
  <si>
    <t xml:space="preserve">Balanced: savings at start</t>
  </si>
  <si>
    <t xml:space="preserve">Balanced: paid? (1 = yes)</t>
  </si>
  <si>
    <t xml:space="preserve">Growth: savings at start</t>
  </si>
  <si>
    <t xml:space="preserve">Growth: paid? (1 = yes)</t>
  </si>
  <si>
    <t xml:space="preserve">• Same rule as C15 at three growth rates (suggested 2%, 4%, 6%): withdraw at the start (or end) of each year, grow the rest, raise the withdrawal with inflation.</t>
  </si>
  <si>
    <t xml:space="preserve">• Years lasting = the number of years paid in full.</t>
  </si>
  <si>
    <t xml:space="preserve">• "60+ years" in every row when the money lasts the whole table.</t>
  </si>
  <si>
    <t xml:space="preserve">• Start of year is the suggested (prudent) timing.</t>
  </si>
  <si>
    <t xml:space="preserve">C17 · Inflation-adjusted return</t>
  </si>
  <si>
    <t xml:space="preserve">Question it answers: What is my money really worth in future?</t>
  </si>
  <si>
    <t xml:space="preserve">Prototype id: realreturn</t>
  </si>
  <si>
    <t xml:space="preserve">Shows what an amount could grow to, what that is worth in today's money, and the real return after inflation.</t>
  </si>
  <si>
    <t xml:space="preserve">Default: €20,000 · pre-filled from Your finances / statement: investments</t>
  </si>
  <si>
    <t xml:space="preserve">Return a year (before inflation)</t>
  </si>
  <si>
    <t xml:space="preserve">Suggested · change if you like · Allowed: 0% to 10% · steps of 0.25%</t>
  </si>
  <si>
    <t xml:space="preserve">Suggested: 5%</t>
  </si>
  <si>
    <t xml:space="preserve">In today's money</t>
  </si>
  <si>
    <t xml:space="preserve">ƒx  =IF(ISBLANK(Inflation_Choice),"Enter your inflation rate",Future_Value/(1+Inflation_Choice)^Years)</t>
  </si>
  <si>
    <t xml:space="preserve">Future value</t>
  </si>
  <si>
    <t xml:space="preserve">ƒx  =Used_Amount*(1+Nominal_Return)^Years</t>
  </si>
  <si>
    <t xml:space="preserve">Real return a year</t>
  </si>
  <si>
    <t xml:space="preserve">ƒx  =IF(ISBLANK(Inflation_Choice),"Enter your inflation rate",(1+Nominal_Return)/(1+Inflation_Choice)-1)</t>
  </si>
  <si>
    <t xml:space="preserve">• Future value = amount × (1 + return)^years; today's money = future value ÷ (1 + inflation)^years.</t>
  </si>
  <si>
    <t xml:space="preserve">• Real return = (1 + return) ÷ (1 + inflation) − 1, the exact figure (not return − inflation).</t>
  </si>
  <si>
    <t xml:space="preserve">• Before tax and charges.</t>
  </si>
  <si>
    <t xml:space="preserve">C18 · Regular investing</t>
  </si>
  <si>
    <t xml:space="preserve">Question it answers: What could investing monthly build?</t>
  </si>
  <si>
    <t xml:space="preserve">Prototype id: regularinvest</t>
  </si>
  <si>
    <t xml:space="preserve">Shows what investing a monthly amount could build after fees, what the fees cost, and the value in today's money.</t>
  </si>
  <si>
    <t xml:space="preserve">Monthly amount invested</t>
  </si>
  <si>
    <t xml:space="preserve">Allowed: €0 to €1,000,000</t>
  </si>
  <si>
    <t xml:space="preserve">Monthly amount</t>
  </si>
  <si>
    <t xml:space="preserve">Allowed: €25 to €50,000 · steps of €25</t>
  </si>
  <si>
    <t xml:space="preserve">Default: €300</t>
  </si>
  <si>
    <t xml:space="preserve">Growth a year (before fees)</t>
  </si>
  <si>
    <t xml:space="preserve">ƒx  =IF(COUNTA(Stmt_Monthly_Invested,Stmt_Charges,Stmt_Statement_Date)&gt;0,"Yes","No")</t>
  </si>
  <si>
    <t xml:space="preserve">ƒx  =IF(ISBLANK(Stmt_Monthly_Invested),Monthly_Amount,Stmt_Monthly_Invested)</t>
  </si>
  <si>
    <t xml:space="preserve">Could grow to after fees (today's money if you chose Yes)</t>
  </si>
  <si>
    <t xml:space="preserve">ƒx  =IF(Adjust_For_Inflation="Yes",Value_Today,Value_After_Fees)</t>
  </si>
  <si>
    <t xml:space="preserve">After fees</t>
  </si>
  <si>
    <t xml:space="preserve">ƒx  =FV((1+Growth_After_Fees)^(1/12)-1,Years*12,-Used_Monthly_Amount)</t>
  </si>
  <si>
    <t xml:space="preserve">Before fees</t>
  </si>
  <si>
    <t xml:space="preserve">ƒx  =FV((1+Growth_Rate)^(1/12)-1,Years*12,-Used_Monthly_Amount)</t>
  </si>
  <si>
    <t xml:space="preserve">ƒx  =Value_Before_Fees-Value_After_Fees</t>
  </si>
  <si>
    <t xml:space="preserve">ƒx  =Used_Monthly_Amount*12*Years</t>
  </si>
  <si>
    <t xml:space="preserve">ƒx  =IF(ISBLANK(Inflation_Choice),"Enter your inflation rate",Value_After_Fees/(1+Inflation_Choice)^Years)</t>
  </si>
  <si>
    <t xml:space="preserve">• Growth after fees = (1 + growth) × (1 − fees) − 1. Each value = FV(monthly rate, months, −monthly amount), monthly rate = (1 + yearly rate)^(1/12) − 1.</t>
  </si>
  <si>
    <t xml:space="preserve">• Fees cost = value before fees − value after fees. Today's money = after-fees value ÷ (1 + inflation)^years.</t>
  </si>
  <si>
    <t xml:space="preserve">• Results are before tax (exit tax 38%, deemed disposal; 1% levy on unit-linked premiums).</t>
  </si>
  <si>
    <t xml:space="preserve">Audit fix: the old goal sent the nominal value, which the plan then inflated again.</t>
  </si>
  <si>
    <t xml:space="preserve">C19 · Fees impact</t>
  </si>
  <si>
    <t xml:space="preserve">Question it answers: How much do fees really cost over time?</t>
  </si>
  <si>
    <t xml:space="preserve">Prototype id: fees</t>
  </si>
  <si>
    <t xml:space="preserve">Compares what an investment could grow to with two different yearly fees.</t>
  </si>
  <si>
    <t xml:space="preserve">Amount invested</t>
  </si>
  <si>
    <t xml:space="preserve">Allowed: €1,000 to €10,000,000 · steps of €100</t>
  </si>
  <si>
    <t xml:space="preserve">Default: €50,000 · pre-filled from Your finances / statement: investments</t>
  </si>
  <si>
    <t xml:space="preserve">Fee A a year</t>
  </si>
  <si>
    <t xml:space="preserve">Suggested: 0.5%</t>
  </si>
  <si>
    <t xml:space="preserve">Fee B a year</t>
  </si>
  <si>
    <t xml:space="preserve">Suggested: 1.5%</t>
  </si>
  <si>
    <t xml:space="preserve">ƒx  =IF(ISBLANK(Stmt_Total_Value),Amount_Invested,Stmt_Total_Value)</t>
  </si>
  <si>
    <t xml:space="preserve">Fee A (your current fee)</t>
  </si>
  <si>
    <t xml:space="preserve">ƒx  =IF(NOT(ISBLANK(Stmt_Charges)),Stmt_Charges,IF(Statement_Uploaded="Yes",0,Fee_A))</t>
  </si>
  <si>
    <t xml:space="preserve">Difference</t>
  </si>
  <si>
    <t xml:space="preserve">ƒx  =ABS(Value_With_Fee_A-Value_With_Fee_B)</t>
  </si>
  <si>
    <t xml:space="preserve">With fee A</t>
  </si>
  <si>
    <t xml:space="preserve">ƒx  =Used_Amount_Invested*((1+Growth_Rate)*(1-Used_Fee_A))^Years</t>
  </si>
  <si>
    <t xml:space="preserve">With fee B</t>
  </si>
  <si>
    <t xml:space="preserve">ƒx  =Used_Amount_Invested*((1+Growth_Rate)*(1-Fee_B))^Years</t>
  </si>
  <si>
    <t xml:space="preserve">Fee difference a year</t>
  </si>
  <si>
    <t xml:space="preserve">ƒx  =ABS(Fee_B-Used_Fee_A)</t>
  </si>
  <si>
    <t xml:space="preserve">• Value with a fee = amount × ((1 + growth) × (1 − fee))^years: the fee comes off the fund each year (exact, not growth − fee).</t>
  </si>
  <si>
    <t xml:space="preserve">• Before tax.</t>
  </si>
  <si>
    <t xml:space="preserve">C20 · Risk &amp; return simulator</t>
  </si>
  <si>
    <t xml:space="preserve">Question it answers: What range of outcomes might each style have?</t>
  </si>
  <si>
    <t xml:space="preserve">Prototype id: riskreturn</t>
  </si>
  <si>
    <t xml:space="preserve">Shows a weaker, middle and stronger outcome for a cautious, balanced or growth investment style.</t>
  </si>
  <si>
    <t xml:space="preserve">Holdings in shares % (if shown)</t>
  </si>
  <si>
    <t xml:space="preserve">Allowed: 0% to 100%</t>
  </si>
  <si>
    <t xml:space="preserve">Style: 1 Cautious · 2 Balanced · 3 Growth</t>
  </si>
  <si>
    <t xml:space="preserve">1, 2 or 3</t>
  </si>
  <si>
    <t xml:space="preserve">Allowed: 1 or 2 or 3</t>
  </si>
  <si>
    <t xml:space="preserve">Default: 2</t>
  </si>
  <si>
    <t xml:space="preserve">Cautious: middle growth a year</t>
  </si>
  <si>
    <t xml:space="preserve">Balanced: middle growth a year</t>
  </si>
  <si>
    <t xml:space="preserve">Growth: middle growth a year</t>
  </si>
  <si>
    <t xml:space="preserve">Cautious: volatility a year</t>
  </si>
  <si>
    <t xml:space="preserve">Suggested · change if you like · Allowed: 0% to 25% · steps of 0.5%</t>
  </si>
  <si>
    <t xml:space="preserve">Balanced: volatility a year</t>
  </si>
  <si>
    <t xml:space="preserve">Suggested: 10%</t>
  </si>
  <si>
    <t xml:space="preserve">Growth: volatility a year</t>
  </si>
  <si>
    <t xml:space="preserve">Suggested: 16%</t>
  </si>
  <si>
    <t xml:space="preserve">Style</t>
  </si>
  <si>
    <t xml:space="preserve">ƒx  =IF(ISBLANK(Stmt_Shares_Pct),Style,IF(Stmt_Shares_Pct&gt;=Shares_For_Growth,3,IF(Stmt_Shares_Pct&gt;=Shares_For_Balanced,2,1)))</t>
  </si>
  <si>
    <t xml:space="preserve">Middle outcome</t>
  </si>
  <si>
    <t xml:space="preserve">ƒx  =Used_Amount*(1+Middle_Growth)^Years</t>
  </si>
  <si>
    <t xml:space="preserve">Weaker outcome</t>
  </si>
  <si>
    <t xml:space="preserve">ƒx  =Used_Amount*(1+Middle_Growth-Spread)^Years</t>
  </si>
  <si>
    <t xml:space="preserve">Stronger outcome</t>
  </si>
  <si>
    <t xml:space="preserve">ƒx  =Used_Amount*(1+Middle_Growth+Spread)^Years</t>
  </si>
  <si>
    <t xml:space="preserve">About a 1-in-20 bad year could see a fall of around</t>
  </si>
  <si>
    <t xml:space="preserve">ƒx  =ROUND((Volatility*One_In_20_Z-Middle_Growth)*100,0)/100</t>
  </si>
  <si>
    <t xml:space="preserve">ƒx  =IF(OR(Used_Style&lt;1,Used_Style&gt;3,Used_Style&lt;&gt;INT(Used_Style)),"Choose 1, 2 or 3",INDEX(Risk_Names,Used_Style))</t>
  </si>
  <si>
    <t xml:space="preserve">Middle growth a year</t>
  </si>
  <si>
    <t xml:space="preserve">ƒx  =CHOOSE(Used_Style,Mu_Cautious,Mu_Balanced,Mu_Growth)</t>
  </si>
  <si>
    <t xml:space="preserve">Volatility a year</t>
  </si>
  <si>
    <t xml:space="preserve">ƒx  =CHOOSE(Used_Style,Vol_Cautious,Vol_Balanced,Vol_Growth)</t>
  </si>
  <si>
    <t xml:space="preserve">Spread a year over the period</t>
  </si>
  <si>
    <t xml:space="preserve">ƒx  =Volatility/SQRT(Years)</t>
  </si>
  <si>
    <t xml:space="preserve">• Middle = amount × (1 + middle growth)^years. Weaker / stronger = the same with growth − / + spread, where spread = volatility ÷ √years (ranges narrow over time).</t>
  </si>
  <si>
    <t xml:space="preserve">• A 1-in-20 bad year = middle growth − 1.645 × volatility (audit #81), shown as a fall rounded to a whole %.</t>
  </si>
  <si>
    <t xml:space="preserve">• Style must be 1, 2 or 3 (list): no decimals, so no "€NaN".</t>
  </si>
  <si>
    <t xml:space="preserve">• Illustrative only; "weaker" is roughly a 1-in-6 chance of doing worse, not the worst case.</t>
  </si>
  <si>
    <t xml:space="preserve">C21 · Life cover estimator</t>
  </si>
  <si>
    <t xml:space="preserve">Category: Protection</t>
  </si>
  <si>
    <t xml:space="preserve">Question it answers: How much cover might my family need?</t>
  </si>
  <si>
    <t xml:space="preserve">Prototype id: lifecover</t>
  </si>
  <si>
    <t xml:space="preserve">Estimates the life cover gap: income your family would need, plus debts to clear, less what you already have.</t>
  </si>
  <si>
    <t xml:space="preserve">Allowed: €0 to €3,000,000 · steps of €1,000</t>
  </si>
  <si>
    <t xml:space="preserve">Years your family would need support</t>
  </si>
  <si>
    <t xml:space="preserve">Suggested: 15</t>
  </si>
  <si>
    <t xml:space="preserve">Share of your income your family would need</t>
  </si>
  <si>
    <t xml:space="preserve">Suggested · change if you like · Allowed: 30% to 100% · steps of 5%</t>
  </si>
  <si>
    <t xml:space="preserve">Suggested: 60%</t>
  </si>
  <si>
    <t xml:space="preserve">Allowed: €0 to €10,000,000 · steps of €5,000</t>
  </si>
  <si>
    <t xml:space="preserve">Default: €250,000 · pre-filled from Your finances: mortgage balance</t>
  </si>
  <si>
    <t xml:space="preserve">Is the mortgage cleared by mortgage protection? (most are)</t>
  </si>
  <si>
    <t xml:space="preserve">Default: Yes</t>
  </si>
  <si>
    <t xml:space="preserve">Other debts</t>
  </si>
  <si>
    <t xml:space="preserve">Default: €10,000 · pre-filled from Your finances: debts</t>
  </si>
  <si>
    <t xml:space="preserve">Savings &amp; investments</t>
  </si>
  <si>
    <t xml:space="preserve">Allowed: €0 to €10,000,000 · steps of €1,000</t>
  </si>
  <si>
    <t xml:space="preserve">Default: €20,000 · pre-filled from Your finances: cash + investments</t>
  </si>
  <si>
    <t xml:space="preserve">Existing life cover (incl. through work)</t>
  </si>
  <si>
    <t xml:space="preserve">Allowed: €0 to €20,000,000 · steps of €10,000</t>
  </si>
  <si>
    <t xml:space="preserve">Default: €100,000</t>
  </si>
  <si>
    <t xml:space="preserve">State survivor's pension a week (0 if none)</t>
  </si>
  <si>
    <t xml:space="preserve">€ a week</t>
  </si>
  <si>
    <t xml:space="preserve">Allowed: €0 to €1,000 · steps of €0.50</t>
  </si>
  <si>
    <t xml:space="preserve">Default: €259.50</t>
  </si>
  <si>
    <t xml:space="preserve">Illustrative cover gap</t>
  </si>
  <si>
    <t xml:space="preserve">ƒx  =MAX(0,Income_Need+Debts_To_Clear-Already_Have)</t>
  </si>
  <si>
    <t xml:space="preserve">Income your family would need (after State pension)</t>
  </si>
  <si>
    <t xml:space="preserve">ƒx  =MAX(0,Yearly_Income*Life_Replace-Survivor_Pension*Weeks_Per_Year)*Years_Support</t>
  </si>
  <si>
    <t xml:space="preserve">Debts to clear</t>
  </si>
  <si>
    <t xml:space="preserve">ƒx  =IF(Mortgage_Protected="Yes",0,Used_Mortgage_Balance)+Other_Debts</t>
  </si>
  <si>
    <t xml:space="preserve">Existing cover + savings</t>
  </si>
  <si>
    <t xml:space="preserve">ƒx  =Existing_Cover+Savings</t>
  </si>
  <si>
    <t xml:space="preserve">Income replacement before State pension (60%)</t>
  </si>
  <si>
    <t xml:space="preserve">ƒx  =Yearly_Income*Life_Replace*Years_Support</t>
  </si>
  <si>
    <t xml:space="preserve">• Income need = (60% of gross income − State survivor's pension × 52) a year × years of support (never below 0).</t>
  </si>
  <si>
    <t xml:space="preserve">• Debts to clear = other debts, plus the mortgage only if mortgage protection does not already clear it (it is required for most home loans, CCA 1995 s.126).</t>
  </si>
  <si>
    <t xml:space="preserve">• Gap = income need + debts − existing cover − savings (never below 0).</t>
  </si>
  <si>
    <t xml:space="preserve">• Income need is not discounted (assumes the payout earns about inflation).</t>
  </si>
  <si>
    <t xml:space="preserve">• Survivor's pension defaults to the 2026 rate under 66 (€259.50 a week); enter 0 if it would not be paid.</t>
  </si>
  <si>
    <t xml:space="preserve">ƒx  ="No goal: record a protection need for the adviser"</t>
  </si>
  <si>
    <t xml:space="preserve">Life cover need</t>
  </si>
  <si>
    <t xml:space="preserve">ƒx  =Cover_Gap</t>
  </si>
  <si>
    <t xml:space="preserve">Audit fix: life cover is bought for a premium; it is not money to save.</t>
  </si>
  <si>
    <t xml:space="preserve">C22 · Income protection gap</t>
  </si>
  <si>
    <t xml:space="preserve">Question it answers: How long could I cope if I couldn't work?</t>
  </si>
  <si>
    <t xml:space="preserve">Prototype id: incomegap</t>
  </si>
  <si>
    <t xml:space="preserve">Shows how long you could cope if you couldn't work, after Illness Benefit, and the income protection to aim for.</t>
  </si>
  <si>
    <t xml:space="preserve">Months of sick pay from your employer's scheme</t>
  </si>
  <si>
    <t xml:space="preserve">Allowed: 0 to 12 · steps of 1</t>
  </si>
  <si>
    <t xml:space="preserve">Default: €8,000 · pre-filled from Your finances: cash</t>
  </si>
  <si>
    <t xml:space="preserve">Illness Benefit a week</t>
  </si>
  <si>
    <t xml:space="preserve">Allowed: €0 to €500 · steps of €0.50</t>
  </si>
  <si>
    <t xml:space="preserve">Default: €254</t>
  </si>
  <si>
    <t xml:space="preserve">You could cope for about (months)</t>
  </si>
  <si>
    <t xml:space="preserve">ƒx  =IF(Monthly_Gap=0,"Indefinitely",Sick_Pay_Months+Savings/Monthly_Gap)</t>
  </si>
  <si>
    <t xml:space="preserve">Monthly gap after Illness Benefit</t>
  </si>
  <si>
    <t xml:space="preserve">ƒx  =MAX(0,Essential_Spending-Illness_Benefit_Month)</t>
  </si>
  <si>
    <t xml:space="preserve">Income protection to aim for, a month</t>
  </si>
  <si>
    <t xml:space="preserve">ƒx  =MIN(Monthly_Gap,IP_Max)</t>
  </si>
  <si>
    <t xml:space="preserve">Illness Benefit a month (weekly × 52 ÷ 12)</t>
  </si>
  <si>
    <t xml:space="preserve">ƒx  =Illness_Benefit*Weeks_Per_Year/12</t>
  </si>
  <si>
    <t xml:space="preserve">Savings would cover (months)</t>
  </si>
  <si>
    <t xml:space="preserve">ƒx  =IF(Monthly_Gap=0,"Indefinitely",Savings/Monthly_Gap)</t>
  </si>
  <si>
    <t xml:space="preserve">Most income protection allowed, a month (75% of income less Illness Benefit)</t>
  </si>
  <si>
    <t xml:space="preserve">ƒx  =MAX(0,Gross_Income*IP_Max_Pct/12-Illness_Benefit_Month)</t>
  </si>
  <si>
    <t xml:space="preserve">• Illness Benefit a month = weekly rate (default €254, the 2026 maximum) × 52 ÷ 12. Monthly gap = essential spending − Illness Benefit (never below 0).</t>
  </si>
  <si>
    <t xml:space="preserve">• Months you could cope = sick-pay months + savings ÷ monthly gap.</t>
  </si>
  <si>
    <t xml:space="preserve">• Income protection to aim for = the gap, but no more than 75% of gross income less Illness Benefit (insurers' usual maximum).</t>
  </si>
  <si>
    <t xml:space="preserve">• If Illness Benefit covers the spending, show "Indefinitely".</t>
  </si>
  <si>
    <t xml:space="preserve">• Illness Benefit depends on PRSI contributions and starts after waiting days; statutory sick pay is only 5 days.</t>
  </si>
  <si>
    <t xml:space="preserve">ƒx  ="No goal: record an income protection need for the adviser"</t>
  </si>
  <si>
    <t xml:space="preserve">Income protection need, a month</t>
  </si>
  <si>
    <t xml:space="preserve">ƒx  =IP_Needed</t>
  </si>
  <si>
    <t xml:space="preserve">C23 · Mortgage protection</t>
  </si>
  <si>
    <t xml:space="preserve">Question it answers: What cover would clear my mortgage?</t>
  </si>
  <si>
    <t xml:space="preserve">Prototype id: mortgageprotect</t>
  </si>
  <si>
    <t xml:space="preserve">Shows the cover needed to clear your mortgage today and how the balance falls over time.</t>
  </si>
  <si>
    <t xml:space="preserve">Allowed: €20,000 to €10,000,000 · steps of €5,000</t>
  </si>
  <si>
    <t xml:space="preserve">Cover needed today</t>
  </si>
  <si>
    <t xml:space="preserve">ƒx  =Used_Mortgage_Balance</t>
  </si>
  <si>
    <t xml:space="preserve">Balance in 5 years</t>
  </si>
  <si>
    <t xml:space="preserve">ƒx  =IF(Warning&lt;&gt;"","—",MAX(0,-FV(Monthly_Rate,MP_Year_1*12,-Repayment,Used_Mortgage_Balance)))</t>
  </si>
  <si>
    <t xml:space="preserve">Balance in 10 years</t>
  </si>
  <si>
    <t xml:space="preserve">ƒx  =IF(Warning&lt;&gt;"","—",MAX(0,-FV(Monthly_Rate,MP_Year_2*12,-Repayment,Used_Mortgage_Balance)))</t>
  </si>
  <si>
    <t xml:space="preserve">Balance in 15 years</t>
  </si>
  <si>
    <t xml:space="preserve">ƒx  =IF(Warning&lt;&gt;"","—",MAX(0,-FV(Monthly_Rate,MP_Year_3*12,-Repayment,Used_Mortgage_Balance)))</t>
  </si>
  <si>
    <t xml:space="preserve">Monthly repayment used</t>
  </si>
  <si>
    <t xml:space="preserve">• Balance after n years = −FV(rate ÷ 12, n × 12, −repayment, balance): the closed-form outstanding balance; 0 once the mortgage is paid off.</t>
  </si>
  <si>
    <t xml:space="preserve">• If the repayment does not cover the interest, show the warning and no future balances (they would grow).</t>
  </si>
  <si>
    <t xml:space="preserve">C24 · Net worth</t>
  </si>
  <si>
    <t xml:space="preserve">Category: Everyday Money</t>
  </si>
  <si>
    <t xml:space="preserve">Question it answers: What am I worth, all in?</t>
  </si>
  <si>
    <t xml:space="preserve">Prototype id: networth</t>
  </si>
  <si>
    <t xml:space="preserve">Adds up what you own and what you owe.</t>
  </si>
  <si>
    <t xml:space="preserve">Document: Mortgage statement, property valuation, pension statement, investment statement. Blank = no statement uploaded, or the figure is not on it. Grey-blue cells are filled by the reader (you can type here to test).</t>
  </si>
  <si>
    <t xml:space="preserve">Property value (valuation)</t>
  </si>
  <si>
    <t xml:space="preserve">Savings</t>
  </si>
  <si>
    <t xml:space="preserve">Allowed: €0 to €10,000,000 · steps of €500</t>
  </si>
  <si>
    <t xml:space="preserve">Default: €15,000 · pre-filled from Your finances: cash</t>
  </si>
  <si>
    <t xml:space="preserve">Allowed: €0 to €20,000,000 · steps of €1,000</t>
  </si>
  <si>
    <t xml:space="preserve">Default: €10,000 · pre-filled from Your finances: investments</t>
  </si>
  <si>
    <t xml:space="preserve">Pensions</t>
  </si>
  <si>
    <t xml:space="preserve">Allowed: €0 to €30,000,000 · steps of €1,000</t>
  </si>
  <si>
    <t xml:space="preserve">Default: €60,000 · pre-filled from Your finances: pension</t>
  </si>
  <si>
    <t xml:space="preserve">Property value</t>
  </si>
  <si>
    <t xml:space="preserve">Allowed: €0 to €50,000,000 · steps of €5,000</t>
  </si>
  <si>
    <t xml:space="preserve">Default: €350,000 · pre-filled from Your finances: home + other property</t>
  </si>
  <si>
    <t xml:space="preserve">Allowed: €0 to €30,000,000 · steps of €5,000</t>
  </si>
  <si>
    <t xml:space="preserve">Other loans</t>
  </si>
  <si>
    <t xml:space="preserve">Allowed: €0 to €5,000,000 · steps of €500</t>
  </si>
  <si>
    <t xml:space="preserve">Default: €8,000 · pre-filled from Your finances: debts</t>
  </si>
  <si>
    <t xml:space="preserve">ƒx  =IF(ISBLANK(Stmt_Mortgage_Balance),Mortgage,Stmt_Mortgage_Balance)</t>
  </si>
  <si>
    <t xml:space="preserve">ƒx  =IF(ISBLANK(Stmt_Property_Value),Property,Stmt_Property_Value)</t>
  </si>
  <si>
    <t xml:space="preserve">ƒx  =IF(ISBLANK(Stmt_Pension_Value),Pensions,Stmt_Pension_Value)</t>
  </si>
  <si>
    <t xml:space="preserve">ƒx  =IF(ISBLANK(Stmt_Investment_Value),Investments,Stmt_Investment_Value)</t>
  </si>
  <si>
    <t xml:space="preserve">Your net worth</t>
  </si>
  <si>
    <t xml:space="preserve">ƒx  =You_Own-You_Owe</t>
  </si>
  <si>
    <t xml:space="preserve">You own</t>
  </si>
  <si>
    <t xml:space="preserve">ƒx  =Savings+Used_Investments+Used_Pensions+Used_Property</t>
  </si>
  <si>
    <t xml:space="preserve">You owe</t>
  </si>
  <si>
    <t xml:space="preserve">ƒx  =Used_Mortgage+Other_Loans</t>
  </si>
  <si>
    <t xml:space="preserve">• Net worth = everything you own − everything you owe.</t>
  </si>
  <si>
    <t xml:space="preserve">• Can be negative. Pensions are before tax; property is before selling costs.</t>
  </si>
  <si>
    <t xml:space="preserve">C25 · Monthly surplus</t>
  </si>
  <si>
    <t xml:space="preserve">Question it answers: What is left at the end of the month?</t>
  </si>
  <si>
    <t xml:space="preserve">Prototype id: surplus</t>
  </si>
  <si>
    <t xml:space="preserve">Shows what is left of your take-home pay each month.</t>
  </si>
  <si>
    <t xml:space="preserve">Take-home pay per month (leave blank to use the Tax engine)</t>
  </si>
  <si>
    <t xml:space="preserve">Allowed: €500 to €200,000 · steps of €50</t>
  </si>
  <si>
    <t xml:space="preserve">Starts blank: the client chooses.</t>
  </si>
  <si>
    <t xml:space="preserve">Essentials (rent/mortgage, bills, food)</t>
  </si>
  <si>
    <t xml:space="preserve">Allowed: €0 to €150,000 · steps of €50</t>
  </si>
  <si>
    <t xml:space="preserve">Default: €2,000 · pre-filled from Your finances: costs + one-offs ÷ 12 + mortgage</t>
  </si>
  <si>
    <t xml:space="preserve">Lifestyle spending</t>
  </si>
  <si>
    <t xml:space="preserve">Allowed: €0 to €100,000 · steps of €50</t>
  </si>
  <si>
    <t xml:space="preserve">Debt repayments</t>
  </si>
  <si>
    <t xml:space="preserve">Allowed: €0 to €50,000 · steps of €25</t>
  </si>
  <si>
    <t xml:space="preserve">Default: €200 · pre-filled from Your finances: debt repayments</t>
  </si>
  <si>
    <t xml:space="preserve">Take-home pay per month</t>
  </si>
  <si>
    <t xml:space="preserve">ƒx  =IF(ISBLANK(Take_Home),TE_Take_Home_Month,Take_Home)</t>
  </si>
  <si>
    <t xml:space="preserve">Monthly surplus</t>
  </si>
  <si>
    <t xml:space="preserve">ƒx  =Used_Take_Home-Essentials-Lifestyle-Debt_Repayments</t>
  </si>
  <si>
    <t xml:space="preserve">Going out</t>
  </si>
  <si>
    <t xml:space="preserve">ƒx  =Essentials+Lifestyle+Debt_Repayments</t>
  </si>
  <si>
    <t xml:space="preserve">• Surplus = take-home − essentials − lifestyle − debt repayments.</t>
  </si>
  <si>
    <t xml:space="preserve">• €0 shows "Nothing left over this month"; below €0 shows "Spending is above income".</t>
  </si>
  <si>
    <t xml:space="preserve">ƒx  =IF(Surplus&gt;0,"Save my surplus (plan kind pot)","No goal")</t>
  </si>
  <si>
    <t xml:space="preserve">Amount (a year)</t>
  </si>
  <si>
    <t xml:space="preserve">ƒx  =IF(Surplus&gt;0,ROUND(Surplus*12,0),"—")</t>
  </si>
  <si>
    <t xml:space="preserve">ƒx  =IF(Surplus&gt;0,1,"—")</t>
  </si>
  <si>
    <t xml:space="preserve">C26 · Budget (50/30/20)</t>
  </si>
  <si>
    <t xml:space="preserve">Question it answers: A simple way to split your pay</t>
  </si>
  <si>
    <t xml:space="preserve">Prototype id: budget</t>
  </si>
  <si>
    <t xml:space="preserve">Splits take-home pay 50% needs, 30% wants, 20% savings and debt.</t>
  </si>
  <si>
    <t xml:space="preserve">Share for needs</t>
  </si>
  <si>
    <t xml:space="preserve">Suggested · change if you like · Allowed: 0% to 100% · steps of 5%</t>
  </si>
  <si>
    <t xml:space="preserve">Suggested: 50%</t>
  </si>
  <si>
    <t xml:space="preserve">Share for wants</t>
  </si>
  <si>
    <t xml:space="preserve">Suggested: 30%</t>
  </si>
  <si>
    <t xml:space="preserve">Share for savings and debt</t>
  </si>
  <si>
    <t xml:space="preserve">Suggested: 20%</t>
  </si>
  <si>
    <t xml:space="preserve">Save each month</t>
  </si>
  <si>
    <t xml:space="preserve">ƒx  =Used_Take_Home*Budget_Save</t>
  </si>
  <si>
    <t xml:space="preserve">Needs</t>
  </si>
  <si>
    <t xml:space="preserve">ƒx  =Used_Take_Home*Budget_Needs</t>
  </si>
  <si>
    <t xml:space="preserve">Wants</t>
  </si>
  <si>
    <t xml:space="preserve">ƒx  =Used_Take_Home*Budget_Wants</t>
  </si>
  <si>
    <t xml:space="preserve">• Each part = take-home × its share (Assumptions).</t>
  </si>
  <si>
    <t xml:space="preserve">• A rule of thumb, applied to take-home (net) pay.</t>
  </si>
  <si>
    <t xml:space="preserve">C27 · Debt repayment</t>
  </si>
  <si>
    <t xml:space="preserve">Question it answers: How fast can I clear my debt?</t>
  </si>
  <si>
    <t xml:space="preserve">Prototype id: debtpay</t>
  </si>
  <si>
    <t xml:space="preserve">Shows how long it takes to clear a debt at your monthly payment and the interest you would pay.</t>
  </si>
  <si>
    <t xml:space="preserve">Balance</t>
  </si>
  <si>
    <t xml:space="preserve">Allowed: €100 to €1,000,000 · steps of €100</t>
  </si>
  <si>
    <t xml:space="preserve">Default: €5,000 · pre-filled from Your finances: the debt that takes longest to clear</t>
  </si>
  <si>
    <t xml:space="preserve">Interest (APR)</t>
  </si>
  <si>
    <t xml:space="preserve">Suggested · change if you like · Allowed: 0% to 35% · steps of 0.5%</t>
  </si>
  <si>
    <t xml:space="preserve">Suggested: 20% · pre-filled from Your finances: that debt's rate (else 20% card / 8% loan)</t>
  </si>
  <si>
    <t xml:space="preserve">Monthly payment</t>
  </si>
  <si>
    <t xml:space="preserve">Allowed: €10 to €50,000 · steps of €10</t>
  </si>
  <si>
    <t xml:space="preserve">Default: €250 · pre-filled from Your finances: that debt's repayment</t>
  </si>
  <si>
    <t xml:space="preserve">What if: pay extra each month</t>
  </si>
  <si>
    <t xml:space="preserve">Allowed: €0 to €10,000 · steps of €10</t>
  </si>
  <si>
    <t xml:space="preserve">Debt free in (months)</t>
  </si>
  <si>
    <t xml:space="preserve">ƒx  =IF(Payment&lt;=Balance*Monthly_Rate,"Never",ROUNDUP(ROUND(NPER(Monthly_Rate,-Payment,Balance),6),0))</t>
  </si>
  <si>
    <t xml:space="preserve">ƒx  =IF(Months_To_Clear="Never","—",Payment*(Months_To_Clear-1)+Final_Payment-Balance)</t>
  </si>
  <si>
    <t xml:space="preserve">Monthly interest rate from the APR</t>
  </si>
  <si>
    <t xml:space="preserve">ƒx  =(1+APR)^(1/12)-1</t>
  </si>
  <si>
    <t xml:space="preserve">Monthly payment incl. extra</t>
  </si>
  <si>
    <t xml:space="preserve">ƒx  =Monthly_Payment+Extra_Payment</t>
  </si>
  <si>
    <t xml:space="preserve">ƒx  =IF(Months_To_Clear="Never","—",-FV(Monthly_Rate,Months_To_Clear-1,-Payment,Balance)*(1+Monthly_Rate))</t>
  </si>
  <si>
    <t xml:space="preserve">• An APR is an effective yearly rate (EU Consumer Credit Directive), so the monthly rate = (1 + APR)^(1/12) − 1 (audit Should fix; not APR ÷ 12).</t>
  </si>
  <si>
    <t xml:space="preserve">• Months = NPER(monthly rate, −payment, balance), rounded up. Total interest = full payments + last part payment − balance.</t>
  </si>
  <si>
    <t xml:space="preserve">• More than 1,200 months shows "Payment too low to clear this debt in a reasonable time"; no goal is sent.</t>
  </si>
  <si>
    <t xml:space="preserve">ƒx  ="No goal (the plan already repays this debt)"</t>
  </si>
  <si>
    <t xml:space="preserve">Audit fix: the old goal sent the balance as a cash spend, double-counting the repayments.</t>
  </si>
  <si>
    <t xml:space="preserve">C28 · Loan repayment</t>
  </si>
  <si>
    <t xml:space="preserve">Question it answers: What would a loan cost me?</t>
  </si>
  <si>
    <t xml:space="preserve">Prototype id: loan</t>
  </si>
  <si>
    <t xml:space="preserve">Shows the monthly repayment and total cost of a loan.</t>
  </si>
  <si>
    <t xml:space="preserve">Loan amount</t>
  </si>
  <si>
    <t xml:space="preserve">Allowed: €500 to €1,000,000 · steps of €500</t>
  </si>
  <si>
    <t xml:space="preserve">Suggested: 8%</t>
  </si>
  <si>
    <t xml:space="preserve">Allowed: 1 to 10 · steps of 1</t>
  </si>
  <si>
    <t xml:space="preserve">Default: 5</t>
  </si>
  <si>
    <t xml:space="preserve">ƒx  =PMT(Monthly_Rate,Years*12,-Loan_Amount)</t>
  </si>
  <si>
    <t xml:space="preserve">ƒx  =Total_Repaid-Loan_Amount</t>
  </si>
  <si>
    <t xml:space="preserve">ƒx  =Monthly_Repayment*Years*12</t>
  </si>
  <si>
    <t xml:space="preserve">• Monthly rate = (1 + APR)^(1/12) − 1 (APR is an effective yearly rate). Repayment = PMT(monthly rate, months, −amount).</t>
  </si>
  <si>
    <t xml:space="preserve">• Total repaid = repayment × months; total interest = total repaid − amount.</t>
  </si>
  <si>
    <t xml:space="preserve">Tax engine: take-home pay, 2026 rules</t>
  </si>
  <si>
    <t xml:space="preserve">Irish rules 2026 · checked 2 Oct 2026 · income tax bands and credits, USC and PRSI Class A (all values from the Assumptions register). Used by C25 and C26.</t>
  </si>
  <si>
    <t xml:space="preserve">Tax status</t>
  </si>
  <si>
    <t xml:space="preserve">Single</t>
  </si>
  <si>
    <t xml:space="preserve">Single, Single parent (main carer of a child, no partner), Married one earner, Married two earners (also civil partners).</t>
  </si>
  <si>
    <t xml:space="preserve">Your gross yearly pay</t>
  </si>
  <si>
    <t xml:space="preserve">Gross pay before tax, € a year.</t>
  </si>
  <si>
    <t xml:space="preserve">Partner's gross yearly pay (married two earners only)</t>
  </si>
  <si>
    <t xml:space="preserve">Used only when the status is Married two earners.</t>
  </si>
  <si>
    <t xml:space="preserve">Do you pay rent on your home, not to a relative? (Rent Tax Credit)</t>
  </si>
  <si>
    <t xml:space="preserve">Rent Tax Credit €1,000 single / €2,000 jointly assessed, to end-2028.</t>
  </si>
  <si>
    <t xml:space="preserve">Home Carer Tax Credit applies? (married one earner caring for a dependant)</t>
  </si>
  <si>
    <t xml:space="preserve">€1,950 (verify the 2026 rate and carer-income limit).</t>
  </si>
  <si>
    <t xml:space="preserve">PRSI rate basis</t>
  </si>
  <si>
    <t xml:space="preserve">From 1 Oct 2026</t>
  </si>
  <si>
    <t xml:space="preserve">From 1 Oct 2026 = 4.35%. Calendar 2026 blend = 4.2375% (9 months at 4.2%, 3 at 4.35%).</t>
  </si>
  <si>
    <t xml:space="preserve">RESULTS (for the inputs above)</t>
  </si>
  <si>
    <t xml:space="preserve">PRSI rate used</t>
  </si>
  <si>
    <t xml:space="preserve">ƒx  =IF(TE_PRSI_Basis="Calendar 2026 blend",PRSI_Rate_2026_Blend,PRSI_Rate)</t>
  </si>
  <si>
    <t xml:space="preserve">Partner's pay counted</t>
  </si>
  <si>
    <t xml:space="preserve">ƒx  =IF(TE_Status="Married two earners",TE_Gross_2,0)</t>
  </si>
  <si>
    <t xml:space="preserve">Standard-rate band</t>
  </si>
  <si>
    <t xml:space="preserve">ƒx  =IF(TE_Status="Single",Band_Single,IF(TE_Status="Single parent",Band_Single_Parent,IF(TE_Status="Married one earner",Band_Married,Band_Married+MIN(MIN(TE_Gross_1,TE_Gross_2),Band_Second_Earner_Max))))</t>
  </si>
  <si>
    <t xml:space="preserve">Income taxed (household)</t>
  </si>
  <si>
    <t xml:space="preserve">ƒx  =TE_Gross_1+TE_Earner_2</t>
  </si>
  <si>
    <t xml:space="preserve">Income tax before credits</t>
  </si>
  <si>
    <t xml:space="preserve">ƒx  =Rate_Standard*MIN(TE_Taxable,TE_Band)+Rate_Higher*MAX(0,TE_Taxable-TE_Band)</t>
  </si>
  <si>
    <t xml:space="preserve">Tax credits</t>
  </si>
  <si>
    <t xml:space="preserve">ƒx  =IF(OR(TE_Status="Single",TE_Status="Single parent"),Credit_Personal_Single,Credit_Personal_Married)+IF(TE_Status="Single parent",Credit_SPCCC,0)+MIN(Credit_PAYE,Credit_PAYE_Cap_Pct*TE_Gross_1)+IF(TE_Earner_2&gt;0,MIN(Credit_PAYE,Credit_PAYE_Cap_Pct*TE_Earner_2),0)+IF(TE_Rent_Credit="Yes",IF(LEFT(TE_Status,7)="Married",Credit_Rent_Joint,Credit_Rent_Single),0)+IF(AND(TE_Home_Carer="Yes",TE_Status="Married one earner"),Credit_Home_Carer,0)</t>
  </si>
  <si>
    <t xml:space="preserve">Income tax</t>
  </si>
  <si>
    <t xml:space="preserve">ƒx  =MAX(0,TE_Tax_Before_Credits-TE_Credits)</t>
  </si>
  <si>
    <t xml:space="preserve">USC (each earner separately)</t>
  </si>
  <si>
    <t xml:space="preserve">ƒx  =IF(TE_Gross_1&lt;=USC_Exempt,0,USC_Rate_1*MIN(TE_Gross_1,USC_Band_1)+USC_Rate_2*MAX(0,MIN(TE_Gross_1,USC_Band_2)-USC_Band_1)+USC_Rate_3*MAX(0,MIN(TE_Gross_1,USC_Band_3)-USC_Band_2)+USC_Rate_4*MAX(0,TE_Gross_1-USC_Band_3))+IF(TE_Earner_2&lt;=USC_Exempt,0,USC_Rate_1*MIN(TE_Earner_2,USC_Band_1)+USC_Rate_2*MAX(0,MIN(TE_Earner_2,USC_Band_2)-USC_Band_1)+USC_Rate_3*MAX(0,MIN(TE_Earner_2,USC_Band_3)-USC_Band_2)+USC_Rate_4*MAX(0,TE_Earner_2-USC_Band_3))</t>
  </si>
  <si>
    <t xml:space="preserve">PRSI (each earner separately, Class A with the PRSI credit)</t>
  </si>
  <si>
    <t xml:space="preserve">ƒx  =IF(TE_Gross_1/Weeks_Per_Year&lt;=PRSI_Free_Week,0,MAX(0,TE_Gross_1/Weeks_Per_Year*TE_PRSI_Rate_Used-IF(TE_Gross_1/Weeks_Per_Year&lt;=PRSI_Credit_Top,MAX(0,PRSI_Credit_Max-(TE_Gross_1/Weeks_Per_Year-(PRSI_Free_Week+0.01))/PRSI_Credit_Taper),0))*Weeks_Per_Year)+IF(TE_Earner_2/Weeks_Per_Year&lt;=PRSI_Free_Week,0,MAX(0,TE_Earner_2/Weeks_Per_Year*TE_PRSI_Rate_Used-IF(TE_Earner_2/Weeks_Per_Year&lt;=PRSI_Credit_Top,MAX(0,PRSI_Credit_Max-(TE_Earner_2/Weeks_Per_Year-(PRSI_Free_Week+0.01))/PRSI_Credit_Taper),0))*Weeks_Per_Year)</t>
  </si>
  <si>
    <t xml:space="preserve">Take-home pay a year (household)</t>
  </si>
  <si>
    <t xml:space="preserve">ƒx  =TE_Taxable-TE_Income_Tax-TE_USC-TE_PRSI</t>
  </si>
  <si>
    <t xml:space="preserve">Take-home pay a month (used by C25, C26)</t>
  </si>
  <si>
    <t xml:space="preserve">ƒx  =TE_Take_Home/12</t>
  </si>
  <si>
    <t xml:space="preserve">Marginal income-tax rate (pre-fills the C13 / C14 tax rate)</t>
  </si>
  <si>
    <t xml:space="preserve">ƒx  =IF(TE_Taxable&gt;TE_Band,Rate_Higher,Rate_Standard)</t>
  </si>
  <si>
    <t xml:space="preserve">• Income tax = 20% up to the band + 40% above, less credits (never below 0). Married couples are jointly assessed: one band of €53,000, plus the lower income up to €35,000 for a second earner.</t>
  </si>
  <si>
    <t xml:space="preserve">• Credits: personal €2,000 (single) or €4,000 (married), plus €2,000 PAYE credit per earner (capped at 20% of their pay); Single Person Child Carer Credit €1,900 with a €48,000 band; Rent Tax Credit and Home Carer Credit if they apply.</t>
  </si>
  <si>
    <t xml:space="preserve">• USC is charged on each person separately: 0.5% / 2% / 3% / 8%, nil if income ≤ €13,000. PRSI is per person, Class A, with the PRSI credit between €352.01 and €424 a week.</t>
  </si>
  <si>
    <t xml:space="preserve">• Not modelled here: age 65+ credits and exemption, PRSI at 66+, self-employed Class S, USC surcharge, other or rental income (see the rules audit).</t>
  </si>
  <si>
    <t xml:space="preserve">CHECKS: the audit's §4 tax test table (expected values from deliverables/irish-rules-and-rates-audit.md)</t>
  </si>
  <si>
    <t xml:space="preserve">Case</t>
  </si>
  <si>
    <t xml:space="preserve">Gross</t>
  </si>
  <si>
    <t xml:space="preserve">Status</t>
  </si>
  <si>
    <t xml:space="preserve">Formula (row uses the same templates as above)</t>
  </si>
  <si>
    <t xml:space="preserve">USC</t>
  </si>
  <si>
    <t xml:space="preserve">PRSI 4.35%</t>
  </si>
  <si>
    <t xml:space="preserve">PRSI 2026 blend</t>
  </si>
  <si>
    <t xml:space="preserve">Take-home 4.35%</t>
  </si>
  <si>
    <t xml:space="preserve">Take-home 2026</t>
  </si>
  <si>
    <t xml:space="preserve">Expected IT</t>
  </si>
  <si>
    <t xml:space="preserve">Expected USC</t>
  </si>
  <si>
    <t xml:space="preserve">Expected take-home 4.35%</t>
  </si>
  <si>
    <t xml:space="preserve">Expected take-home 2026</t>
  </si>
  <si>
    <t xml:space="preserve">Largest difference (engine rounded to the cent; audit table is to the cent)</t>
  </si>
  <si>
    <t xml:space="preserve">T1</t>
  </si>
  <si>
    <t xml:space="preserve">Income tax, USC and PRSI templates; married = joint band and €4,000 + PAYE credits</t>
  </si>
  <si>
    <t xml:space="preserve">T2</t>
  </si>
  <si>
    <t xml:space="preserve">Married one earner</t>
  </si>
  <si>
    <t xml:space="preserve">T3</t>
  </si>
  <si>
    <t xml:space="preserve">T4</t>
  </si>
  <si>
    <t xml:space="preserve">T5</t>
  </si>
  <si>
    <t xml:space="preserve">T6</t>
  </si>
  <si>
    <t xml:space="preserve">T7</t>
  </si>
  <si>
    <t xml:space="preserve">T8</t>
  </si>
  <si>
    <t xml:space="preserve">T9</t>
  </si>
  <si>
    <t xml:space="preserve">Married two earners</t>
  </si>
  <si>
    <t xml:space="preserve">Income tax only (partner €30,000 in column R)</t>
  </si>
  <si>
    <t xml:space="preserve">T10</t>
  </si>
  <si>
    <t xml:space="preserve">Income tax only (partner €50,000 in column R)</t>
  </si>
  <si>
    <t xml:space="preserve">T11</t>
  </si>
  <si>
    <t xml:space="preserve">Income tax only (partner €45,000 in column R)</t>
  </si>
  <si>
    <t xml:space="preserve">All checks</t>
  </si>
  <si>
    <t xml:space="preserve">Document reader spec (for the developer building extraction)</t>
  </si>
  <si>
    <t xml:space="preserve">• Precedence: statement figure &gt; typed figure &gt; estimate (as in the prototype: S.src doc &gt; typed &gt; est). The calculators show this in their FIGURE USED box.</t>
  </si>
  <si>
    <t xml:space="preserve">• Confidence: each extracted field carries a confidence. Below 80% (Assumptions › Reader_Confidence_Min) ask the customer to confirm the figure before it is used.</t>
  </si>
  <si>
    <t xml:space="preserve">• Freshness: a statement dated more than 12 months ago (Assumptions › Statement_Max_Age_Days) is used but flagged "Needs a look".</t>
  </si>
  <si>
    <t xml:space="preserve">• Optional fields (projection, charges, holdings) apply only when shown on the document; a field that is not shown stays blank, it is never defaulted from the document.</t>
  </si>
  <si>
    <t xml:space="preserve">• Convert to the calculator unit: yearly amounts to monthly (÷ 12), dates to ages, months to years, % as fractions.</t>
  </si>
  <si>
    <t xml:space="preserve">• Label wording varies by provider: match on the variants below and on position (e.g. a € figure next to "fund value"). Wording marked "verify" was not confirmed against an official template.</t>
  </si>
  <si>
    <t xml:space="preserve">Document</t>
  </si>
  <si>
    <t xml:space="preserve">Field to extract</t>
  </si>
  <si>
    <t xml:space="preserve">Typical label wording (variants)</t>
  </si>
  <si>
    <t xml:space="preserve">Data type and validation</t>
  </si>
  <si>
    <t xml:space="preserve">Feeds (calculator inputs / plan fields)</t>
  </si>
  <si>
    <t xml:space="preserve">Confidence to auto-use</t>
  </si>
  <si>
    <t xml:space="preserve">Pension benefit statement (occupational DC, from 2023/24) / Statement of Reasonable Projection (PRSA, older DC)</t>
  </si>
  <si>
    <t xml:space="preserve">"Current fund value", "Value of your fund", "Total fund value", "Transfer value" (DB / deferred)</t>
  </si>
  <si>
    <t xml:space="preserve">€ number ≥ 0; &lt; €50m</t>
  </si>
  <si>
    <t xml:space="preserve">C12 Pension value today; C15/C16 savings (if no projection); C24 Pensions; plan: pension</t>
  </si>
  <si>
    <t xml:space="preserve">≥ 80%</t>
  </si>
  <si>
    <t xml:space="preserve">Your contribution</t>
  </si>
  <si>
    <t xml:space="preserve">"Your contributions", "Member contributions", "Employee contributions" (yearly or monthly: convert to monthly)</t>
  </si>
  <si>
    <t xml:space="preserve">€ ≥ 0; flag if &gt; 50% of income</t>
  </si>
  <si>
    <t xml:space="preserve">C12 monthly contributions (with employer); plan: pensionM</t>
  </si>
  <si>
    <t xml:space="preserve">Employer contribution</t>
  </si>
  <si>
    <t xml:space="preserve">"Employer contributions", "Company contributions"</t>
  </si>
  <si>
    <t xml:space="preserve">€ ≥ 0</t>
  </si>
  <si>
    <t xml:space="preserve">C12 monthly contributions; plan: pensionM</t>
  </si>
  <si>
    <t xml:space="preserve">"Normal retirement age", "Normal retirement date" (convert date to age), "Retirement age"</t>
  </si>
  <si>
    <t xml:space="preserve">whole number 50–75</t>
  </si>
  <si>
    <t xml:space="preserve">C12 projection match; C13/C14 years to retirement (with age)</t>
  </si>
  <si>
    <t xml:space="preserve">"Projected fund at normal retirement date", "Projected retirement fund", "Estimated fund value at retirement", "Best estimate" (pension benefit statements also show an "unfavourable" scenario: use best estimate)</t>
  </si>
  <si>
    <t xml:space="preserve">C12 projected fund (if age matches); C15/C16 retirement savings</t>
  </si>
  <si>
    <t xml:space="preserve">Projection in today's money?</t>
  </si>
  <si>
    <t xml:space="preserve">Text near the projection: "in today's terms", "in today's money", "adjusted for inflation" = Yes; "in money terms" = No</t>
  </si>
  <si>
    <t xml:space="preserve">Yes / No / blank</t>
  </si>
  <si>
    <t xml:space="preserve">C12: deflate only if No</t>
  </si>
  <si>
    <t xml:space="preserve">Assumed growth rate</t>
  </si>
  <si>
    <t xml:space="preserve">"Assumed growth rate", "Assumed investment return", "Projection rate"</t>
  </si>
  <si>
    <t xml:space="preserve">% 0–10</t>
  </si>
  <si>
    <t xml:space="preserve">Information only (shown to the adviser); not used</t>
  </si>
  <si>
    <t xml:space="preserve">Annual charges</t>
  </si>
  <si>
    <t xml:space="preserve">"Annual management charge", "Total annual charges", "Fund charges", "Charges deducted"</t>
  </si>
  <si>
    <t xml:space="preserve">% 0–5; apply only if shown</t>
  </si>
  <si>
    <t xml:space="preserve">C12–C14 growth (set rate + 1% − charges); plan: penChg</t>
  </si>
  <si>
    <t xml:space="preserve">"Statement date", "As at", "Valuation date"</t>
  </si>
  <si>
    <t xml:space="preserve">date; older than 12 months → "Needs a look"</t>
  </si>
  <si>
    <t xml:space="preserve">All pension tools (date check)</t>
  </si>
  <si>
    <t xml:space="preserve">PRSA statement</t>
  </si>
  <si>
    <t xml:space="preserve">As the pension benefit statement</t>
  </si>
  <si>
    <t xml:space="preserve">Providers show "PRSA value", "Current value", "Contributions this year", "Projected value at retirement"</t>
  </si>
  <si>
    <t xml:space="preserve">as above</t>
  </si>
  <si>
    <t xml:space="preserve">Occupational scheme benefit statement (defined benefit)</t>
  </si>
  <si>
    <t xml:space="preserve">Pension at normal retirement date</t>
  </si>
  <si>
    <t xml:space="preserve">"Pension payable at normal retirement date", "Accrued pension", "Prospective pension"</t>
  </si>
  <si>
    <t xml:space="preserve">€ a year ≥ 0</t>
  </si>
  <si>
    <t xml:space="preserve">Plan: retirement income (DB); not used by C12, which is DC (verify product scope)</t>
  </si>
  <si>
    <t xml:space="preserve">whole 50–75</t>
  </si>
  <si>
    <t xml:space="preserve">Plan: retirement age</t>
  </si>
  <si>
    <t xml:space="preserve">State Pension record (MyWelfare contribution statement)</t>
  </si>
  <si>
    <t xml:space="preserve">PRSI paid and credited contributions</t>
  </si>
  <si>
    <t xml:space="preserve">"Paid contributions", "Credited contributions", "Reckonable credited contributions" (by year)</t>
  </si>
  <si>
    <t xml:space="preserve">whole numbers ≥ 0; years = contributions ÷ 52</t>
  </si>
  <si>
    <t xml:space="preserve">C12 other income (entitlement: 40+ years full, 10–39 partly); plan: sp. Not a forecast of the pension.</t>
  </si>
  <si>
    <t xml:space="preserve">"Statement date", "up to the end of the tax year"</t>
  </si>
  <si>
    <t xml:space="preserve">Date check</t>
  </si>
  <si>
    <t xml:space="preserve">Mortgage statement (annual statement of account, Consumer Protection Code)</t>
  </si>
  <si>
    <t xml:space="preserve">"Outstanding balance", "Balance outstanding", "Closing balance", "Amount outstanding"</t>
  </si>
  <si>
    <t xml:space="preserve">€ ≥ 0; &lt; €10m</t>
  </si>
  <si>
    <t xml:space="preserve">C02, C04, C05, C06, C21, C23 balance; C24 mortgage; plan: mortBal</t>
  </si>
  <si>
    <t xml:space="preserve">"Interest rate", "Current rate", "Rate applied", "Variable rate", "Fixed rate until …"</t>
  </si>
  <si>
    <t xml:space="preserve">% 0–15</t>
  </si>
  <si>
    <t xml:space="preserve">C02, C04, C05, C06, C23 rate; plan: mortRate</t>
  </si>
  <si>
    <t xml:space="preserve">Rate type and fixed-rate end date</t>
  </si>
  <si>
    <t xml:space="preserve">"Fixed until", "Tracker", "Standard variable"</t>
  </si>
  <si>
    <t xml:space="preserve">text; date</t>
  </si>
  <si>
    <t xml:space="preserve">Information for the adviser (C05 context)</t>
  </si>
  <si>
    <t xml:space="preserve">"Remaining term", "Term remaining", "Years remaining", "Maturity date" (convert)</t>
  </si>
  <si>
    <t xml:space="preserve">whole years 0–40</t>
  </si>
  <si>
    <t xml:space="preserve">C02, C04, C05, C06, C23 term; plan: mortYears</t>
  </si>
  <si>
    <t xml:space="preserve">"Monthly repayment", "Monthly instalment", "Repayment amount"</t>
  </si>
  <si>
    <t xml:space="preserve">C02, C04, C05, C23 actual repayment; plan: mortPayM</t>
  </si>
  <si>
    <t xml:space="preserve">"Statement date", "Statement period to"</t>
  </si>
  <si>
    <t xml:space="preserve">date; &gt; 12 months → "Needs a look"</t>
  </si>
  <si>
    <t xml:space="preserve">Mortgage offer letter / loan offer</t>
  </si>
  <si>
    <t xml:space="preserve">Loan amount, rate, term, monthly repayment, APRC</t>
  </si>
  <si>
    <t xml:space="preserve">"Loan amount", "Interest rate", "Term", "Monthly repayment", "APRC"</t>
  </si>
  <si>
    <t xml:space="preserve">as the statement; APRC % 0–15</t>
  </si>
  <si>
    <t xml:space="preserve">As the mortgage statement (before drawdown: C01/C02 comparison)</t>
  </si>
  <si>
    <t xml:space="preserve">Investment / fund statement (unit-linked policy, fund, brokerage)</t>
  </si>
  <si>
    <t xml:space="preserve">"Total value", "Portfolio value", "Policy value", "Market value", "Valuation"</t>
  </si>
  <si>
    <t xml:space="preserve">C10, C17, C19, C20 amount; C24 investments; plan: invest</t>
  </si>
  <si>
    <t xml:space="preserve">"Regular contribution", "Monthly premium", "Monthly investment"</t>
  </si>
  <si>
    <t xml:space="preserve">C18 monthly amount</t>
  </si>
  <si>
    <t xml:space="preserve">"Annual management charge (AMC)", "Ongoing charges figure (OCF)", "Total annual charges"</t>
  </si>
  <si>
    <t xml:space="preserve">% 0–5; apply only if shown, else 0 when a statement is present</t>
  </si>
  <si>
    <t xml:space="preserve">C10, C18 fees; C19 fee A</t>
  </si>
  <si>
    <t xml:space="preserve">Holdings in shares</t>
  </si>
  <si>
    <t xml:space="preserve">"Asset allocation": "Equities", "Shares"</t>
  </si>
  <si>
    <t xml:space="preserve">% 0–100</t>
  </si>
  <si>
    <t xml:space="preserve">C20 style (≥70% Growth, ≥40% Balanced, else Cautious)</t>
  </si>
  <si>
    <t xml:space="preserve">"Valuation date", "As at"</t>
  </si>
  <si>
    <t xml:space="preserve">Share-scheme statement (ESPP / RSU / SAYE)</t>
  </si>
  <si>
    <t xml:space="preserve">Value of vested shares</t>
  </si>
  <si>
    <t xml:space="preserve">"Vested value", "Market value", "Shares held × price"</t>
  </si>
  <si>
    <t xml:space="preserve">C24 investments; plan: invest (verify treatment of unvested shares)</t>
  </si>
  <si>
    <t xml:space="preserve">Unvested / restricted shares</t>
  </si>
  <si>
    <t xml:space="preserve">"Unvested", "Restricted", "Vesting date"</t>
  </si>
  <si>
    <t xml:space="preserve">€; date</t>
  </si>
  <si>
    <t xml:space="preserve">Information only (not counted until vested)</t>
  </si>
  <si>
    <t xml:space="preserve">Payslip</t>
  </si>
  <si>
    <t xml:space="preserve">Gross pay (period)</t>
  </si>
  <si>
    <t xml:space="preserve">"Gross pay", "Total gross"</t>
  </si>
  <si>
    <t xml:space="preserve">€ ≥ 0; annualise by pay frequency</t>
  </si>
  <si>
    <t xml:space="preserve">C01 income, C13 salary, C21/C22 income; plan: income</t>
  </si>
  <si>
    <t xml:space="preserve">Net pay</t>
  </si>
  <si>
    <t xml:space="preserve">"Net pay", "Take home"</t>
  </si>
  <si>
    <t xml:space="preserve">C25, C26 take-home</t>
  </si>
  <si>
    <t xml:space="preserve">Pension contribution</t>
  </si>
  <si>
    <t xml:space="preserve">"Pension", "Superannuation", "AVC"</t>
  </si>
  <si>
    <t xml:space="preserve">C12 your contribution; C14 AVC</t>
  </si>
  <si>
    <t xml:space="preserve">Pay date</t>
  </si>
  <si>
    <t xml:space="preserve">"Pay date", "Period ending"</t>
  </si>
  <si>
    <t xml:space="preserve">date; &gt; 3 months → "Needs a look"</t>
  </si>
  <si>
    <t xml:space="preserve">Employment Detail Summary (Revenue myAccount; replaced the P60 from 2019)</t>
  </si>
  <si>
    <t xml:space="preserve">Gross pay for the year</t>
  </si>
  <si>
    <t xml:space="preserve">"Gross pay", "Pay for income tax"</t>
  </si>
  <si>
    <t xml:space="preserve">Income tax, USC, employee PRSI</t>
  </si>
  <si>
    <t xml:space="preserve">"Income tax", "USC", "Employee PRSI"</t>
  </si>
  <si>
    <t xml:space="preserve">Check of the plan's take-home</t>
  </si>
  <si>
    <t xml:space="preserve">Pensionable deductions</t>
  </si>
  <si>
    <t xml:space="preserve">"Pensionable deductions", "Employee pension contribution"</t>
  </si>
  <si>
    <t xml:space="preserve">C12 your contribution (÷ 12)</t>
  </si>
  <si>
    <t xml:space="preserve">Tax year</t>
  </si>
  <si>
    <t xml:space="preserve">"Year"</t>
  </si>
  <si>
    <t xml:space="preserve">year; not more than 1 year old</t>
  </si>
  <si>
    <t xml:space="preserve">Credit card statement</t>
  </si>
  <si>
    <t xml:space="preserve">"Statement balance", "Closing balance", "New balance"</t>
  </si>
  <si>
    <t xml:space="preserve">C27 balance; C24 other loans; plan: cardBal</t>
  </si>
  <si>
    <t xml:space="preserve">APR / interest rate</t>
  </si>
  <si>
    <t xml:space="preserve">"APR", "Purchase rate", "Annual percentage rate"</t>
  </si>
  <si>
    <t xml:space="preserve">% 0–40 (an effective annual rate)</t>
  </si>
  <si>
    <t xml:space="preserve">C27 APR; plan: cardRate</t>
  </si>
  <si>
    <t xml:space="preserve">Minimum / monthly payment</t>
  </si>
  <si>
    <t xml:space="preserve">"Minimum payment", "Payment due"</t>
  </si>
  <si>
    <t xml:space="preserve">C27 monthly payment; plan: cardPayM</t>
  </si>
  <si>
    <t xml:space="preserve">Personal loan / car loan statement</t>
  </si>
  <si>
    <t xml:space="preserve">"Outstanding balance", "Amount outstanding"</t>
  </si>
  <si>
    <t xml:space="preserve">C27/C28; C24 other loans; plan: loanBal</t>
  </si>
  <si>
    <t xml:space="preserve">APR</t>
  </si>
  <si>
    <t xml:space="preserve">"APR", "Annual percentage rate"</t>
  </si>
  <si>
    <t xml:space="preserve">% 0–30</t>
  </si>
  <si>
    <t xml:space="preserve">C27, C28 APR; plan: loanRate</t>
  </si>
  <si>
    <t xml:space="preserve">Monthly repayment, term remaining</t>
  </si>
  <si>
    <t xml:space="preserve">"Monthly repayment", "Remaining term"</t>
  </si>
  <si>
    <t xml:space="preserve">€; months</t>
  </si>
  <si>
    <t xml:space="preserve">C27 payment; C28 years; plan: loanPayM</t>
  </si>
  <si>
    <t xml:space="preserve">Sources (label wording beyond these is typical provider wording: verify against real samples before release)</t>
  </si>
  <si>
    <t xml:space="preserve">Pensions Authority: statement of reasonable projection</t>
  </si>
  <si>
    <t xml:space="preserve">https://pensionsauthority.ie/scheme-members-and-prsa-contributors/understanding-pensions/your_right_to_information/statement_of_reasonable_projection/</t>
  </si>
  <si>
    <t xml:space="preserve">Pensions Authority: pension benefit statement projection assumptions (best estimate and unfavourable scenarios)</t>
  </si>
  <si>
    <t xml:space="preserve">https://pensionsauthority.ie/news_press/news_archive/updated-pension-benefit-statement-projection-assumptions/</t>
  </si>
  <si>
    <t xml:space="preserve">Central Bank: Consumer Protection Code (annual statement of account: balance, transactions, interest, charges, rate)</t>
  </si>
  <si>
    <t xml:space="preserve">https://www.centralbank.ie/code</t>
  </si>
  <si>
    <t xml:space="preserve">Revenue: Employment Detail Summary in myAccount (gross pay, tax, USC, PRSI)</t>
  </si>
  <si>
    <t xml:space="preserve">https://www.revenue.ie/en/corporate/press-office/press-releases/2019/pr-200619-employees-new-facility-view-current-pay-and-tax-details-through-revenue-myaccount.aspx</t>
  </si>
  <si>
    <t xml:space="preserve">gov.ie: request a PRSI contribution statement (MyWelfare)</t>
  </si>
  <si>
    <t xml:space="preserve">https://www.gov.ie/en/publication/0fbf7-request-a-contribution-statement</t>
  </si>
  <si>
    <t xml:space="preserve">Prototype DOCT (fields, confidence and pre-fills already used)</t>
  </si>
  <si>
    <t xml:space="preserve">LifeGoals-Customer-Journey-Prototype.html</t>
  </si>
  <si>
    <t xml:space="preserve">Assumptions: Irish rules register</t>
  </si>
  <si>
    <t xml:space="preserve">Irish rules 2026 · checked 2 Oct 2026</t>
  </si>
  <si>
    <t xml:space="preserve">Facts and law only: every statutory rate, band and rule the calculators use, with its source and effective date (from the Irish rules and rates audit, 2 Oct 2026). Judgement items (growth, fees, pay rises, inflation, emergency months, retirement multiple …) are NOT here: they are yellow "Suggested" inputs on each calculator. Before release, open the primary page for every row marked "Yes" in Verify and record the date checked.</t>
  </si>
  <si>
    <t xml:space="preserve">INFLATION GUIDANCE (not a value: inflation is the client's own choice on each calculator)</t>
  </si>
  <si>
    <t xml:space="preserve">Rule (name in formulas)</t>
  </si>
  <si>
    <t xml:space="preserve">Value</t>
  </si>
  <si>
    <t xml:space="preserve">Used by</t>
  </si>
  <si>
    <t xml:space="preserve">Source URL</t>
  </si>
  <si>
    <t xml:space="preserve">Effective</t>
  </si>
  <si>
    <t xml:space="preserve">Verify before release?</t>
  </si>
  <si>
    <t xml:space="preserve">Audit #</t>
  </si>
  <si>
    <t xml:space="preserve">Ireland's prices are rising 3.9% a year right now (CSO HICP flash estimate, September 2026, published 1 Oct 2026), mostly because of energy. HICP Aug 2026: 3.4%; CPI Aug 2026: 3.7%. Over decades, planners usually use 2%–2.5% (ECB target 2%).</t>
  </si>
  <si>
    <t xml:space="preserve">https://www.cso.ie/en/csolatestnews/pressreleases/2026pressreleases/pressstatementflashestimatefortheharmonisedindexofconsumerpricesseptember2026/ · https://www.rte.ie/news/business/2026/1001/1593629-cso-flash-inflation-reading/</t>
  </si>
  <si>
    <t xml:space="preserve">INCOME TAX 2026 (Tax engine)</t>
  </si>
  <si>
    <t xml:space="preserve">Standard-rate band, single  [Band_Single]</t>
  </si>
  <si>
    <t xml:space="preserve">Tax engine; C13/C14 tax-rate pre-fill</t>
  </si>
  <si>
    <t xml:space="preserve">https://www.raisin.com/en-ie/taxes/income-tax-rates/ · https://universityofgalway.ie/media/pensionsandinvestments/Budget-Summary-2026.pdf</t>
  </si>
  <si>
    <t xml:space="preserve">1 Jan 2026</t>
  </si>
  <si>
    <t xml:space="preserve">Yes (primary page quoted, P)</t>
  </si>
  <si>
    <t xml:space="preserve">#1</t>
  </si>
  <si>
    <t xml:space="preserve">Standard-rate band, single person child carer  [Band_Single_Parent]</t>
  </si>
  <si>
    <t xml:space="preserve">Tax engine</t>
  </si>
  <si>
    <t xml:space="preserve">https://www.noonecasey.ie/irish-budget-2026/ · https://www.irishtaxhub.ie/blog/tax-credits-in-ireland-full-list</t>
  </si>
  <si>
    <t xml:space="preserve">Yes (secondary source, S)</t>
  </si>
  <si>
    <t xml:space="preserve">#4</t>
  </si>
  <si>
    <t xml:space="preserve">Standard-rate band, married / civil partners (one earner)  [Band_Married]</t>
  </si>
  <si>
    <t xml:space="preserve">#2</t>
  </si>
  <si>
    <t xml:space="preserve">Band increase for a second earner (lower income, up to)  [Band_Second_Earner_Max]</t>
  </si>
  <si>
    <t xml:space="preserve">#3</t>
  </si>
  <si>
    <t xml:space="preserve">Standard rate of income tax  [Rate_Standard]</t>
  </si>
  <si>
    <t xml:space="preserve">2026</t>
  </si>
  <si>
    <t xml:space="preserve">#5</t>
  </si>
  <si>
    <t xml:space="preserve">Higher rate of income tax  [Rate_Higher]</t>
  </si>
  <si>
    <t xml:space="preserve">Tax engine; C13/C14</t>
  </si>
  <si>
    <t xml:space="preserve">Personal tax credit, single  [Credit_Personal_Single]</t>
  </si>
  <si>
    <t xml:space="preserve">#6</t>
  </si>
  <si>
    <t xml:space="preserve">Personal tax credit, married / civil partners  [Credit_Personal_Married]</t>
  </si>
  <si>
    <t xml:space="preserve">Employee (PAYE) tax credit, each earner (capped at 20% of PAYE income)  [Credit_PAYE]</t>
  </si>
  <si>
    <t xml:space="preserve">https://revenue.ie/en/personal-tax-credits-reliefs-and-exemptions/income-and-employment/employee-tax-credit/index.aspx</t>
  </si>
  <si>
    <t xml:space="preserve">#7</t>
  </si>
  <si>
    <t xml:space="preserve">PAYE credit cap, % of PAYE income  [Credit_PAYE_Cap_Pct]</t>
  </si>
  <si>
    <t xml:space="preserve">As above</t>
  </si>
  <si>
    <t xml:space="preserve">Single Person Child Carer Credit  [Credit_SPCCC]</t>
  </si>
  <si>
    <t xml:space="preserve">Rent Tax Credit, single (to end-2028)  [Credit_Rent_Single]</t>
  </si>
  <si>
    <t xml:space="preserve">2025–2028</t>
  </si>
  <si>
    <t xml:space="preserve">#8</t>
  </si>
  <si>
    <t xml:space="preserve">Rent Tax Credit, jointly assessed couple  [Credit_Rent_Joint]</t>
  </si>
  <si>
    <t xml:space="preserve">Home Carer Tax Credit (verify the 2026 rate and the €7,200 carer-income limit and taper)  [Credit_Home_Carer]</t>
  </si>
  <si>
    <t xml:space="preserve">Yes (secondary source, S) · VERIFY rate</t>
  </si>
  <si>
    <t xml:space="preserve">#9</t>
  </si>
  <si>
    <t xml:space="preserve">USC 2026 (Tax engine)</t>
  </si>
  <si>
    <t xml:space="preserve">USC exemption limit (total income)  [USC_Exempt]</t>
  </si>
  <si>
    <t xml:space="preserve">#15</t>
  </si>
  <si>
    <t xml:space="preserve">USC band 1 top  [USC_Band_1]</t>
  </si>
  <si>
    <t xml:space="preserve">#14</t>
  </si>
  <si>
    <t xml:space="preserve">USC band 2 top (raised by €1,318 in Budget 2026)  [USC_Band_2]</t>
  </si>
  <si>
    <t xml:space="preserve">USC band 3 top  [USC_Band_3]</t>
  </si>
  <si>
    <t xml:space="preserve">USC rate band 1  [USC_Rate_1]</t>
  </si>
  <si>
    <t xml:space="preserve">USC rate band 2  [USC_Rate_2]</t>
  </si>
  <si>
    <t xml:space="preserve">USC rate band 3  [USC_Rate_3]</t>
  </si>
  <si>
    <t xml:space="preserve">USC rate above band 3  [USC_Rate_4]</t>
  </si>
  <si>
    <t xml:space="preserve">Reduced USC (0.5% / 2%) applies at 70+ (and to full medical-card holders) with income ≤ €60,000; not used by these calculators. The State Pension and other DSP payments are USC-exempt but are taxable income for income tax.</t>
  </si>
  <si>
    <t xml:space="preserve">PRSI CLASS A (Tax engine)</t>
  </si>
  <si>
    <t xml:space="preserve">Employee PRSI rate from 1 Oct 2026  [PRSI_Rate]</t>
  </si>
  <si>
    <t xml:space="preserve">https://www.gov.ie/en/publication/ffa563-prsi-class-a-rates · https://www.bdo.ie/en-gb/insights/2025/upcoming-prsi-rate-changes-effective-1st-october-2025</t>
  </si>
  <si>
    <t xml:space="preserve">1 Oct 2026</t>
  </si>
  <si>
    <t xml:space="preserve">#19</t>
  </si>
  <si>
    <t xml:space="preserve">Employee PRSI, calendar-2026 blend (9 months at 4.2%, 3 at 4.35%)  [PRSI_Rate_2026_Blend]</t>
  </si>
  <si>
    <t xml:space="preserve">Tax engine (option)</t>
  </si>
  <si>
    <t xml:space="preserve">#20</t>
  </si>
  <si>
    <t xml:space="preserve">PRSI-free weekly earnings (nil up to)  [PRSI_Free_Week]</t>
  </si>
  <si>
    <t xml:space="preserve">https://payslipiq.co.uk/ie/methodology/prsi · https://www.gov.ie/en/publication/ffa563-prsi-class-a-rates · https://www.bdo.ie/en-gb/insights/2025/upcoming-prsi-rate-changes-effective-1st-october-2025</t>
  </si>
  <si>
    <t xml:space="preserve">#21</t>
  </si>
  <si>
    <t xml:space="preserve">PRSI credit, maximum a week  [PRSI_Credit_Max]</t>
  </si>
  <si>
    <t xml:space="preserve">PRSI credit ends at weekly earnings of  [PRSI_Credit_Top]</t>
  </si>
  <si>
    <t xml:space="preserve">PRSI credit tapers by €1 for every … over €352.01  [PRSI_Credit_Taper]</t>
  </si>
  <si>
    <t xml:space="preserve">No PRSI from age 66, including while still working (#22). Legislated path: 4.5% from 1 Oct 2027, 4.7% from 1 Oct 2028.</t>
  </si>
  <si>
    <t xml:space="preserve">https://www.oireachtas.ie/en/debates/question/2018-11-21/241/ · https://www.gov.ie/en/publication/ffa563-prsi-class-a-rates · https://www.bdo.ie/en-gb/insights/2025/upcoming-prsi-rate-changes-effective-1st-october-2025</t>
  </si>
  <si>
    <t xml:space="preserve">PENSIONS</t>
  </si>
  <si>
    <t xml:space="preserve">Pension relief limit from age 0: % of earnings  [Relief_Age_From / Relief_Age_Pct]</t>
  </si>
  <si>
    <t xml:space="preserve">https://www.irishtaxhub.ie/blog/pension-contributions-income-tax-maximize-your-relief · https://yourincomecalculator.com/ie/blog/pension-tax-relief-ireland-2026-higher-earners-guide</t>
  </si>
  <si>
    <t xml:space="preserve">Unchanged</t>
  </si>
  <si>
    <t xml:space="preserve">#26</t>
  </si>
  <si>
    <t xml:space="preserve">Pension relief limit from age 30: % of earnings  [Relief_Age_From / Relief_Age_Pct]</t>
  </si>
  <si>
    <t xml:space="preserve">Pension relief limit from age 40: % of earnings  [Relief_Age_From / Relief_Age_Pct]</t>
  </si>
  <si>
    <t xml:space="preserve">Pension relief limit from age 50: % of earnings  [Relief_Age_From / Relief_Age_Pct]</t>
  </si>
  <si>
    <t xml:space="preserve">Pension relief limit from age 55: % of earnings  [Relief_Age_From / Relief_Age_Pct]</t>
  </si>
  <si>
    <t xml:space="preserve">Pension relief limit from age 60: % of earnings  [Relief_Age_From / Relief_Age_Pct]</t>
  </si>
  <si>
    <t xml:space="preserve">Earnings cap for pension relief  [Relief_Earnings_Cap]</t>
  </si>
  <si>
    <t xml:space="preserve">#27</t>
  </si>
  <si>
    <t xml:space="preserve">Retirement lump sum: up to this share of the fund  [Lump_Sum_Max_Pct]</t>
  </si>
  <si>
    <t xml:space="preserve">https://wtwco.com/en-ie/insights/2024/10/significant-revisions-announced-to-the-standard-fund-threshold · https://pwc.ie/services/workforce/insights/finance-act-2024-pensions-pulse.html</t>
  </si>
  <si>
    <t xml:space="preserve">Finance Act 2024</t>
  </si>
  <si>
    <t xml:space="preserve">#31</t>
  </si>
  <si>
    <t xml:space="preserve">Lump sum: tax-free (lifetime)  [Lump_Sum_Tax_Free]</t>
  </si>
  <si>
    <t xml:space="preserve">Lump sum: taxed at 20% from €200,001 up to  [Lump_Sum_Cap]</t>
  </si>
  <si>
    <t xml:space="preserve">Lump sum tax rate on €200,001–€500,000 (above €500,000: marginal rate)  [Lump_Sum_Rate]</t>
  </si>
  <si>
    <t xml:space="preserve">Standard Fund Threshold 2026 (€2.4m 2027, €2.6m 2028, €2.8m 2029)  [SFT_2026]</t>
  </si>
  <si>
    <t xml:space="preserve">C12 warning</t>
  </si>
  <si>
    <t xml:space="preserve">#32</t>
  </si>
  <si>
    <t xml:space="preserve">Chargeable excess tax above the threshold  [SFT_Tax]</t>
  </si>
  <si>
    <t xml:space="preserve">Law</t>
  </si>
  <si>
    <t xml:space="preserve">Earliest age for PRSA / personal pension benefits (occupational: from 50 if you have left that job)  [Pension_Earliest_Age]</t>
  </si>
  <si>
    <t xml:space="preserve">Revenue Pensions Manual (verify)</t>
  </si>
  <si>
    <t xml:space="preserve">Yes (primary page quoted, P) · VERIFY</t>
  </si>
  <si>
    <t xml:space="preserve">#36</t>
  </si>
  <si>
    <t xml:space="preserve">Standard Fund Threshold €2.2m (2026) → €2.4m (2027) → €2.6m (2028) → €2.8m (2029), chargeable excess tax 40%: not modelled by these calculators. ARF minimum 4% from the year you turn 61, 5% from 71, 6% if ARFs + vested PRSAs exceed €2m. Most pensions cannot be taken before 60.</t>
  </si>
  <si>
    <t xml:space="preserve">https://wtwco.com/en-ie/insights/2024/10/significant-revisions-announced-to-the-standard-fund-threshold · https://pwc.ie/services/workforce/insights/finance-act-2024-pensions-pulse.html · https://cantorfitzgerald.ie/wp-content/uploads/2026/06/ARF-6pp-A4-Brochure-6-26.pdf</t>
  </si>
  <si>
    <t xml:space="preserve">STATE PENSION AND DSP PAYMENTS 2026 (weekly rates)</t>
  </si>
  <si>
    <t xml:space="preserve">State Pension (Contributory), maximum personal rate (taxable; USC-exempt)  [State_Pension_Week]</t>
  </si>
  <si>
    <t xml:space="preserve">C12 other income (pre-fill)</t>
  </si>
  <si>
    <t xml:space="preserve">https://www.gov.ie/en/publication/927721-state-pension-contributory-rates/ · https://www.zurich.ie/blog/pension-changes-2026</t>
  </si>
  <si>
    <t xml:space="preserve">#39</t>
  </si>
  <si>
    <t xml:space="preserve">State Pension a year (€299.30 × 52)  [State_Pension_Year]</t>
  </si>
  <si>
    <t xml:space="preserve">C12 default other income</t>
  </si>
  <si>
    <t xml:space="preserve">State Pension age  [State_Pension_Age]</t>
  </si>
  <si>
    <t xml:space="preserve">C12 (bridge years before 66)</t>
  </si>
  <si>
    <t xml:space="preserve">https://www.gov.ie/en/publication/d8fd8-flexible-pension-options</t>
  </si>
  <si>
    <t xml:space="preserve">#40</t>
  </si>
  <si>
    <t xml:space="preserve">Widow's / Surviving Civil Partner's / Bereaved Partner's (Contributory) Pension, under 66  [Survivor_Pension_Week]</t>
  </si>
  <si>
    <t xml:space="preserve">https://www.raisin.com/en-ie/pensions/widow-pensions · https://www.mhc.ie/latest/insights/social-welfare-bereaved-partners-pension-and-miscellaneous-provisions-act-2025</t>
  </si>
  <si>
    <t xml:space="preserve">#46</t>
  </si>
  <si>
    <t xml:space="preserve">Survivor's pension at 66+  [Survivor_Pension_Week_66]</t>
  </si>
  <si>
    <t xml:space="preserve">C21 guidance</t>
  </si>
  <si>
    <t xml:space="preserve">Illness Benefit, maximum personal rate (graduated if average weekly earnings &lt; €300; 3 waiting days)  [Illness_Benefit_Week]</t>
  </si>
  <si>
    <t xml:space="preserve">https://www.inou.ie/assets/files/pdf/2026_-_inou_budget_factsheet.pdf</t>
  </si>
  <si>
    <t xml:space="preserve">#45</t>
  </si>
  <si>
    <t xml:space="preserve">Income protection maximum: % of gross income less State benefit (an INSURER rule, not law; varies by insurer)  [IP_Max_Pct]</t>
  </si>
  <si>
    <t xml:space="preserve">Insurer literature (Irish Life; Smart Financial)</t>
  </si>
  <si>
    <t xml:space="preserve">Market practice</t>
  </si>
  <si>
    <t xml:space="preserve">Yes (secondary source, S) · verify with insurer partner</t>
  </si>
  <si>
    <t xml:space="preserve">#49</t>
  </si>
  <si>
    <t xml:space="preserve">Weeks in a year  [Weeks_Per_Year]</t>
  </si>
  <si>
    <t xml:space="preserve">C12, C21, C22, Tax engine</t>
  </si>
  <si>
    <t xml:space="preserve">Convention</t>
  </si>
  <si>
    <t xml:space="preserve">—</t>
  </si>
  <si>
    <t xml:space="preserve">SAVINGS AND INVESTMENT TAX (notes on the growth tools)</t>
  </si>
  <si>
    <t xml:space="preserve">DIRT on deposit interest  [DIRT]</t>
  </si>
  <si>
    <t xml:space="preserve">C08–C10, C17, C18 notes</t>
  </si>
  <si>
    <t xml:space="preserve">https://cantorfitzgerald.ie/budget-2026-key-updates-for-investors-and-savers</t>
  </si>
  <si>
    <t xml:space="preserve">#50</t>
  </si>
  <si>
    <t xml:space="preserve">Exit tax on funds and life policies (was 41%; Finance Act 2025, Revenue eBrief 016/26)  [Exit_Tax]</t>
  </si>
  <si>
    <t xml:space="preserve">https://www.revenue.ie/en/tax-professionals/ebrief/2026/no-0162026.aspx · https://etf.ie/blog/budget-2026-etf/</t>
  </si>
  <si>
    <t xml:space="preserve">#51</t>
  </si>
  <si>
    <t xml:space="preserve">Deemed disposal on funds every … years  [Deemed_Disposal_Years]</t>
  </si>
  <si>
    <t xml:space="preserve">Notes</t>
  </si>
  <si>
    <t xml:space="preserve">https://etf.ie/blog/budget-2026-etf/</t>
  </si>
  <si>
    <t xml:space="preserve">#52</t>
  </si>
  <si>
    <t xml:space="preserve">Life assurance levy on premiums (pension policies exempt)  [Life_Levy]</t>
  </si>
  <si>
    <t xml:space="preserve">C18 note</t>
  </si>
  <si>
    <t xml:space="preserve">Revenue</t>
  </si>
  <si>
    <t xml:space="preserve">#53</t>
  </si>
  <si>
    <t xml:space="preserve">CENTRAL BANK MORTGAGE MEASURES AND PROPERTY</t>
  </si>
  <si>
    <t xml:space="preserve">Loan-to-income limit, first-time buyers  [LTI_FTB]</t>
  </si>
  <si>
    <t xml:space="preserve">https://www.centralbank.ie/news/article/central-bank-announces-targeted-changes-to-mortgage-measures-framework</t>
  </si>
  <si>
    <t xml:space="preserve">1 Jan 2023</t>
  </si>
  <si>
    <t xml:space="preserve">#56</t>
  </si>
  <si>
    <t xml:space="preserve">Loan-to-income limit, second and subsequent buyers  [LTI_SSB]</t>
  </si>
  <si>
    <t xml:space="preserve">Loan-to-value limit, first-time and subsequent buyers (buy-to-let 70%)  [LTV_Max]</t>
  </si>
  <si>
    <t xml:space="preserve">C01, C02 goal, C03, C07</t>
  </si>
  <si>
    <t xml:space="preserve">#57</t>
  </si>
  <si>
    <t xml:space="preserve">Minimum deposit (1 − LTV)  [Min_Deposit_Pct]</t>
  </si>
  <si>
    <t xml:space="preserve">C01, C03, C07 validation</t>
  </si>
  <si>
    <t xml:space="preserve">Derived</t>
  </si>
  <si>
    <t xml:space="preserve">#59</t>
  </si>
  <si>
    <t xml:space="preserve">Lenders may exceed the limits for a small share of loans each year (allowances: about 15% of first-time-buyer and 10% of other lending by value, verify). Principal-home bridging loans are exempt from the LTI limit since 8 Apr 2026.</t>
  </si>
  <si>
    <t xml:space="preserve">https://www.centralbank.ie/news/article/central-bank-announces-targeted-changes-to-mortgage-measures-framework · https://www.centralbank.ie/news/article/press-release-targeted-amendment-to-mortgage-measures-home-bridging-loans-8-april-2026</t>
  </si>
  <si>
    <t xml:space="preserve">Stamp duty on homes up to €1m  [SD_Rate_1]</t>
  </si>
  <si>
    <t xml:space="preserve">C01, C03, C07</t>
  </si>
  <si>
    <t xml:space="preserve">https://www.raisin.com/en-ie/taxes/stamp-duty-ireland/</t>
  </si>
  <si>
    <t xml:space="preserve">Budget 2025</t>
  </si>
  <si>
    <t xml:space="preserve">#60</t>
  </si>
  <si>
    <t xml:space="preserve">Stamp duty band 1 top  [SD_Band_1]</t>
  </si>
  <si>
    <t xml:space="preserve">Stamp duty €1m–€1.5m  [SD_Rate_2]</t>
  </si>
  <si>
    <t xml:space="preserve">Stamp duty band 2 top  [SD_Band_2]</t>
  </si>
  <si>
    <t xml:space="preserve">Stamp duty above €1.5m  [SD_Rate_3]</t>
  </si>
  <si>
    <t xml:space="preserve">APR on cards and loans is an effective annual rate (EU Consumer Credit Directive 2008/48/EC, Annex I): monthly rate = (1 + APR)^(1/12) − 1 (C27, C28). Mortgage rates are nominal: monthly = rate ÷ 12.</t>
  </si>
  <si>
    <t xml:space="preserve">https://eur-lex.europa.eu/eli/dir/2008/48/oj</t>
  </si>
  <si>
    <t xml:space="preserve">STATEMENT READER RULES (product rules)</t>
  </si>
  <si>
    <t xml:space="preserve">Investment statement: shares at or above this = style 3 Growth  [Shares_For_Growth]</t>
  </si>
  <si>
    <t xml:space="preserve">Prototype rule (DOCT.invest.pre)</t>
  </si>
  <si>
    <t xml:space="preserve">Investment statement: shares at or above this = style 2 Balanced (else 1)  [Shares_For_Balanced]</t>
  </si>
  <si>
    <t xml:space="preserve">Prototype rule</t>
  </si>
  <si>
    <t xml:space="preserve">A statement older than this (days) is flagged "Needs a look"  [Statement_Max_Age_Days]</t>
  </si>
  <si>
    <t xml:space="preserve">All statement blocks</t>
  </si>
  <si>
    <t xml:space="preserve">Pooja, 2 Oct 2026</t>
  </si>
  <si>
    <t xml:space="preserve">Reader confidence below this: ask the customer to confirm  [Reader_Confidence_Min]</t>
  </si>
  <si>
    <t xml:space="preserve">Document reader spec</t>
  </si>
  <si>
    <t xml:space="preserve">DISPLAY RULES AND STATISTICAL CONSTANTS</t>
  </si>
  <si>
    <t xml:space="preserve">Show "Over 100 years" above this many months  [Cap_Months]</t>
  </si>
  <si>
    <t xml:space="preserve">C02, C04, C27</t>
  </si>
  <si>
    <t xml:space="preserve">Display rule</t>
  </si>
  <si>
    <t xml:space="preserve">Drawdown working table length ("60+ years")  [Cap_Years]</t>
  </si>
  <si>
    <t xml:space="preserve">Mortgage protection: first checkpoint (years)  [MP_Year_1]</t>
  </si>
  <si>
    <t xml:space="preserve">Mortgage protection: second checkpoint (years)  [MP_Year_2]</t>
  </si>
  <si>
    <t xml:space="preserve">Mortgage protection: third checkpoint (years)  [MP_Year_3]</t>
  </si>
  <si>
    <t xml:space="preserve">Standard-normal value for a 1-in-20 bad year  [One_In_20_Z]</t>
  </si>
  <si>
    <t xml:space="preserve">Normal distribution (5% tail); audit #81</t>
  </si>
  <si>
    <t xml:space="preserve">#81</t>
  </si>
  <si>
    <t xml:space="preserve">Risk style 1 name  [Risk_Names]</t>
  </si>
  <si>
    <t xml:space="preserve">Cautious</t>
  </si>
  <si>
    <t xml:space="preserve">Label</t>
  </si>
  <si>
    <t xml:space="preserve">Risk style 2 name  [Risk_Names]</t>
  </si>
  <si>
    <t xml:space="preserve">Balanced</t>
  </si>
  <si>
    <t xml:space="preserve">Risk style 3 name  [Risk_Names]</t>
  </si>
  <si>
    <t xml:space="preserve">Growth</t>
  </si>
</sst>
</file>

<file path=xl/styles.xml><?xml version="1.0" encoding="utf-8"?>
<styleSheet xmlns="http://schemas.openxmlformats.org/spreadsheetml/2006/main">
  <numFmts count="12">
    <numFmt numFmtId="164" formatCode="General"/>
    <numFmt numFmtId="165" formatCode="\€#,##0"/>
    <numFmt numFmtId="166" formatCode="0.00%"/>
    <numFmt numFmtId="167" formatCode="0"/>
    <numFmt numFmtId="168" formatCode="0.0\×"/>
    <numFmt numFmtId="169" formatCode="dd\ mmm\ yyyy"/>
    <numFmt numFmtId="170" formatCode="0.0000%"/>
    <numFmt numFmtId="171" formatCode="0.0"/>
    <numFmt numFmtId="172" formatCode="0%"/>
    <numFmt numFmtId="173" formatCode="0.0%"/>
    <numFmt numFmtId="174" formatCode="\€#,##0.00"/>
    <numFmt numFmtId="175" formatCode="0.000"/>
  </numFmts>
  <fonts count="40">
    <font>
      <sz val="11"/>
      <color theme="1"/>
      <name val="Calibri"/>
      <family val="2"/>
      <charset val="1"/>
    </font>
    <font>
      <sz val="10"/>
      <name val="Arial"/>
      <family val="0"/>
    </font>
    <font>
      <sz val="10"/>
      <name val="Arial"/>
      <family val="0"/>
    </font>
    <font>
      <sz val="10"/>
      <name val="Arial"/>
      <family val="0"/>
    </font>
    <font>
      <b val="true"/>
      <sz val="18"/>
      <color rgb="FF1F3864"/>
      <name val="Arial"/>
      <family val="0"/>
      <charset val="1"/>
    </font>
    <font>
      <sz val="9"/>
      <color rgb="FF808080"/>
      <name val="Arial"/>
      <family val="0"/>
      <charset val="1"/>
    </font>
    <font>
      <b val="true"/>
      <sz val="12"/>
      <color rgb="FF1F3864"/>
      <name val="Arial"/>
      <family val="0"/>
      <charset val="1"/>
    </font>
    <font>
      <sz val="10"/>
      <color rgb="FF000000"/>
      <name val="Arial"/>
      <family val="0"/>
      <charset val="1"/>
    </font>
    <font>
      <b val="true"/>
      <sz val="10"/>
      <color rgb="FFFFFFFF"/>
      <name val="Arial"/>
      <family val="0"/>
      <charset val="1"/>
    </font>
    <font>
      <b val="true"/>
      <sz val="10"/>
      <color rgb="FF000000"/>
      <name val="Arial"/>
      <family val="0"/>
      <charset val="1"/>
    </font>
    <font>
      <u val="single"/>
      <sz val="10"/>
      <color rgb="FF0563C1"/>
      <name val="Arial"/>
      <family val="0"/>
      <charset val="1"/>
    </font>
    <font>
      <sz val="9"/>
      <color rgb="FF000000"/>
      <name val="Arial"/>
      <family val="0"/>
      <charset val="1"/>
    </font>
    <font>
      <b val="true"/>
      <sz val="11"/>
      <color rgb="FFFFFFFF"/>
      <name val="Arial"/>
      <family val="0"/>
      <charset val="1"/>
    </font>
    <font>
      <i val="true"/>
      <sz val="9"/>
      <color rgb="FF000000"/>
      <name val="Arial"/>
      <family val="0"/>
      <charset val="1"/>
    </font>
    <font>
      <b val="true"/>
      <sz val="9"/>
      <color rgb="FF000000"/>
      <name val="Arial"/>
      <family val="0"/>
      <charset val="1"/>
    </font>
    <font>
      <b val="true"/>
      <sz val="16"/>
      <color rgb="FF1F3864"/>
      <name val="Arial"/>
      <family val="0"/>
      <charset val="1"/>
    </font>
    <font>
      <b val="true"/>
      <sz val="11"/>
      <color rgb="FF000000"/>
      <name val="Arial"/>
      <family val="0"/>
      <charset val="1"/>
    </font>
    <font>
      <i val="true"/>
      <sz val="10"/>
      <color rgb="FF000000"/>
      <name val="Arial"/>
      <family val="0"/>
      <charset val="1"/>
    </font>
    <font>
      <b val="true"/>
      <sz val="9"/>
      <color rgb="FFFFFFFF"/>
      <name val="Arial"/>
      <family val="0"/>
      <charset val="1"/>
    </font>
    <font>
      <b val="true"/>
      <sz val="11"/>
      <color rgb="FF0000FF"/>
      <name val="Arial"/>
      <family val="0"/>
      <charset val="1"/>
    </font>
    <font>
      <sz val="10"/>
      <color rgb="FF808080"/>
      <name val="Arial"/>
      <family val="0"/>
      <charset val="1"/>
    </font>
    <font>
      <sz val="8"/>
      <color rgb="FF808080"/>
      <name val="Arial"/>
      <family val="0"/>
      <charset val="1"/>
    </font>
    <font>
      <sz val="9"/>
      <color rgb="FF7F6000"/>
      <name val="Arial"/>
      <family val="0"/>
      <charset val="1"/>
    </font>
    <font>
      <b val="true"/>
      <sz val="14"/>
      <color rgb="FF000000"/>
      <name val="Arial"/>
      <family val="0"/>
      <charset val="1"/>
    </font>
    <font>
      <sz val="9"/>
      <color rgb="FF595959"/>
      <name val="Arial"/>
      <family val="0"/>
      <charset val="1"/>
    </font>
    <font>
      <sz val="10"/>
      <name val="Arial"/>
      <family val="2"/>
    </font>
    <font>
      <i val="true"/>
      <sz val="9"/>
      <color rgb="FF595959"/>
      <name val="Arial"/>
      <family val="0"/>
      <charset val="1"/>
    </font>
    <font>
      <b val="true"/>
      <sz val="9"/>
      <color rgb="FF1F6E43"/>
      <name val="Arial"/>
      <family val="0"/>
      <charset val="1"/>
    </font>
    <font>
      <b val="true"/>
      <sz val="10"/>
      <color rgb="FFC00000"/>
      <name val="Arial"/>
      <family val="0"/>
      <charset val="1"/>
    </font>
    <font>
      <sz val="8"/>
      <color rgb="FF595959"/>
      <name val="Arial"/>
      <family val="0"/>
      <charset val="1"/>
    </font>
    <font>
      <b val="true"/>
      <sz val="12"/>
      <color rgb="FF000000"/>
      <name val="Arial"/>
      <family val="0"/>
      <charset val="1"/>
    </font>
    <font>
      <b val="true"/>
      <sz val="8"/>
      <color rgb="FF000000"/>
      <name val="Arial"/>
      <family val="0"/>
      <charset val="1"/>
    </font>
    <font>
      <b val="true"/>
      <sz val="10"/>
      <color rgb="FF1F6E43"/>
      <name val="Arial"/>
      <family val="0"/>
      <charset val="1"/>
    </font>
    <font>
      <b val="true"/>
      <sz val="11"/>
      <color rgb="FF1F3864"/>
      <name val="Arial"/>
      <family val="0"/>
      <charset val="1"/>
    </font>
    <font>
      <u val="single"/>
      <sz val="9"/>
      <color rgb="FF0563C1"/>
      <name val="Arial"/>
      <family val="0"/>
      <charset val="1"/>
    </font>
    <font>
      <sz val="9"/>
      <color rgb="FF0563C1"/>
      <name val="Arial"/>
      <family val="0"/>
      <charset val="1"/>
    </font>
    <font>
      <b val="true"/>
      <sz val="11"/>
      <color rgb="FFC00000"/>
      <name val="Arial"/>
      <family val="0"/>
      <charset val="1"/>
    </font>
    <font>
      <sz val="8"/>
      <color rgb="FF000000"/>
      <name val="Arial"/>
      <family val="0"/>
      <charset val="1"/>
    </font>
    <font>
      <b val="true"/>
      <sz val="10"/>
      <color rgb="FF0000FF"/>
      <name val="Arial"/>
      <family val="0"/>
      <charset val="1"/>
    </font>
    <font>
      <sz val="8"/>
      <color rgb="FFC00000"/>
      <name val="Arial"/>
      <family val="0"/>
      <charset val="1"/>
    </font>
  </fonts>
  <fills count="8">
    <fill>
      <patternFill patternType="none"/>
    </fill>
    <fill>
      <patternFill patternType="gray125"/>
    </fill>
    <fill>
      <patternFill patternType="solid">
        <fgColor rgb="FF1F3864"/>
        <bgColor rgb="FF333333"/>
      </patternFill>
    </fill>
    <fill>
      <patternFill patternType="solid">
        <fgColor rgb="FFF2F2F2"/>
        <bgColor rgb="FFE2EFDA"/>
      </patternFill>
    </fill>
    <fill>
      <patternFill patternType="solid">
        <fgColor rgb="FFFFF2CC"/>
        <bgColor rgb="FFFCE4D6"/>
      </patternFill>
    </fill>
    <fill>
      <patternFill patternType="solid">
        <fgColor rgb="FFE2EFDA"/>
        <bgColor rgb="FFDDEBF7"/>
      </patternFill>
    </fill>
    <fill>
      <patternFill patternType="solid">
        <fgColor rgb="FFDDEBF7"/>
        <bgColor rgb="FFE2EFDA"/>
      </patternFill>
    </fill>
    <fill>
      <patternFill patternType="solid">
        <fgColor rgb="FFFCE4D6"/>
        <bgColor rgb="FFFFF2CC"/>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false" applyProtection="false">
      <alignment horizontal="general" vertical="bottom" textRotation="0" wrapText="false" indent="0" shrinkToFit="false"/>
      <protection locked="true" hidden="false"/>
    </xf>
    <xf numFmtId="164" fontId="8" fillId="2"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13" fillId="0" borderId="0" xfId="0" applyFont="true" applyBorder="true" applyAlignment="true" applyProtection="false">
      <alignment horizontal="general" vertical="top" textRotation="0" wrapText="true" indent="0" shrinkToFit="false"/>
      <protection locked="true" hidden="false"/>
    </xf>
    <xf numFmtId="164" fontId="14" fillId="3"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top" textRotation="0" wrapText="tru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true" applyAlignment="true" applyProtection="false">
      <alignment horizontal="general" vertical="bottom" textRotation="0" wrapText="tru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18" fillId="2"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19" fillId="4" borderId="1" xfId="0" applyFont="true" applyBorder="true" applyAlignment="true" applyProtection="false">
      <alignment horizontal="right" vertical="bottom" textRotation="0" wrapText="false" indent="0" shrinkToFit="false"/>
      <protection locked="true" hidden="false"/>
    </xf>
    <xf numFmtId="164" fontId="20" fillId="0" borderId="0" xfId="0" applyFont="true" applyBorder="false" applyAlignment="false" applyProtection="false">
      <alignment horizontal="general" vertical="bottom" textRotation="0" wrapText="false" indent="0" shrinkToFit="false"/>
      <protection locked="true" hidden="false"/>
    </xf>
    <xf numFmtId="164" fontId="21" fillId="0" borderId="0" xfId="0" applyFont="true" applyBorder="false" applyAlignment="true" applyProtection="false">
      <alignment horizontal="general" vertical="top" textRotation="0" wrapText="false" indent="0" shrinkToFit="false"/>
      <protection locked="true" hidden="false"/>
    </xf>
    <xf numFmtId="164" fontId="19" fillId="4" borderId="1" xfId="0" applyFont="true" applyBorder="true" applyAlignment="true" applyProtection="false">
      <alignment horizontal="right" vertical="bottom" textRotation="0" wrapText="false" indent="0" shrinkToFit="false"/>
      <protection locked="true" hidden="false"/>
    </xf>
    <xf numFmtId="166" fontId="19" fillId="4" borderId="1" xfId="0" applyFont="true" applyBorder="true" applyAlignment="true" applyProtection="false">
      <alignment horizontal="right" vertical="bottom" textRotation="0" wrapText="false" indent="0" shrinkToFit="false"/>
      <protection locked="true" hidden="false"/>
    </xf>
    <xf numFmtId="164" fontId="22" fillId="0" borderId="0" xfId="0" applyFont="true" applyBorder="false" applyAlignment="false" applyProtection="false">
      <alignment horizontal="general" vertical="bottom" textRotation="0" wrapText="false" indent="0" shrinkToFit="false"/>
      <protection locked="true" hidden="false"/>
    </xf>
    <xf numFmtId="167" fontId="19" fillId="4" borderId="1" xfId="0" applyFont="true" applyBorder="true" applyAlignment="true" applyProtection="false">
      <alignment horizontal="right" vertical="bottom" textRotation="0" wrapText="false" indent="0" shrinkToFit="false"/>
      <protection locked="true" hidden="false"/>
    </xf>
    <xf numFmtId="165" fontId="23" fillId="5" borderId="1" xfId="0" applyFont="true" applyBorder="true" applyAlignment="true" applyProtection="false">
      <alignment horizontal="right" vertical="bottom" textRotation="0" wrapText="false" indent="0" shrinkToFit="true"/>
      <protection locked="true" hidden="false"/>
    </xf>
    <xf numFmtId="164" fontId="24" fillId="0" borderId="0" xfId="0" applyFont="true" applyBorder="false" applyAlignment="true" applyProtection="false">
      <alignment horizontal="general" vertical="top" textRotation="0" wrapText="true" indent="0" shrinkToFit="false"/>
      <protection locked="true" hidden="false"/>
    </xf>
    <xf numFmtId="165" fontId="7" fillId="3" borderId="1" xfId="0" applyFont="true" applyBorder="true" applyAlignment="true" applyProtection="false">
      <alignment horizontal="right" vertical="bottom" textRotation="0" wrapText="false" indent="0" shrinkToFit="true"/>
      <protection locked="true" hidden="false"/>
    </xf>
    <xf numFmtId="168" fontId="7" fillId="3" borderId="1" xfId="0" applyFont="true" applyBorder="true" applyAlignment="true" applyProtection="false">
      <alignment horizontal="right" vertical="bottom" textRotation="0" wrapText="false" indent="0" shrinkToFit="true"/>
      <protection locked="true" hidden="false"/>
    </xf>
    <xf numFmtId="164" fontId="7" fillId="3" borderId="1" xfId="0" applyFont="true" applyBorder="true" applyAlignment="true" applyProtection="false">
      <alignment horizontal="right" vertical="bottom" textRotation="0" wrapText="false" indent="0" shrinkToFit="true"/>
      <protection locked="true" hidden="false"/>
    </xf>
    <xf numFmtId="164" fontId="11" fillId="0" borderId="0" xfId="0" applyFont="true" applyBorder="true" applyAlignment="true" applyProtection="false">
      <alignment horizontal="general" vertical="top" textRotation="0" wrapText="true" indent="0" shrinkToFit="false"/>
      <protection locked="true" hidden="false"/>
    </xf>
    <xf numFmtId="164" fontId="14" fillId="0" borderId="0" xfId="0" applyFont="true" applyBorder="true" applyAlignment="true" applyProtection="false">
      <alignment horizontal="general" vertical="top" textRotation="0" wrapText="true" indent="0" shrinkToFit="false"/>
      <protection locked="true" hidden="false"/>
    </xf>
    <xf numFmtId="164" fontId="9" fillId="3" borderId="1" xfId="0" applyFont="true" applyBorder="true" applyAlignment="true" applyProtection="false">
      <alignment horizontal="right" vertical="bottom" textRotation="0" wrapText="false" indent="0" shrinkToFit="true"/>
      <protection locked="true" hidden="false"/>
    </xf>
    <xf numFmtId="164" fontId="24" fillId="0" borderId="0" xfId="0" applyFont="true" applyBorder="false" applyAlignment="false" applyProtection="false">
      <alignment horizontal="general" vertical="bottom" textRotation="0" wrapText="false" indent="0" shrinkToFit="false"/>
      <protection locked="true" hidden="false"/>
    </xf>
    <xf numFmtId="165" fontId="9" fillId="3" borderId="1" xfId="0" applyFont="true" applyBorder="true" applyAlignment="true" applyProtection="false">
      <alignment horizontal="right" vertical="bottom" textRotation="0" wrapText="false" indent="0" shrinkToFit="true"/>
      <protection locked="true" hidden="false"/>
    </xf>
    <xf numFmtId="167" fontId="9" fillId="3" borderId="1" xfId="0" applyFont="true" applyBorder="true" applyAlignment="true" applyProtection="false">
      <alignment horizontal="right" vertical="bottom" textRotation="0" wrapText="false" indent="0" shrinkToFit="true"/>
      <protection locked="true" hidden="false"/>
    </xf>
    <xf numFmtId="164" fontId="26" fillId="0" borderId="0" xfId="0" applyFont="true" applyBorder="true" applyAlignment="true" applyProtection="false">
      <alignment horizontal="general" vertical="top" textRotation="0" wrapText="true" indent="0" shrinkToFit="false"/>
      <protection locked="true" hidden="false"/>
    </xf>
    <xf numFmtId="165" fontId="19" fillId="6" borderId="1" xfId="0" applyFont="true" applyBorder="true" applyAlignment="true" applyProtection="false">
      <alignment horizontal="right" vertical="bottom" textRotation="0" wrapText="false" indent="0" shrinkToFit="false"/>
      <protection locked="true" hidden="false"/>
    </xf>
    <xf numFmtId="166" fontId="19" fillId="6" borderId="1" xfId="0" applyFont="true" applyBorder="true" applyAlignment="true" applyProtection="false">
      <alignment horizontal="right" vertical="bottom" textRotation="0" wrapText="false" indent="0" shrinkToFit="false"/>
      <protection locked="true" hidden="false"/>
    </xf>
    <xf numFmtId="167" fontId="19" fillId="6" borderId="1" xfId="0" applyFont="true" applyBorder="true" applyAlignment="true" applyProtection="false">
      <alignment horizontal="right" vertical="bottom" textRotation="0" wrapText="false" indent="0" shrinkToFit="false"/>
      <protection locked="true" hidden="false"/>
    </xf>
    <xf numFmtId="169" fontId="19" fillId="6" borderId="1" xfId="0" applyFont="true" applyBorder="true" applyAlignment="true" applyProtection="false">
      <alignment horizontal="right" vertical="bottom" textRotation="0" wrapText="false" indent="0" shrinkToFit="false"/>
      <protection locked="true" hidden="false"/>
    </xf>
    <xf numFmtId="165" fontId="9" fillId="3" borderId="1" xfId="0" applyFont="true" applyBorder="true" applyAlignment="true" applyProtection="false">
      <alignment horizontal="right" vertical="bottom" textRotation="0" wrapText="false" indent="0" shrinkToFit="false"/>
      <protection locked="true" hidden="false"/>
    </xf>
    <xf numFmtId="164" fontId="27" fillId="0" borderId="0" xfId="0" applyFont="true" applyBorder="false" applyAlignment="false" applyProtection="false">
      <alignment horizontal="general" vertical="bottom" textRotation="0" wrapText="false" indent="0" shrinkToFit="false"/>
      <protection locked="true" hidden="false"/>
    </xf>
    <xf numFmtId="166" fontId="9" fillId="3" borderId="1" xfId="0" applyFont="true" applyBorder="true" applyAlignment="true" applyProtection="false">
      <alignment horizontal="right" vertical="bottom" textRotation="0" wrapText="false" indent="0" shrinkToFit="false"/>
      <protection locked="true" hidden="false"/>
    </xf>
    <xf numFmtId="167" fontId="9" fillId="3" borderId="1" xfId="0" applyFont="true" applyBorder="true" applyAlignment="true" applyProtection="false">
      <alignment horizontal="right" vertical="bottom" textRotation="0" wrapText="false" indent="0" shrinkToFit="false"/>
      <protection locked="true" hidden="false"/>
    </xf>
    <xf numFmtId="167" fontId="23" fillId="5" borderId="1" xfId="0" applyFont="true" applyBorder="true" applyAlignment="true" applyProtection="false">
      <alignment horizontal="right" vertical="bottom" textRotation="0" wrapText="false" indent="0" shrinkToFit="true"/>
      <protection locked="true" hidden="false"/>
    </xf>
    <xf numFmtId="164" fontId="9" fillId="0" borderId="0" xfId="0" applyFont="true" applyBorder="false" applyAlignment="true" applyProtection="false">
      <alignment horizontal="general" vertical="bottom" textRotation="0" wrapText="true" indent="0" shrinkToFit="false"/>
      <protection locked="true" hidden="false"/>
    </xf>
    <xf numFmtId="170" fontId="7" fillId="3" borderId="1" xfId="0" applyFont="true" applyBorder="true" applyAlignment="true" applyProtection="false">
      <alignment horizontal="right" vertical="bottom" textRotation="0" wrapText="false" indent="0" shrinkToFit="true"/>
      <protection locked="true" hidden="false"/>
    </xf>
    <xf numFmtId="166" fontId="7" fillId="3" borderId="1" xfId="0" applyFont="true" applyBorder="true" applyAlignment="true" applyProtection="false">
      <alignment horizontal="right" vertical="bottom" textRotation="0" wrapText="false" indent="0" shrinkToFit="true"/>
      <protection locked="true" hidden="false"/>
    </xf>
    <xf numFmtId="167" fontId="7" fillId="3" borderId="1" xfId="0" applyFont="true" applyBorder="true" applyAlignment="true" applyProtection="false">
      <alignment horizontal="right" vertical="bottom" textRotation="0" wrapText="false" indent="0" shrinkToFit="true"/>
      <protection locked="true" hidden="false"/>
    </xf>
    <xf numFmtId="164" fontId="7" fillId="0" borderId="0" xfId="0" applyFont="true" applyBorder="false" applyAlignment="true" applyProtection="false">
      <alignment horizontal="general" vertical="bottom" textRotation="0" wrapText="true" indent="0" shrinkToFit="false"/>
      <protection locked="true" hidden="false"/>
    </xf>
    <xf numFmtId="164" fontId="26" fillId="0" borderId="0" xfId="0" applyFont="true" applyBorder="true" applyAlignment="false" applyProtection="false">
      <alignment horizontal="general" vertical="bottom" textRotation="0" wrapText="false" indent="0" shrinkToFit="false"/>
      <protection locked="true" hidden="false"/>
    </xf>
    <xf numFmtId="166" fontId="9" fillId="3" borderId="1" xfId="0" applyFont="true" applyBorder="true" applyAlignment="true" applyProtection="false">
      <alignment horizontal="right" vertical="bottom" textRotation="0" wrapText="false" indent="0" shrinkToFit="true"/>
      <protection locked="true" hidden="false"/>
    </xf>
    <xf numFmtId="171" fontId="23" fillId="5" borderId="1" xfId="0" applyFont="true" applyBorder="true" applyAlignment="true" applyProtection="false">
      <alignment horizontal="right" vertical="bottom" textRotation="0" wrapText="false" indent="0" shrinkToFit="true"/>
      <protection locked="true" hidden="false"/>
    </xf>
    <xf numFmtId="164" fontId="19" fillId="6" borderId="1" xfId="0" applyFont="true" applyBorder="true" applyAlignment="true" applyProtection="false">
      <alignment horizontal="right" vertical="bottom" textRotation="0" wrapText="false" indent="0" shrinkToFit="false"/>
      <protection locked="true" hidden="false"/>
    </xf>
    <xf numFmtId="164" fontId="28" fillId="0" borderId="0" xfId="0" applyFont="true" applyBorder="false" applyAlignment="false" applyProtection="false">
      <alignment horizontal="general" vertical="bottom" textRotation="0" wrapText="false" indent="0" shrinkToFit="false"/>
      <protection locked="true" hidden="false"/>
    </xf>
    <xf numFmtId="164" fontId="28" fillId="7" borderId="0" xfId="0" applyFont="true" applyBorder="true" applyAlignment="false" applyProtection="false">
      <alignment horizontal="general" vertical="bottom" textRotation="0" wrapText="false" indent="0" shrinkToFit="false"/>
      <protection locked="true" hidden="false"/>
    </xf>
    <xf numFmtId="172" fontId="19" fillId="4" borderId="1" xfId="0" applyFont="true" applyBorder="true" applyAlignment="true" applyProtection="false">
      <alignment horizontal="right" vertical="bottom" textRotation="0" wrapText="false" indent="0" shrinkToFit="false"/>
      <protection locked="true" hidden="false"/>
    </xf>
    <xf numFmtId="173" fontId="7" fillId="3" borderId="1" xfId="0" applyFont="true" applyBorder="true" applyAlignment="true" applyProtection="false">
      <alignment horizontal="right" vertical="bottom" textRotation="0" wrapText="false" indent="0" shrinkToFit="true"/>
      <protection locked="true" hidden="false"/>
    </xf>
    <xf numFmtId="164" fontId="14" fillId="3" borderId="0" xfId="0" applyFont="true" applyBorder="false" applyAlignment="true" applyProtection="false">
      <alignment horizontal="general" vertical="bottom" textRotation="0" wrapText="true" indent="0" shrinkToFit="false"/>
      <protection locked="true" hidden="false"/>
    </xf>
    <xf numFmtId="167" fontId="11" fillId="0" borderId="0" xfId="0" applyFont="true" applyBorder="false" applyAlignment="false" applyProtection="false">
      <alignment horizontal="general" vertical="bottom" textRotation="0" wrapText="false" indent="0" shrinkToFit="false"/>
      <protection locked="true" hidden="false"/>
    </xf>
    <xf numFmtId="165" fontId="11" fillId="0" borderId="0" xfId="0" applyFont="true" applyBorder="false" applyAlignment="false" applyProtection="false">
      <alignment horizontal="general" vertical="bottom" textRotation="0" wrapText="false" indent="0" shrinkToFit="false"/>
      <protection locked="true" hidden="false"/>
    </xf>
    <xf numFmtId="170" fontId="23" fillId="5" borderId="1" xfId="0" applyFont="true" applyBorder="true" applyAlignment="true" applyProtection="false">
      <alignment horizontal="right" vertical="bottom" textRotation="0" wrapText="false" indent="0" shrinkToFit="true"/>
      <protection locked="true" hidden="false"/>
    </xf>
    <xf numFmtId="174" fontId="19" fillId="4" borderId="1" xfId="0" applyFont="true" applyBorder="true" applyAlignment="true" applyProtection="false">
      <alignment horizontal="right" vertical="bottom" textRotation="0" wrapText="false" indent="0" shrinkToFit="false"/>
      <protection locked="true" hidden="false"/>
    </xf>
    <xf numFmtId="171" fontId="7" fillId="3" borderId="1" xfId="0" applyFont="true" applyBorder="true" applyAlignment="true" applyProtection="false">
      <alignment horizontal="right" vertical="bottom" textRotation="0" wrapText="false" indent="0" shrinkToFit="tru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70" fontId="7" fillId="3" borderId="1" xfId="0" applyFont="true" applyBorder="true" applyAlignment="false" applyProtection="false">
      <alignment horizontal="general" vertical="bottom" textRotation="0" wrapText="false" indent="0" shrinkToFit="false"/>
      <protection locked="true" hidden="false"/>
    </xf>
    <xf numFmtId="164" fontId="29" fillId="0" borderId="0" xfId="0" applyFont="true" applyBorder="false" applyAlignment="true" applyProtection="false">
      <alignment horizontal="general" vertical="bottom" textRotation="0" wrapText="true" indent="0" shrinkToFit="false"/>
      <protection locked="true" hidden="false"/>
    </xf>
    <xf numFmtId="165" fontId="7" fillId="3" borderId="1" xfId="0" applyFont="true" applyBorder="true" applyAlignment="false" applyProtection="false">
      <alignment horizontal="general" vertical="bottom" textRotation="0" wrapText="false" indent="0" shrinkToFit="false"/>
      <protection locked="true" hidden="false"/>
    </xf>
    <xf numFmtId="174" fontId="7" fillId="3" borderId="1" xfId="0" applyFont="true" applyBorder="true" applyAlignment="false" applyProtection="false">
      <alignment horizontal="general" vertical="bottom" textRotation="0" wrapText="false" indent="0" shrinkToFit="false"/>
      <protection locked="true" hidden="false"/>
    </xf>
    <xf numFmtId="174" fontId="30" fillId="5" borderId="1" xfId="0" applyFont="true" applyBorder="true" applyAlignment="false" applyProtection="false">
      <alignment horizontal="general" vertical="bottom" textRotation="0" wrapText="false" indent="0" shrinkToFit="false"/>
      <protection locked="true" hidden="false"/>
    </xf>
    <xf numFmtId="172" fontId="30" fillId="5" borderId="1"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64" fontId="31" fillId="3" borderId="0" xfId="0" applyFont="true" applyBorder="false" applyAlignment="true" applyProtection="false">
      <alignment horizontal="general" vertical="bottom" textRotation="0" wrapText="true" indent="0" shrinkToFit="false"/>
      <protection locked="true" hidden="false"/>
    </xf>
    <xf numFmtId="174" fontId="11" fillId="0" borderId="0" xfId="0" applyFont="true" applyBorder="false" applyAlignment="false" applyProtection="false">
      <alignment horizontal="general" vertical="bottom" textRotation="0" wrapText="false" indent="0" shrinkToFit="false"/>
      <protection locked="true" hidden="false"/>
    </xf>
    <xf numFmtId="164" fontId="32" fillId="0" borderId="0" xfId="0" applyFont="true" applyBorder="false" applyAlignment="false" applyProtection="false">
      <alignment horizontal="general" vertical="bottom" textRotation="0" wrapText="false" indent="0" shrinkToFit="false"/>
      <protection locked="true" hidden="false"/>
    </xf>
    <xf numFmtId="164" fontId="8" fillId="2" borderId="0" xfId="0" applyFont="true" applyBorder="false" applyAlignment="true" applyProtection="false">
      <alignment horizontal="general" vertical="bottom" textRotation="0" wrapText="true" indent="0" shrinkToFit="false"/>
      <protection locked="true" hidden="false"/>
    </xf>
    <xf numFmtId="164" fontId="14" fillId="0" borderId="1" xfId="0" applyFont="true" applyBorder="true" applyAlignment="true" applyProtection="false">
      <alignment horizontal="general" vertical="top" textRotation="0" wrapText="tru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4" fontId="33" fillId="0" borderId="0" xfId="0" applyFont="true" applyBorder="false" applyAlignment="false" applyProtection="false">
      <alignment horizontal="general" vertical="bottom" textRotation="0" wrapText="false" indent="0" shrinkToFit="false"/>
      <protection locked="true" hidden="false"/>
    </xf>
    <xf numFmtId="164" fontId="34" fillId="0" borderId="0" xfId="0" applyFont="true" applyBorder="false" applyAlignment="false" applyProtection="false">
      <alignment horizontal="general" vertical="bottom" textRotation="0" wrapText="false" indent="0" shrinkToFit="false"/>
      <protection locked="true" hidden="false"/>
    </xf>
    <xf numFmtId="164" fontId="35" fillId="0" borderId="0" xfId="0" applyFont="true" applyBorder="false" applyAlignment="false" applyProtection="false">
      <alignment horizontal="general" vertical="bottom" textRotation="0" wrapText="false" indent="0" shrinkToFit="false"/>
      <protection locked="true" hidden="false"/>
    </xf>
    <xf numFmtId="164" fontId="36"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true" applyAlignment="true" applyProtection="false">
      <alignment horizontal="general" vertical="bottom" textRotation="0" wrapText="true" indent="0" shrinkToFit="false"/>
      <protection locked="true" hidden="false"/>
    </xf>
    <xf numFmtId="164" fontId="37" fillId="0" borderId="0" xfId="0" applyFont="true" applyBorder="false" applyAlignment="true" applyProtection="false">
      <alignment horizontal="general" vertical="top" textRotation="0" wrapText="true" indent="0" shrinkToFit="false"/>
      <protection locked="true" hidden="false"/>
    </xf>
    <xf numFmtId="165" fontId="38" fillId="4" borderId="1" xfId="0" applyFont="true" applyBorder="true" applyAlignment="false" applyProtection="false">
      <alignment horizontal="general" vertical="bottom" textRotation="0" wrapText="false" indent="0" shrinkToFit="false"/>
      <protection locked="true" hidden="false"/>
    </xf>
    <xf numFmtId="164" fontId="39" fillId="0" borderId="0" xfId="0" applyFont="true" applyBorder="false" applyAlignment="true" applyProtection="false">
      <alignment horizontal="general" vertical="top" textRotation="0" wrapText="true" indent="0" shrinkToFit="false"/>
      <protection locked="true" hidden="false"/>
    </xf>
    <xf numFmtId="172" fontId="38" fillId="4" borderId="1" xfId="0" applyFont="true" applyBorder="true" applyAlignment="false" applyProtection="false">
      <alignment horizontal="general" vertical="bottom" textRotation="0" wrapText="false" indent="0" shrinkToFit="false"/>
      <protection locked="true" hidden="false"/>
    </xf>
    <xf numFmtId="173" fontId="38" fillId="4" borderId="1" xfId="0" applyFont="true" applyBorder="true" applyAlignment="false" applyProtection="false">
      <alignment horizontal="general" vertical="bottom" textRotation="0" wrapText="false" indent="0" shrinkToFit="false"/>
      <protection locked="true" hidden="false"/>
    </xf>
    <xf numFmtId="166" fontId="38" fillId="4" borderId="1" xfId="0" applyFont="true" applyBorder="true" applyAlignment="false" applyProtection="false">
      <alignment horizontal="general" vertical="bottom" textRotation="0" wrapText="false" indent="0" shrinkToFit="false"/>
      <protection locked="true" hidden="false"/>
    </xf>
    <xf numFmtId="170" fontId="38" fillId="4" borderId="1" xfId="0" applyFont="true" applyBorder="true" applyAlignment="false" applyProtection="false">
      <alignment horizontal="general" vertical="bottom" textRotation="0" wrapText="false" indent="0" shrinkToFit="false"/>
      <protection locked="true" hidden="false"/>
    </xf>
    <xf numFmtId="167" fontId="38" fillId="4" borderId="1" xfId="0" applyFont="true" applyBorder="true" applyAlignment="false" applyProtection="false">
      <alignment horizontal="general" vertical="bottom" textRotation="0" wrapText="false" indent="0" shrinkToFit="false"/>
      <protection locked="true" hidden="false"/>
    </xf>
    <xf numFmtId="164" fontId="38" fillId="4" borderId="1" xfId="0" applyFont="true" applyBorder="true" applyAlignment="false" applyProtection="false">
      <alignment horizontal="general" vertical="bottom" textRotation="0" wrapText="false" indent="0" shrinkToFit="false"/>
      <protection locked="true" hidden="false"/>
    </xf>
    <xf numFmtId="164" fontId="37" fillId="0" borderId="0" xfId="0" applyFont="true" applyBorder="false" applyAlignment="false" applyProtection="false">
      <alignment horizontal="general" vertical="bottom" textRotation="0" wrapText="false" indent="0" shrinkToFit="false"/>
      <protection locked="true" hidden="false"/>
    </xf>
    <xf numFmtId="164" fontId="39" fillId="0" borderId="0" xfId="0" applyFont="true" applyBorder="false" applyAlignment="false" applyProtection="false">
      <alignment horizontal="general" vertical="bottom" textRotation="0" wrapText="false" indent="0" shrinkToFit="false"/>
      <protection locked="true" hidden="false"/>
    </xf>
    <xf numFmtId="174" fontId="38" fillId="4" borderId="1" xfId="0" applyFont="true" applyBorder="true" applyAlignment="false" applyProtection="false">
      <alignment horizontal="general" vertical="bottom" textRotation="0" wrapText="false" indent="0" shrinkToFit="false"/>
      <protection locked="true" hidden="false"/>
    </xf>
    <xf numFmtId="174" fontId="9" fillId="0" borderId="1" xfId="0" applyFont="true" applyBorder="true" applyAlignment="false" applyProtection="false">
      <alignment horizontal="general" vertical="bottom" textRotation="0" wrapText="false" indent="0" shrinkToFit="false"/>
      <protection locked="true" hidden="false"/>
    </xf>
    <xf numFmtId="168" fontId="38" fillId="4" borderId="1" xfId="0" applyFont="true" applyBorder="true" applyAlignment="false" applyProtection="false">
      <alignment horizontal="general" vertical="bottom" textRotation="0" wrapText="false" indent="0" shrinkToFit="false"/>
      <protection locked="true" hidden="false"/>
    </xf>
    <xf numFmtId="172" fontId="9" fillId="0" borderId="1" xfId="0" applyFont="true" applyBorder="true" applyAlignment="false" applyProtection="false">
      <alignment horizontal="general" vertical="bottom" textRotation="0" wrapText="false" indent="0" shrinkToFit="false"/>
      <protection locked="true" hidden="false"/>
    </xf>
    <xf numFmtId="175" fontId="38" fillId="4" borderId="1" xfId="0" applyFont="true" applyBorder="true" applyAlignment="false" applyProtection="false">
      <alignment horizontal="general" vertical="bottom" textRotation="0" wrapText="false" indent="0" shrinkToFit="false"/>
      <protection locked="true" hidden="false"/>
    </xf>
    <xf numFmtId="164" fontId="21"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7F6000"/>
      <rgbColor rgb="FF800080"/>
      <rgbColor rgb="FF1F6E43"/>
      <rgbColor rgb="FFBFBFBF"/>
      <rgbColor rgb="FF808080"/>
      <rgbColor rgb="FF9999FF"/>
      <rgbColor rgb="FF993366"/>
      <rgbColor rgb="FFFFF2CC"/>
      <rgbColor rgb="FFDDEBF7"/>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F2F2F2"/>
      <rgbColor rgb="FFE2EFDA"/>
      <rgbColor rgb="FFFFFF99"/>
      <rgbColor rgb="FF99CCFF"/>
      <rgbColor rgb="FFFF99CC"/>
      <rgbColor rgb="FFCC99FF"/>
      <rgbColor rgb="FFFCE4D6"/>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2.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3.v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4.v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5.vml"/>
</Relationships>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6.v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7.vml"/>
</Relationships>
</file>

<file path=xl/worksheets/_rels/sheet9.xml.rels><?xml version="1.0" encoding="UTF-8"?>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8.v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9.vml"/>
</Relationships>
</file>

<file path=xl/worksheets/_rels/sheet11.xml.rels><?xml version="1.0" encoding="UTF-8"?>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10.vml"/>
</Relationships>
</file>

<file path=xl/worksheets/_rels/sheet12.xml.rels><?xml version="1.0" encoding="UTF-8"?>
<Relationships xmlns="http://schemas.openxmlformats.org/package/2006/relationships"><Relationship Id="rId1" Type="http://schemas.openxmlformats.org/officeDocument/2006/relationships/comments" Target="../comments12.xml"/><Relationship Id="rId2" Type="http://schemas.openxmlformats.org/officeDocument/2006/relationships/vmlDrawing" Target="../drawings/vmlDrawing11.vml"/>
</Relationships>
</file>

<file path=xl/worksheets/_rels/sheet13.xml.rels><?xml version="1.0" encoding="UTF-8"?>
<Relationships xmlns="http://schemas.openxmlformats.org/package/2006/relationships"><Relationship Id="rId1" Type="http://schemas.openxmlformats.org/officeDocument/2006/relationships/comments" Target="../comments13.xml"/><Relationship Id="rId2" Type="http://schemas.openxmlformats.org/officeDocument/2006/relationships/vmlDrawing" Target="../drawings/vmlDrawing12.vml"/>
</Relationships>
</file>

<file path=xl/worksheets/_rels/sheet14.xml.rels><?xml version="1.0" encoding="UTF-8"?>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13.vml"/>
</Relationships>
</file>

<file path=xl/worksheets/_rels/sheet15.xml.rels><?xml version="1.0" encoding="UTF-8"?>
<Relationships xmlns="http://schemas.openxmlformats.org/package/2006/relationships"><Relationship Id="rId1" Type="http://schemas.openxmlformats.org/officeDocument/2006/relationships/comments" Target="../comments15.xml"/><Relationship Id="rId2" Type="http://schemas.openxmlformats.org/officeDocument/2006/relationships/vmlDrawing" Target="../drawings/vmlDrawing14.vml"/>
</Relationships>
</file>

<file path=xl/worksheets/_rels/sheet16.xml.rels><?xml version="1.0" encoding="UTF-8"?>
<Relationships xmlns="http://schemas.openxmlformats.org/package/2006/relationships"><Relationship Id="rId1" Type="http://schemas.openxmlformats.org/officeDocument/2006/relationships/comments" Target="../comments16.xml"/><Relationship Id="rId2" Type="http://schemas.openxmlformats.org/officeDocument/2006/relationships/vmlDrawing" Target="../drawings/vmlDrawing15.vml"/>
</Relationships>
</file>

<file path=xl/worksheets/_rels/sheet17.xml.rels><?xml version="1.0" encoding="UTF-8"?>
<Relationships xmlns="http://schemas.openxmlformats.org/package/2006/relationships"><Relationship Id="rId1" Type="http://schemas.openxmlformats.org/officeDocument/2006/relationships/comments" Target="../comments17.xml"/><Relationship Id="rId2" Type="http://schemas.openxmlformats.org/officeDocument/2006/relationships/vmlDrawing" Target="../drawings/vmlDrawing16.vml"/>
</Relationships>
</file>

<file path=xl/worksheets/_rels/sheet18.xml.rels><?xml version="1.0" encoding="UTF-8"?>
<Relationships xmlns="http://schemas.openxmlformats.org/package/2006/relationships"><Relationship Id="rId1" Type="http://schemas.openxmlformats.org/officeDocument/2006/relationships/comments" Target="../comments18.xml"/><Relationship Id="rId2" Type="http://schemas.openxmlformats.org/officeDocument/2006/relationships/vmlDrawing" Target="../drawings/vmlDrawing17.vml"/>
</Relationships>
</file>

<file path=xl/worksheets/_rels/sheet19.xml.rels><?xml version="1.0" encoding="UTF-8"?>
<Relationships xmlns="http://schemas.openxmlformats.org/package/2006/relationships"><Relationship Id="rId1" Type="http://schemas.openxmlformats.org/officeDocument/2006/relationships/comments" Target="../comments19.xml"/><Relationship Id="rId2" Type="http://schemas.openxmlformats.org/officeDocument/2006/relationships/vmlDrawing" Target="../drawings/vmlDrawing18.vml"/>
</Relationships>
</file>

<file path=xl/worksheets/_rels/sheet20.xml.rels><?xml version="1.0" encoding="UTF-8"?>
<Relationships xmlns="http://schemas.openxmlformats.org/package/2006/relationships"><Relationship Id="rId1" Type="http://schemas.openxmlformats.org/officeDocument/2006/relationships/comments" Target="../comments20.xml"/><Relationship Id="rId2" Type="http://schemas.openxmlformats.org/officeDocument/2006/relationships/vmlDrawing" Target="../drawings/vmlDrawing19.vml"/>
</Relationships>
</file>

<file path=xl/worksheets/_rels/sheet21.xml.rels><?xml version="1.0" encoding="UTF-8"?>
<Relationships xmlns="http://schemas.openxmlformats.org/package/2006/relationships"><Relationship Id="rId1" Type="http://schemas.openxmlformats.org/officeDocument/2006/relationships/comments" Target="../comments21.xml"/><Relationship Id="rId2" Type="http://schemas.openxmlformats.org/officeDocument/2006/relationships/vmlDrawing" Target="../drawings/vmlDrawing20.vml"/>
</Relationships>
</file>

<file path=xl/worksheets/_rels/sheet22.xml.rels><?xml version="1.0" encoding="UTF-8"?>
<Relationships xmlns="http://schemas.openxmlformats.org/package/2006/relationships"><Relationship Id="rId1" Type="http://schemas.openxmlformats.org/officeDocument/2006/relationships/comments" Target="../comments22.xml"/><Relationship Id="rId2" Type="http://schemas.openxmlformats.org/officeDocument/2006/relationships/vmlDrawing" Target="../drawings/vmlDrawing21.vml"/>
</Relationships>
</file>

<file path=xl/worksheets/_rels/sheet23.xml.rels><?xml version="1.0" encoding="UTF-8"?>
<Relationships xmlns="http://schemas.openxmlformats.org/package/2006/relationships"><Relationship Id="rId1" Type="http://schemas.openxmlformats.org/officeDocument/2006/relationships/comments" Target="../comments23.xml"/><Relationship Id="rId2" Type="http://schemas.openxmlformats.org/officeDocument/2006/relationships/vmlDrawing" Target="../drawings/vmlDrawing22.vml"/>
</Relationships>
</file>

<file path=xl/worksheets/_rels/sheet24.xml.rels><?xml version="1.0" encoding="UTF-8"?>
<Relationships xmlns="http://schemas.openxmlformats.org/package/2006/relationships"><Relationship Id="rId1" Type="http://schemas.openxmlformats.org/officeDocument/2006/relationships/comments" Target="../comments24.xml"/><Relationship Id="rId2" Type="http://schemas.openxmlformats.org/officeDocument/2006/relationships/vmlDrawing" Target="../drawings/vmlDrawing23.vml"/>
</Relationships>
</file>

<file path=xl/worksheets/_rels/sheet25.xml.rels><?xml version="1.0" encoding="UTF-8"?>
<Relationships xmlns="http://schemas.openxmlformats.org/package/2006/relationships"><Relationship Id="rId1" Type="http://schemas.openxmlformats.org/officeDocument/2006/relationships/comments" Target="../comments25.xml"/><Relationship Id="rId2" Type="http://schemas.openxmlformats.org/officeDocument/2006/relationships/vmlDrawing" Target="../drawings/vmlDrawing24.vml"/>
</Relationships>
</file>

<file path=xl/worksheets/_rels/sheet26.xml.rels><?xml version="1.0" encoding="UTF-8"?>
<Relationships xmlns="http://schemas.openxmlformats.org/package/2006/relationships"><Relationship Id="rId1" Type="http://schemas.openxmlformats.org/officeDocument/2006/relationships/comments" Target="../comments26.xml"/><Relationship Id="rId2" Type="http://schemas.openxmlformats.org/officeDocument/2006/relationships/vmlDrawing" Target="../drawings/vmlDrawing25.vml"/>
</Relationships>
</file>

<file path=xl/worksheets/_rels/sheet27.xml.rels><?xml version="1.0" encoding="UTF-8"?>
<Relationships xmlns="http://schemas.openxmlformats.org/package/2006/relationships"><Relationship Id="rId1" Type="http://schemas.openxmlformats.org/officeDocument/2006/relationships/comments" Target="../comments27.xml"/><Relationship Id="rId2" Type="http://schemas.openxmlformats.org/officeDocument/2006/relationships/vmlDrawing" Target="../drawings/vmlDrawing26.vml"/>
</Relationships>
</file>

<file path=xl/worksheets/_rels/sheet28.xml.rels><?xml version="1.0" encoding="UTF-8"?>
<Relationships xmlns="http://schemas.openxmlformats.org/package/2006/relationships"><Relationship Id="rId1" Type="http://schemas.openxmlformats.org/officeDocument/2006/relationships/comments" Target="../comments28.xml"/><Relationship Id="rId2" Type="http://schemas.openxmlformats.org/officeDocument/2006/relationships/vmlDrawing" Target="../drawings/vmlDrawing27.vml"/>
</Relationships>
</file>

<file path=xl/worksheets/_rels/sheet29.xml.rels><?xml version="1.0" encoding="UTF-8"?>
<Relationships xmlns="http://schemas.openxmlformats.org/package/2006/relationships"><Relationship Id="rId1" Type="http://schemas.openxmlformats.org/officeDocument/2006/relationships/comments" Target="../comments29.xml"/><Relationship Id="rId2" Type="http://schemas.openxmlformats.org/officeDocument/2006/relationships/vmlDrawing" Target="../drawings/vmlDrawing28.vml"/>
</Relationships>
</file>

<file path=xl/worksheets/_rels/sheet30.xml.rels><?xml version="1.0" encoding="UTF-8"?>
<Relationships xmlns="http://schemas.openxmlformats.org/package/2006/relationships"><Relationship Id="rId1" Type="http://schemas.openxmlformats.org/officeDocument/2006/relationships/comments" Target="../comments30.xml"/><Relationship Id="rId2" Type="http://schemas.openxmlformats.org/officeDocument/2006/relationships/vmlDrawing" Target="../drawings/vmlDrawing29.vml"/>
</Relationships>
</file>

<file path=xl/worksheets/_rels/sheet31.xml.rels><?xml version="1.0" encoding="UTF-8"?>
<Relationships xmlns="http://schemas.openxmlformats.org/package/2006/relationships"><Relationship Id="rId1" Type="http://schemas.openxmlformats.org/officeDocument/2006/relationships/hyperlink" Target="https://pensionsauthority.ie/scheme-members-and-prsa-contributors/understanding-pensions/your_right_to_information/statement_of_reasonable_projection/" TargetMode="External"/><Relationship Id="rId2" Type="http://schemas.openxmlformats.org/officeDocument/2006/relationships/hyperlink" Target="https://pensionsauthority.ie/news_press/news_archive/updated-pension-benefit-statement-projection-assumptions/" TargetMode="External"/><Relationship Id="rId3" Type="http://schemas.openxmlformats.org/officeDocument/2006/relationships/hyperlink" Target="https://www.centralbank.ie/code" TargetMode="External"/><Relationship Id="rId4" Type="http://schemas.openxmlformats.org/officeDocument/2006/relationships/hyperlink" Target="https://www.revenue.ie/en/corporate/press-office/press-releases/2019/pr-200619-employees-new-facility-view-current-pay-and-tax-details-through-revenue-myaccount.aspx" TargetMode="External"/><Relationship Id="rId5" Type="http://schemas.openxmlformats.org/officeDocument/2006/relationships/hyperlink" Target="https://www.gov.ie/en/publication/0fbf7-request-a-contribution-statement"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H12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22"/>
    <col collapsed="false" customWidth="true" hidden="false" outlineLevel="0" max="3" min="3" style="0" width="40"/>
    <col collapsed="false" customWidth="true" hidden="false" outlineLevel="0" max="4" min="4" style="0" width="70"/>
    <col collapsed="false" customWidth="true" hidden="false" outlineLevel="0" max="5" min="5" style="0" width="30"/>
  </cols>
  <sheetData>
    <row r="1" customFormat="false" ht="22.05" hidden="false" customHeight="false" outlineLevel="0" collapsed="false">
      <c r="B1" s="1" t="s">
        <v>0</v>
      </c>
    </row>
    <row r="2" customFormat="false" ht="15" hidden="false" customHeight="false" outlineLevel="0" collapsed="false">
      <c r="B2" s="2" t="s">
        <v>1</v>
      </c>
    </row>
    <row r="4" customFormat="false" ht="15" hidden="false" customHeight="false" outlineLevel="0" collapsed="false">
      <c r="B4" s="3" t="s">
        <v>2</v>
      </c>
    </row>
    <row r="5" customFormat="false" ht="15" hidden="false" customHeight="false" outlineLevel="0" collapsed="false">
      <c r="B5" s="4" t="s">
        <v>3</v>
      </c>
      <c r="C5" s="4"/>
      <c r="D5" s="4"/>
      <c r="E5" s="4"/>
    </row>
    <row r="6" customFormat="false" ht="15" hidden="false" customHeight="false" outlineLevel="0" collapsed="false">
      <c r="B6" s="4" t="s">
        <v>4</v>
      </c>
      <c r="C6" s="4"/>
      <c r="D6" s="4"/>
      <c r="E6" s="4"/>
    </row>
    <row r="7" customFormat="false" ht="15" hidden="false" customHeight="false" outlineLevel="0" collapsed="false">
      <c r="B7" s="4" t="s">
        <v>5</v>
      </c>
      <c r="C7" s="4"/>
      <c r="D7" s="4"/>
      <c r="E7" s="4"/>
    </row>
    <row r="8" customFormat="false" ht="15" hidden="false" customHeight="false" outlineLevel="0" collapsed="false">
      <c r="B8" s="4" t="s">
        <v>6</v>
      </c>
      <c r="C8" s="4"/>
      <c r="D8" s="4"/>
      <c r="E8" s="4"/>
    </row>
    <row r="9" customFormat="false" ht="15" hidden="false" customHeight="false" outlineLevel="0" collapsed="false">
      <c r="B9" s="4" t="s">
        <v>7</v>
      </c>
      <c r="C9" s="4"/>
      <c r="D9" s="4"/>
      <c r="E9" s="4"/>
    </row>
    <row r="10" customFormat="false" ht="15" hidden="false" customHeight="false" outlineLevel="0" collapsed="false">
      <c r="B10" s="4" t="s">
        <v>8</v>
      </c>
      <c r="C10" s="4"/>
      <c r="D10" s="4"/>
      <c r="E10" s="4"/>
    </row>
    <row r="11" customFormat="false" ht="15" hidden="false" customHeight="false" outlineLevel="0" collapsed="false">
      <c r="B11" s="4" t="s">
        <v>9</v>
      </c>
      <c r="C11" s="4"/>
      <c r="D11" s="4"/>
      <c r="E11" s="4"/>
    </row>
    <row r="12" customFormat="false" ht="15" hidden="false" customHeight="false" outlineLevel="0" collapsed="false">
      <c r="B12" s="4" t="s">
        <v>10</v>
      </c>
      <c r="C12" s="4"/>
      <c r="D12" s="4"/>
      <c r="E12" s="4"/>
    </row>
    <row r="14" customFormat="false" ht="15" hidden="false" customHeight="false" outlineLevel="0" collapsed="false">
      <c r="B14" s="3" t="s">
        <v>11</v>
      </c>
    </row>
    <row r="15" customFormat="false" ht="15" hidden="false" customHeight="false" outlineLevel="0" collapsed="false">
      <c r="B15" s="4" t="s">
        <v>12</v>
      </c>
      <c r="C15" s="4"/>
      <c r="D15" s="4"/>
      <c r="E15" s="4"/>
    </row>
    <row r="16" customFormat="false" ht="15" hidden="false" customHeight="false" outlineLevel="0" collapsed="false">
      <c r="B16" s="4" t="s">
        <v>13</v>
      </c>
      <c r="C16" s="4"/>
      <c r="D16" s="4"/>
      <c r="E16" s="4"/>
    </row>
    <row r="17" customFormat="false" ht="15" hidden="false" customHeight="false" outlineLevel="0" collapsed="false">
      <c r="B17" s="4" t="s">
        <v>14</v>
      </c>
      <c r="C17" s="4"/>
      <c r="D17" s="4"/>
      <c r="E17" s="4"/>
    </row>
    <row r="18" customFormat="false" ht="15" hidden="false" customHeight="false" outlineLevel="0" collapsed="false">
      <c r="B18" s="4" t="s">
        <v>15</v>
      </c>
      <c r="C18" s="4"/>
      <c r="D18" s="4"/>
      <c r="E18" s="4"/>
    </row>
    <row r="19" customFormat="false" ht="15" hidden="false" customHeight="false" outlineLevel="0" collapsed="false">
      <c r="B19" s="4" t="s">
        <v>16</v>
      </c>
      <c r="C19" s="4"/>
      <c r="D19" s="4"/>
      <c r="E19" s="4"/>
    </row>
    <row r="20" customFormat="false" ht="15" hidden="false" customHeight="false" outlineLevel="0" collapsed="false">
      <c r="B20" s="4" t="s">
        <v>17</v>
      </c>
      <c r="C20" s="4"/>
      <c r="D20" s="4"/>
      <c r="E20" s="4"/>
    </row>
    <row r="22" customFormat="false" ht="15" hidden="false" customHeight="false" outlineLevel="0" collapsed="false">
      <c r="B22" s="3" t="s">
        <v>18</v>
      </c>
    </row>
    <row r="23" customFormat="false" ht="15" hidden="false" customHeight="false" outlineLevel="0" collapsed="false">
      <c r="B23" s="4" t="s">
        <v>19</v>
      </c>
      <c r="C23" s="4"/>
      <c r="D23" s="4"/>
      <c r="E23" s="4"/>
    </row>
    <row r="25" customFormat="false" ht="15" hidden="false" customHeight="false" outlineLevel="0" collapsed="false">
      <c r="B25" s="3" t="s">
        <v>20</v>
      </c>
    </row>
    <row r="26" customFormat="false" ht="15" hidden="false" customHeight="false" outlineLevel="0" collapsed="false">
      <c r="B26" s="4" t="s">
        <v>21</v>
      </c>
      <c r="C26" s="4"/>
      <c r="D26" s="4"/>
      <c r="E26" s="4"/>
    </row>
    <row r="28" customFormat="false" ht="15" hidden="false" customHeight="false" outlineLevel="0" collapsed="false">
      <c r="B28" s="3" t="s">
        <v>22</v>
      </c>
    </row>
    <row r="29" customFormat="false" ht="15" hidden="false" customHeight="false" outlineLevel="0" collapsed="false">
      <c r="B29" s="5" t="s">
        <v>23</v>
      </c>
      <c r="C29" s="5" t="s">
        <v>24</v>
      </c>
      <c r="D29" s="5" t="s">
        <v>25</v>
      </c>
      <c r="E29" s="5" t="s">
        <v>26</v>
      </c>
    </row>
    <row r="30" customFormat="false" ht="15" hidden="false" customHeight="false" outlineLevel="0" collapsed="false">
      <c r="B30" s="6" t="s">
        <v>27</v>
      </c>
      <c r="C30" s="7" t="str">
        <f aca="false">HYPERLINK("#'C01 Borrowing'!A1","How much could I borrow?")</f>
        <v>How much could I borrow?</v>
      </c>
      <c r="D30" s="8" t="s">
        <v>28</v>
      </c>
      <c r="E30" s="8" t="s">
        <v>29</v>
      </c>
    </row>
    <row r="31" customFormat="false" ht="15" hidden="false" customHeight="false" outlineLevel="0" collapsed="false">
      <c r="B31" s="6" t="s">
        <v>30</v>
      </c>
      <c r="C31" s="7" t="str">
        <f aca="false">HYPERLINK("#'C02 Mortgage repayment'!A1","Monthly mortgage repayment")</f>
        <v>Monthly mortgage repayment</v>
      </c>
      <c r="D31" s="8" t="s">
        <v>31</v>
      </c>
      <c r="E31" s="8" t="s">
        <v>29</v>
      </c>
    </row>
    <row r="32" customFormat="false" ht="15" hidden="false" customHeight="false" outlineLevel="0" collapsed="false">
      <c r="B32" s="6" t="s">
        <v>32</v>
      </c>
      <c r="C32" s="7" t="str">
        <f aca="false">HYPERLINK("#'C03 Deposit'!A1","Deposit calculator")</f>
        <v>Deposit calculator</v>
      </c>
      <c r="D32" s="8" t="s">
        <v>33</v>
      </c>
      <c r="E32" s="8" t="s">
        <v>29</v>
      </c>
    </row>
    <row r="33" customFormat="false" ht="15" hidden="false" customHeight="false" outlineLevel="0" collapsed="false">
      <c r="B33" s="6" t="s">
        <v>34</v>
      </c>
      <c r="C33" s="7" t="str">
        <f aca="false">HYPERLINK("#'C04 Mortgage overpayment'!A1","Mortgage overpayment")</f>
        <v>Mortgage overpayment</v>
      </c>
      <c r="D33" s="8" t="s">
        <v>35</v>
      </c>
      <c r="E33" s="8" t="s">
        <v>29</v>
      </c>
    </row>
    <row r="34" customFormat="false" ht="15" hidden="false" customHeight="false" outlineLevel="0" collapsed="false">
      <c r="B34" s="6" t="s">
        <v>36</v>
      </c>
      <c r="C34" s="7" t="str">
        <f aca="false">HYPERLINK("#'C05 Interest rate impact'!A1","Interest-rate impact")</f>
        <v>Interest-rate impact</v>
      </c>
      <c r="D34" s="8" t="s">
        <v>37</v>
      </c>
      <c r="E34" s="8" t="s">
        <v>29</v>
      </c>
    </row>
    <row r="35" customFormat="false" ht="15" hidden="false" customHeight="false" outlineLevel="0" collapsed="false">
      <c r="B35" s="6" t="s">
        <v>38</v>
      </c>
      <c r="C35" s="7" t="str">
        <f aca="false">HYPERLINK("#'C06 Term comparison'!A1","Mortgage term comparison")</f>
        <v>Mortgage term comparison</v>
      </c>
      <c r="D35" s="8" t="s">
        <v>39</v>
      </c>
      <c r="E35" s="8" t="s">
        <v>29</v>
      </c>
    </row>
    <row r="36" customFormat="false" ht="15" hidden="false" customHeight="false" outlineLevel="0" collapsed="false">
      <c r="B36" s="6" t="s">
        <v>40</v>
      </c>
      <c r="C36" s="7" t="str">
        <f aca="false">HYPERLINK("#'C07 Rent vs buy'!A1","Rent vs buy")</f>
        <v>Rent vs buy</v>
      </c>
      <c r="D36" s="8" t="s">
        <v>41</v>
      </c>
      <c r="E36" s="8" t="s">
        <v>29</v>
      </c>
    </row>
    <row r="37" customFormat="false" ht="15" hidden="false" customHeight="false" outlineLevel="0" collapsed="false">
      <c r="B37" s="6" t="s">
        <v>42</v>
      </c>
      <c r="C37" s="7" t="str">
        <f aca="false">HYPERLINK("#'C08 Goal planner'!A1","Goal planner")</f>
        <v>Goal planner</v>
      </c>
      <c r="D37" s="8" t="s">
        <v>43</v>
      </c>
      <c r="E37" s="8" t="s">
        <v>44</v>
      </c>
    </row>
    <row r="38" customFormat="false" ht="15" hidden="false" customHeight="false" outlineLevel="0" collapsed="false">
      <c r="B38" s="6" t="s">
        <v>45</v>
      </c>
      <c r="C38" s="7" t="str">
        <f aca="false">HYPERLINK("#'C09 Compound growth'!A1","Compound growth")</f>
        <v>Compound growth</v>
      </c>
      <c r="D38" s="8" t="s">
        <v>46</v>
      </c>
      <c r="E38" s="8" t="s">
        <v>44</v>
      </c>
    </row>
    <row r="39" customFormat="false" ht="15" hidden="false" customHeight="false" outlineLevel="0" collapsed="false">
      <c r="B39" s="6" t="s">
        <v>47</v>
      </c>
      <c r="C39" s="7" t="str">
        <f aca="false">HYPERLINK("#'C10 Lump sum growth'!A1","Lump-sum growth")</f>
        <v>Lump-sum growth</v>
      </c>
      <c r="D39" s="8" t="s">
        <v>48</v>
      </c>
      <c r="E39" s="8" t="s">
        <v>49</v>
      </c>
    </row>
    <row r="40" customFormat="false" ht="15" hidden="false" customHeight="false" outlineLevel="0" collapsed="false">
      <c r="B40" s="6" t="s">
        <v>50</v>
      </c>
      <c r="C40" s="7" t="str">
        <f aca="false">HYPERLINK("#'C11 Emergency fund'!A1","Emergency fund")</f>
        <v>Emergency fund</v>
      </c>
      <c r="D40" s="8" t="s">
        <v>51</v>
      </c>
      <c r="E40" s="8" t="s">
        <v>44</v>
      </c>
    </row>
    <row r="41" customFormat="false" ht="15" hidden="false" customHeight="false" outlineLevel="0" collapsed="false">
      <c r="B41" s="6" t="s">
        <v>52</v>
      </c>
      <c r="C41" s="7" t="str">
        <f aca="false">HYPERLINK("#'C12 Retirement projection'!A1","Retirement projection")</f>
        <v>Retirement projection</v>
      </c>
      <c r="D41" s="8" t="s">
        <v>53</v>
      </c>
      <c r="E41" s="8" t="s">
        <v>54</v>
      </c>
    </row>
    <row r="42" customFormat="false" ht="15" hidden="false" customHeight="false" outlineLevel="0" collapsed="false">
      <c r="B42" s="6" t="s">
        <v>55</v>
      </c>
      <c r="C42" s="7" t="str">
        <f aca="false">HYPERLINK("#'C13 Contribution impact'!A1","Contribution impact")</f>
        <v>Contribution impact</v>
      </c>
      <c r="D42" s="8" t="s">
        <v>56</v>
      </c>
      <c r="E42" s="8" t="s">
        <v>54</v>
      </c>
    </row>
    <row r="43" customFormat="false" ht="15" hidden="false" customHeight="false" outlineLevel="0" collapsed="false">
      <c r="B43" s="6" t="s">
        <v>57</v>
      </c>
      <c r="C43" s="7" t="str">
        <f aca="false">HYPERLINK("#'C14 AVC impact'!A1","AVC impact")</f>
        <v>AVC impact</v>
      </c>
      <c r="D43" s="8" t="s">
        <v>58</v>
      </c>
      <c r="E43" s="8" t="s">
        <v>54</v>
      </c>
    </row>
    <row r="44" customFormat="false" ht="15" hidden="false" customHeight="false" outlineLevel="0" collapsed="false">
      <c r="B44" s="6" t="s">
        <v>59</v>
      </c>
      <c r="C44" s="7" t="str">
        <f aca="false">HYPERLINK("#'C15 Will my money last'!A1","Will my money last?")</f>
        <v>Will my money last?</v>
      </c>
      <c r="D44" s="8" t="s">
        <v>60</v>
      </c>
      <c r="E44" s="8" t="s">
        <v>54</v>
      </c>
    </row>
    <row r="45" customFormat="false" ht="15" hidden="false" customHeight="false" outlineLevel="0" collapsed="false">
      <c r="B45" s="6" t="s">
        <v>61</v>
      </c>
      <c r="C45" s="7" t="str">
        <f aca="false">HYPERLINK("#'C16 Drawdown scenarios'!A1","Retirement drawdown scenarios")</f>
        <v>Retirement drawdown scenarios</v>
      </c>
      <c r="D45" s="8" t="s">
        <v>62</v>
      </c>
      <c r="E45" s="8" t="s">
        <v>54</v>
      </c>
    </row>
    <row r="46" customFormat="false" ht="15" hidden="false" customHeight="false" outlineLevel="0" collapsed="false">
      <c r="B46" s="6" t="s">
        <v>63</v>
      </c>
      <c r="C46" s="7" t="str">
        <f aca="false">HYPERLINK("#'C17 Inflation adjusted return'!A1","Inflation-adjusted return")</f>
        <v>Inflation-adjusted return</v>
      </c>
      <c r="D46" s="8" t="s">
        <v>64</v>
      </c>
      <c r="E46" s="8" t="s">
        <v>49</v>
      </c>
    </row>
    <row r="47" customFormat="false" ht="15" hidden="false" customHeight="false" outlineLevel="0" collapsed="false">
      <c r="B47" s="6" t="s">
        <v>65</v>
      </c>
      <c r="C47" s="7" t="str">
        <f aca="false">HYPERLINK("#'C18 Regular investing'!A1","Regular investing")</f>
        <v>Regular investing</v>
      </c>
      <c r="D47" s="8" t="s">
        <v>66</v>
      </c>
      <c r="E47" s="8" t="s">
        <v>49</v>
      </c>
    </row>
    <row r="48" customFormat="false" ht="15" hidden="false" customHeight="false" outlineLevel="0" collapsed="false">
      <c r="B48" s="6" t="s">
        <v>67</v>
      </c>
      <c r="C48" s="7" t="str">
        <f aca="false">HYPERLINK("#'C19 Fees impact'!A1","Fees impact")</f>
        <v>Fees impact</v>
      </c>
      <c r="D48" s="8" t="s">
        <v>68</v>
      </c>
      <c r="E48" s="8" t="s">
        <v>49</v>
      </c>
    </row>
    <row r="49" customFormat="false" ht="15" hidden="false" customHeight="false" outlineLevel="0" collapsed="false">
      <c r="B49" s="6" t="s">
        <v>69</v>
      </c>
      <c r="C49" s="7" t="str">
        <f aca="false">HYPERLINK("#'C20 Risk and return'!A1","Risk &amp; return simulator")</f>
        <v>Risk &amp; return simulator</v>
      </c>
      <c r="D49" s="8" t="s">
        <v>70</v>
      </c>
      <c r="E49" s="8" t="s">
        <v>49</v>
      </c>
    </row>
    <row r="50" customFormat="false" ht="15" hidden="false" customHeight="false" outlineLevel="0" collapsed="false">
      <c r="B50" s="6" t="s">
        <v>71</v>
      </c>
      <c r="C50" s="7" t="str">
        <f aca="false">HYPERLINK("#'C21 Life cover'!A1","Life cover estimator")</f>
        <v>Life cover estimator</v>
      </c>
      <c r="D50" s="8" t="s">
        <v>72</v>
      </c>
      <c r="E50" s="8" t="s">
        <v>73</v>
      </c>
    </row>
    <row r="51" customFormat="false" ht="15" hidden="false" customHeight="false" outlineLevel="0" collapsed="false">
      <c r="B51" s="6" t="s">
        <v>74</v>
      </c>
      <c r="C51" s="7" t="str">
        <f aca="false">HYPERLINK("#'C22 Income protection gap'!A1","Income protection gap")</f>
        <v>Income protection gap</v>
      </c>
      <c r="D51" s="8" t="s">
        <v>75</v>
      </c>
      <c r="E51" s="8" t="s">
        <v>73</v>
      </c>
    </row>
    <row r="52" customFormat="false" ht="15" hidden="false" customHeight="false" outlineLevel="0" collapsed="false">
      <c r="B52" s="6" t="s">
        <v>76</v>
      </c>
      <c r="C52" s="7" t="str">
        <f aca="false">HYPERLINK("#'C23 Mortgage protection'!A1","Mortgage protection")</f>
        <v>Mortgage protection</v>
      </c>
      <c r="D52" s="8" t="s">
        <v>77</v>
      </c>
      <c r="E52" s="8" t="s">
        <v>73</v>
      </c>
    </row>
    <row r="53" customFormat="false" ht="15" hidden="false" customHeight="false" outlineLevel="0" collapsed="false">
      <c r="B53" s="6" t="s">
        <v>78</v>
      </c>
      <c r="C53" s="7" t="str">
        <f aca="false">HYPERLINK("#'C24 Net worth'!A1","Net worth")</f>
        <v>Net worth</v>
      </c>
      <c r="D53" s="8" t="s">
        <v>79</v>
      </c>
      <c r="E53" s="8" t="s">
        <v>80</v>
      </c>
    </row>
    <row r="54" customFormat="false" ht="15" hidden="false" customHeight="false" outlineLevel="0" collapsed="false">
      <c r="B54" s="6" t="s">
        <v>81</v>
      </c>
      <c r="C54" s="7" t="str">
        <f aca="false">HYPERLINK("#'C25 Monthly surplus'!A1","Monthly surplus")</f>
        <v>Monthly surplus</v>
      </c>
      <c r="D54" s="8" t="s">
        <v>82</v>
      </c>
      <c r="E54" s="8" t="s">
        <v>80</v>
      </c>
    </row>
    <row r="55" customFormat="false" ht="15" hidden="false" customHeight="false" outlineLevel="0" collapsed="false">
      <c r="B55" s="6" t="s">
        <v>83</v>
      </c>
      <c r="C55" s="7" t="str">
        <f aca="false">HYPERLINK("#'C26 Budget 50 30 20'!A1","Budget (50/30/20)")</f>
        <v>Budget (50/30/20)</v>
      </c>
      <c r="D55" s="8" t="s">
        <v>84</v>
      </c>
      <c r="E55" s="8" t="s">
        <v>80</v>
      </c>
    </row>
    <row r="56" customFormat="false" ht="15" hidden="false" customHeight="false" outlineLevel="0" collapsed="false">
      <c r="B56" s="6" t="s">
        <v>85</v>
      </c>
      <c r="C56" s="7" t="str">
        <f aca="false">HYPERLINK("#'C27 Debt repayment'!A1","Debt repayment")</f>
        <v>Debt repayment</v>
      </c>
      <c r="D56" s="8" t="s">
        <v>86</v>
      </c>
      <c r="E56" s="8" t="s">
        <v>80</v>
      </c>
    </row>
    <row r="57" customFormat="false" ht="15" hidden="false" customHeight="false" outlineLevel="0" collapsed="false">
      <c r="B57" s="6" t="s">
        <v>87</v>
      </c>
      <c r="C57" s="7" t="str">
        <f aca="false">HYPERLINK("#'C28 Loan repayment'!A1","Loan repayment")</f>
        <v>Loan repayment</v>
      </c>
      <c r="D57" s="8" t="s">
        <v>88</v>
      </c>
      <c r="E57" s="8" t="s">
        <v>80</v>
      </c>
    </row>
    <row r="58" customFormat="false" ht="15" hidden="false" customHeight="false" outlineLevel="0" collapsed="false">
      <c r="C58" s="7" t="str">
        <f aca="false">HYPERLINK("#'Assumptions'!A1","Assumptions")</f>
        <v>Assumptions</v>
      </c>
    </row>
    <row r="59" customFormat="false" ht="15" hidden="false" customHeight="false" outlineLevel="0" collapsed="false">
      <c r="C59" s="7" t="str">
        <f aca="false">HYPERLINK("#'Tax engine'!A1","Tax engine")</f>
        <v>Tax engine</v>
      </c>
    </row>
    <row r="60" customFormat="false" ht="15" hidden="false" customHeight="false" outlineLevel="0" collapsed="false">
      <c r="C60" s="7" t="str">
        <f aca="false">HYPERLINK("#'Document reader spec'!A1","Document reader spec")</f>
        <v>Document reader spec</v>
      </c>
    </row>
    <row r="62" customFormat="false" ht="15" hidden="false" customHeight="false" outlineLevel="0" collapsed="false">
      <c r="B62" s="9" t="s">
        <v>89</v>
      </c>
      <c r="C62" s="10"/>
      <c r="D62" s="10"/>
      <c r="E62" s="10"/>
      <c r="F62" s="10"/>
      <c r="G62" s="10"/>
      <c r="H62" s="10"/>
    </row>
    <row r="63" customFormat="false" ht="42" hidden="false" customHeight="true" outlineLevel="0" collapsed="false">
      <c r="B63" s="11" t="s">
        <v>90</v>
      </c>
      <c r="C63" s="11"/>
      <c r="D63" s="11"/>
      <c r="E63" s="11"/>
      <c r="F63" s="11"/>
      <c r="G63" s="11"/>
    </row>
    <row r="64" customFormat="false" ht="15" hidden="false" customHeight="false" outlineLevel="0" collapsed="false">
      <c r="B64" s="12" t="s">
        <v>91</v>
      </c>
      <c r="C64" s="12" t="s">
        <v>92</v>
      </c>
      <c r="D64" s="12" t="s">
        <v>93</v>
      </c>
    </row>
    <row r="65" customFormat="false" ht="25.5" hidden="false" customHeight="true" outlineLevel="0" collapsed="false">
      <c r="B65" s="13" t="s">
        <v>94</v>
      </c>
      <c r="C65" s="13" t="s">
        <v>95</v>
      </c>
      <c r="D65" s="13" t="s">
        <v>96</v>
      </c>
    </row>
    <row r="66" customFormat="false" ht="25.5" hidden="false" customHeight="true" outlineLevel="0" collapsed="false">
      <c r="B66" s="13" t="s">
        <v>97</v>
      </c>
      <c r="C66" s="13" t="s">
        <v>98</v>
      </c>
      <c r="D66" s="13" t="s">
        <v>99</v>
      </c>
    </row>
    <row r="67" customFormat="false" ht="25.5" hidden="false" customHeight="true" outlineLevel="0" collapsed="false">
      <c r="B67" s="13" t="s">
        <v>100</v>
      </c>
      <c r="C67" s="13" t="s">
        <v>101</v>
      </c>
      <c r="D67" s="13" t="s">
        <v>99</v>
      </c>
    </row>
    <row r="68" customFormat="false" ht="25.5" hidden="false" customHeight="true" outlineLevel="0" collapsed="false">
      <c r="B68" s="13" t="s">
        <v>102</v>
      </c>
      <c r="C68" s="13" t="s">
        <v>103</v>
      </c>
      <c r="D68" s="13" t="s">
        <v>104</v>
      </c>
    </row>
    <row r="69" customFormat="false" ht="25.5" hidden="false" customHeight="true" outlineLevel="0" collapsed="false">
      <c r="B69" s="13" t="s">
        <v>105</v>
      </c>
      <c r="C69" s="13" t="s">
        <v>106</v>
      </c>
      <c r="D69" s="13" t="s">
        <v>107</v>
      </c>
    </row>
    <row r="70" customFormat="false" ht="25.5" hidden="false" customHeight="true" outlineLevel="0" collapsed="false">
      <c r="B70" s="13" t="s">
        <v>108</v>
      </c>
      <c r="C70" s="13" t="s">
        <v>109</v>
      </c>
      <c r="D70" s="13" t="s">
        <v>110</v>
      </c>
    </row>
    <row r="71" customFormat="false" ht="25.5" hidden="false" customHeight="true" outlineLevel="0" collapsed="false">
      <c r="B71" s="13" t="s">
        <v>111</v>
      </c>
      <c r="C71" s="13" t="s">
        <v>112</v>
      </c>
      <c r="D71" s="13" t="s">
        <v>113</v>
      </c>
    </row>
    <row r="72" customFormat="false" ht="25.5" hidden="false" customHeight="true" outlineLevel="0" collapsed="false">
      <c r="B72" s="13" t="s">
        <v>114</v>
      </c>
      <c r="C72" s="13" t="s">
        <v>115</v>
      </c>
      <c r="D72" s="13" t="s">
        <v>116</v>
      </c>
    </row>
    <row r="73" customFormat="false" ht="25.5" hidden="false" customHeight="true" outlineLevel="0" collapsed="false">
      <c r="B73" s="13" t="s">
        <v>117</v>
      </c>
      <c r="C73" s="13" t="s">
        <v>118</v>
      </c>
      <c r="D73" s="13" t="s">
        <v>99</v>
      </c>
    </row>
    <row r="74" customFormat="false" ht="25.5" hidden="false" customHeight="true" outlineLevel="0" collapsed="false">
      <c r="B74" s="13" t="s">
        <v>119</v>
      </c>
      <c r="C74" s="13" t="s">
        <v>120</v>
      </c>
      <c r="D74" s="13" t="s">
        <v>99</v>
      </c>
    </row>
    <row r="75" customFormat="false" ht="25.5" hidden="false" customHeight="true" outlineLevel="0" collapsed="false">
      <c r="B75" s="13" t="s">
        <v>121</v>
      </c>
      <c r="C75" s="13" t="s">
        <v>122</v>
      </c>
      <c r="D75" s="13" t="s">
        <v>123</v>
      </c>
    </row>
    <row r="77" customFormat="false" ht="15" hidden="false" customHeight="false" outlineLevel="0" collapsed="false">
      <c r="B77" s="3" t="s">
        <v>124</v>
      </c>
    </row>
    <row r="78" customFormat="false" ht="15" hidden="false" customHeight="false" outlineLevel="0" collapsed="false">
      <c r="B78" s="5" t="s">
        <v>125</v>
      </c>
      <c r="C78" s="5" t="s">
        <v>126</v>
      </c>
      <c r="D78" s="5" t="s">
        <v>127</v>
      </c>
    </row>
    <row r="79" customFormat="false" ht="12.75" hidden="false" customHeight="true" outlineLevel="0" collapsed="false">
      <c r="B79" s="8" t="s">
        <v>52</v>
      </c>
      <c r="C79" s="14" t="s">
        <v>128</v>
      </c>
      <c r="D79" s="15" t="s">
        <v>129</v>
      </c>
      <c r="E79" s="15"/>
    </row>
    <row r="80" customFormat="false" ht="12.75" hidden="false" customHeight="true" outlineLevel="0" collapsed="false">
      <c r="B80" s="8" t="s">
        <v>52</v>
      </c>
      <c r="C80" s="14" t="s">
        <v>128</v>
      </c>
      <c r="D80" s="15" t="s">
        <v>130</v>
      </c>
      <c r="E80" s="15"/>
    </row>
    <row r="81" customFormat="false" ht="12.75" hidden="false" customHeight="true" outlineLevel="0" collapsed="false">
      <c r="B81" s="8" t="s">
        <v>30</v>
      </c>
      <c r="C81" s="14" t="s">
        <v>128</v>
      </c>
      <c r="D81" s="15" t="s">
        <v>131</v>
      </c>
      <c r="E81" s="15"/>
    </row>
    <row r="82" customFormat="false" ht="25.5" hidden="false" customHeight="true" outlineLevel="0" collapsed="false">
      <c r="B82" s="8" t="s">
        <v>34</v>
      </c>
      <c r="C82" s="14" t="s">
        <v>128</v>
      </c>
      <c r="D82" s="15" t="s">
        <v>132</v>
      </c>
      <c r="E82" s="15"/>
    </row>
    <row r="83" customFormat="false" ht="12.75" hidden="false" customHeight="true" outlineLevel="0" collapsed="false">
      <c r="B83" s="8" t="s">
        <v>34</v>
      </c>
      <c r="C83" s="14" t="s">
        <v>128</v>
      </c>
      <c r="D83" s="15" t="s">
        <v>133</v>
      </c>
      <c r="E83" s="15"/>
    </row>
    <row r="84" customFormat="false" ht="25.5" hidden="false" customHeight="true" outlineLevel="0" collapsed="false">
      <c r="B84" s="8" t="s">
        <v>134</v>
      </c>
      <c r="C84" s="14" t="s">
        <v>128</v>
      </c>
      <c r="D84" s="15" t="s">
        <v>135</v>
      </c>
      <c r="E84" s="15"/>
    </row>
    <row r="85" customFormat="false" ht="12.75" hidden="false" customHeight="true" outlineLevel="0" collapsed="false">
      <c r="B85" s="8" t="s">
        <v>136</v>
      </c>
      <c r="C85" s="14" t="s">
        <v>128</v>
      </c>
      <c r="D85" s="15" t="s">
        <v>137</v>
      </c>
      <c r="E85" s="15"/>
    </row>
    <row r="86" customFormat="false" ht="12.75" hidden="false" customHeight="true" outlineLevel="0" collapsed="false">
      <c r="B86" s="8" t="s">
        <v>138</v>
      </c>
      <c r="C86" s="14" t="s">
        <v>128</v>
      </c>
      <c r="D86" s="15" t="s">
        <v>139</v>
      </c>
      <c r="E86" s="15"/>
    </row>
    <row r="87" customFormat="false" ht="12.75" hidden="false" customHeight="true" outlineLevel="0" collapsed="false">
      <c r="B87" s="8" t="s">
        <v>65</v>
      </c>
      <c r="C87" s="14" t="s">
        <v>128</v>
      </c>
      <c r="D87" s="15" t="s">
        <v>140</v>
      </c>
      <c r="E87" s="15"/>
    </row>
    <row r="88" customFormat="false" ht="12.75" hidden="false" customHeight="true" outlineLevel="0" collapsed="false">
      <c r="B88" s="8" t="s">
        <v>69</v>
      </c>
      <c r="C88" s="14" t="s">
        <v>128</v>
      </c>
      <c r="D88" s="15" t="s">
        <v>141</v>
      </c>
      <c r="E88" s="15"/>
    </row>
    <row r="89" customFormat="false" ht="12.75" hidden="false" customHeight="true" outlineLevel="0" collapsed="false">
      <c r="B89" s="8" t="s">
        <v>71</v>
      </c>
      <c r="C89" s="14" t="s">
        <v>128</v>
      </c>
      <c r="D89" s="15" t="s">
        <v>142</v>
      </c>
      <c r="E89" s="15"/>
    </row>
    <row r="90" customFormat="false" ht="12.75" hidden="false" customHeight="true" outlineLevel="0" collapsed="false">
      <c r="B90" s="8" t="s">
        <v>85</v>
      </c>
      <c r="C90" s="14" t="s">
        <v>128</v>
      </c>
      <c r="D90" s="15" t="s">
        <v>143</v>
      </c>
      <c r="E90" s="15"/>
    </row>
    <row r="91" customFormat="false" ht="12.75" hidden="false" customHeight="true" outlineLevel="0" collapsed="false">
      <c r="B91" s="8" t="s">
        <v>144</v>
      </c>
      <c r="C91" s="8" t="s">
        <v>145</v>
      </c>
      <c r="D91" s="15" t="s">
        <v>146</v>
      </c>
      <c r="E91" s="15"/>
    </row>
    <row r="92" customFormat="false" ht="12.75" hidden="false" customHeight="true" outlineLevel="0" collapsed="false">
      <c r="B92" s="8" t="s">
        <v>40</v>
      </c>
      <c r="C92" s="8" t="s">
        <v>145</v>
      </c>
      <c r="D92" s="15" t="s">
        <v>147</v>
      </c>
      <c r="E92" s="15"/>
    </row>
    <row r="93" customFormat="false" ht="12.75" hidden="false" customHeight="true" outlineLevel="0" collapsed="false">
      <c r="B93" s="8" t="s">
        <v>148</v>
      </c>
      <c r="C93" s="8" t="s">
        <v>145</v>
      </c>
      <c r="D93" s="15" t="s">
        <v>149</v>
      </c>
      <c r="E93" s="15"/>
    </row>
    <row r="94" customFormat="false" ht="12.75" hidden="false" customHeight="true" outlineLevel="0" collapsed="false">
      <c r="B94" s="8" t="s">
        <v>150</v>
      </c>
      <c r="C94" s="8" t="s">
        <v>145</v>
      </c>
      <c r="D94" s="15" t="s">
        <v>151</v>
      </c>
      <c r="E94" s="15"/>
    </row>
    <row r="95" customFormat="false" ht="25.5" hidden="false" customHeight="true" outlineLevel="0" collapsed="false">
      <c r="B95" s="8" t="s">
        <v>71</v>
      </c>
      <c r="C95" s="8" t="s">
        <v>145</v>
      </c>
      <c r="D95" s="15" t="s">
        <v>152</v>
      </c>
      <c r="E95" s="15"/>
    </row>
    <row r="96" customFormat="false" ht="25.5" hidden="false" customHeight="true" outlineLevel="0" collapsed="false">
      <c r="B96" s="8" t="s">
        <v>74</v>
      </c>
      <c r="C96" s="8" t="s">
        <v>145</v>
      </c>
      <c r="D96" s="15" t="s">
        <v>153</v>
      </c>
      <c r="E96" s="15"/>
    </row>
    <row r="97" customFormat="false" ht="12.75" hidden="false" customHeight="true" outlineLevel="0" collapsed="false">
      <c r="B97" s="8" t="s">
        <v>76</v>
      </c>
      <c r="C97" s="8" t="s">
        <v>145</v>
      </c>
      <c r="D97" s="15" t="s">
        <v>154</v>
      </c>
      <c r="E97" s="15"/>
    </row>
    <row r="98" customFormat="false" ht="12.75" hidden="false" customHeight="true" outlineLevel="0" collapsed="false">
      <c r="B98" s="8" t="s">
        <v>155</v>
      </c>
      <c r="C98" s="8" t="s">
        <v>145</v>
      </c>
      <c r="D98" s="15" t="s">
        <v>156</v>
      </c>
      <c r="E98" s="15"/>
    </row>
    <row r="99" customFormat="false" ht="12.75" hidden="false" customHeight="true" outlineLevel="0" collapsed="false">
      <c r="B99" s="8" t="s">
        <v>157</v>
      </c>
      <c r="C99" s="8" t="s">
        <v>145</v>
      </c>
      <c r="D99" s="15" t="s">
        <v>158</v>
      </c>
      <c r="E99" s="15"/>
    </row>
    <row r="100" customFormat="false" ht="12.75" hidden="false" customHeight="true" outlineLevel="0" collapsed="false">
      <c r="B100" s="8" t="s">
        <v>27</v>
      </c>
      <c r="C100" s="8" t="s">
        <v>159</v>
      </c>
      <c r="D100" s="15" t="s">
        <v>160</v>
      </c>
      <c r="E100" s="15"/>
    </row>
    <row r="101" customFormat="false" ht="12.75" hidden="false" customHeight="true" outlineLevel="0" collapsed="false">
      <c r="B101" s="8" t="s">
        <v>161</v>
      </c>
      <c r="C101" s="8" t="s">
        <v>159</v>
      </c>
      <c r="D101" s="15" t="s">
        <v>162</v>
      </c>
      <c r="E101" s="15"/>
    </row>
    <row r="102" customFormat="false" ht="12.75" hidden="false" customHeight="true" outlineLevel="0" collapsed="false">
      <c r="B102" s="8" t="s">
        <v>34</v>
      </c>
      <c r="C102" s="8" t="s">
        <v>159</v>
      </c>
      <c r="D102" s="15" t="s">
        <v>163</v>
      </c>
      <c r="E102" s="15"/>
    </row>
    <row r="103" customFormat="false" ht="12.75" hidden="false" customHeight="true" outlineLevel="0" collapsed="false">
      <c r="B103" s="8" t="s">
        <v>38</v>
      </c>
      <c r="C103" s="8" t="s">
        <v>159</v>
      </c>
      <c r="D103" s="15" t="s">
        <v>164</v>
      </c>
      <c r="E103" s="15"/>
    </row>
    <row r="104" customFormat="false" ht="12.75" hidden="false" customHeight="true" outlineLevel="0" collapsed="false">
      <c r="B104" s="8" t="s">
        <v>165</v>
      </c>
      <c r="C104" s="8" t="s">
        <v>159</v>
      </c>
      <c r="D104" s="15" t="s">
        <v>166</v>
      </c>
      <c r="E104" s="15"/>
    </row>
    <row r="105" customFormat="false" ht="12.75" hidden="false" customHeight="true" outlineLevel="0" collapsed="false">
      <c r="B105" s="8" t="s">
        <v>138</v>
      </c>
      <c r="C105" s="8" t="s">
        <v>159</v>
      </c>
      <c r="D105" s="15" t="s">
        <v>167</v>
      </c>
      <c r="E105" s="15"/>
    </row>
    <row r="106" customFormat="false" ht="12.75" hidden="false" customHeight="true" outlineLevel="0" collapsed="false">
      <c r="B106" s="8" t="s">
        <v>61</v>
      </c>
      <c r="C106" s="8" t="s">
        <v>159</v>
      </c>
      <c r="D106" s="15" t="s">
        <v>168</v>
      </c>
      <c r="E106" s="15"/>
    </row>
    <row r="107" customFormat="false" ht="12.75" hidden="false" customHeight="true" outlineLevel="0" collapsed="false">
      <c r="B107" s="8" t="s">
        <v>81</v>
      </c>
      <c r="C107" s="8" t="s">
        <v>159</v>
      </c>
      <c r="D107" s="15" t="s">
        <v>169</v>
      </c>
      <c r="E107" s="15"/>
    </row>
    <row r="108" customFormat="false" ht="25.5" hidden="false" customHeight="true" outlineLevel="0" collapsed="false">
      <c r="B108" s="8" t="s">
        <v>170</v>
      </c>
      <c r="C108" s="8" t="s">
        <v>159</v>
      </c>
      <c r="D108" s="15" t="s">
        <v>171</v>
      </c>
      <c r="E108" s="15"/>
    </row>
    <row r="110" customFormat="false" ht="15" hidden="false" customHeight="false" outlineLevel="0" collapsed="false">
      <c r="B110" s="3" t="s">
        <v>172</v>
      </c>
    </row>
    <row r="111" customFormat="false" ht="15" hidden="false" customHeight="false" outlineLevel="0" collapsed="false">
      <c r="B111" s="5" t="s">
        <v>125</v>
      </c>
      <c r="C111" s="5" t="s">
        <v>126</v>
      </c>
      <c r="D111" s="5" t="s">
        <v>127</v>
      </c>
    </row>
    <row r="112" customFormat="false" ht="25.5" hidden="false" customHeight="true" outlineLevel="0" collapsed="false">
      <c r="B112" s="8" t="s">
        <v>27</v>
      </c>
      <c r="C112" s="8" t="s">
        <v>145</v>
      </c>
      <c r="D112" s="15" t="s">
        <v>173</v>
      </c>
      <c r="E112" s="15"/>
    </row>
    <row r="113" customFormat="false" ht="12.75" hidden="false" customHeight="true" outlineLevel="0" collapsed="false">
      <c r="B113" s="8" t="s">
        <v>174</v>
      </c>
      <c r="C113" s="8" t="s">
        <v>159</v>
      </c>
      <c r="D113" s="15" t="s">
        <v>175</v>
      </c>
      <c r="E113" s="15"/>
    </row>
    <row r="114" customFormat="false" ht="12.75" hidden="false" customHeight="true" outlineLevel="0" collapsed="false">
      <c r="B114" s="8" t="s">
        <v>30</v>
      </c>
      <c r="C114" s="8" t="s">
        <v>159</v>
      </c>
      <c r="D114" s="15" t="s">
        <v>176</v>
      </c>
      <c r="E114" s="15"/>
    </row>
    <row r="115" customFormat="false" ht="12.75" hidden="false" customHeight="true" outlineLevel="0" collapsed="false">
      <c r="B115" s="8" t="s">
        <v>32</v>
      </c>
      <c r="C115" s="8" t="s">
        <v>145</v>
      </c>
      <c r="D115" s="15" t="s">
        <v>177</v>
      </c>
      <c r="E115" s="15"/>
    </row>
    <row r="116" customFormat="false" ht="12.75" hidden="false" customHeight="true" outlineLevel="0" collapsed="false">
      <c r="B116" s="8" t="s">
        <v>40</v>
      </c>
      <c r="C116" s="8" t="s">
        <v>159</v>
      </c>
      <c r="D116" s="15" t="s">
        <v>178</v>
      </c>
      <c r="E116" s="15"/>
    </row>
    <row r="117" customFormat="false" ht="25.5" hidden="false" customHeight="true" outlineLevel="0" collapsed="false">
      <c r="B117" s="8" t="s">
        <v>179</v>
      </c>
      <c r="C117" s="8" t="s">
        <v>145</v>
      </c>
      <c r="D117" s="15" t="s">
        <v>180</v>
      </c>
      <c r="E117" s="15"/>
    </row>
    <row r="118" customFormat="false" ht="12.75" hidden="false" customHeight="true" outlineLevel="0" collapsed="false">
      <c r="B118" s="8" t="s">
        <v>47</v>
      </c>
      <c r="C118" s="8" t="s">
        <v>159</v>
      </c>
      <c r="D118" s="15" t="s">
        <v>181</v>
      </c>
      <c r="E118" s="15"/>
    </row>
    <row r="119" customFormat="false" ht="12.75" hidden="false" customHeight="true" outlineLevel="0" collapsed="false">
      <c r="B119" s="8" t="s">
        <v>50</v>
      </c>
      <c r="C119" s="8" t="s">
        <v>159</v>
      </c>
      <c r="D119" s="15" t="s">
        <v>182</v>
      </c>
      <c r="E119" s="15"/>
    </row>
    <row r="120" customFormat="false" ht="12.75" hidden="false" customHeight="true" outlineLevel="0" collapsed="false">
      <c r="B120" s="8" t="s">
        <v>52</v>
      </c>
      <c r="C120" s="8" t="s">
        <v>145</v>
      </c>
      <c r="D120" s="15" t="s">
        <v>183</v>
      </c>
      <c r="E120" s="15"/>
    </row>
    <row r="121" customFormat="false" ht="12.75" hidden="false" customHeight="true" outlineLevel="0" collapsed="false">
      <c r="B121" s="8" t="s">
        <v>55</v>
      </c>
      <c r="C121" s="8" t="s">
        <v>145</v>
      </c>
      <c r="D121" s="15" t="s">
        <v>184</v>
      </c>
      <c r="E121" s="15"/>
    </row>
    <row r="122" customFormat="false" ht="12.75" hidden="false" customHeight="true" outlineLevel="0" collapsed="false">
      <c r="B122" s="8" t="s">
        <v>59</v>
      </c>
      <c r="C122" s="8" t="s">
        <v>159</v>
      </c>
      <c r="D122" s="15" t="s">
        <v>185</v>
      </c>
      <c r="E122" s="15"/>
    </row>
    <row r="123" customFormat="false" ht="12.75" hidden="false" customHeight="true" outlineLevel="0" collapsed="false">
      <c r="B123" s="8" t="s">
        <v>69</v>
      </c>
      <c r="C123" s="8" t="s">
        <v>145</v>
      </c>
      <c r="D123" s="15" t="s">
        <v>186</v>
      </c>
      <c r="E123" s="15"/>
    </row>
    <row r="124" customFormat="false" ht="25.5" hidden="false" customHeight="true" outlineLevel="0" collapsed="false">
      <c r="B124" s="8" t="s">
        <v>71</v>
      </c>
      <c r="C124" s="8" t="s">
        <v>159</v>
      </c>
      <c r="D124" s="15" t="s">
        <v>187</v>
      </c>
      <c r="E124" s="15"/>
    </row>
    <row r="125" customFormat="false" ht="25.5" hidden="false" customHeight="true" outlineLevel="0" collapsed="false">
      <c r="B125" s="8" t="s">
        <v>74</v>
      </c>
      <c r="C125" s="8" t="s">
        <v>159</v>
      </c>
      <c r="D125" s="15" t="s">
        <v>188</v>
      </c>
      <c r="E125" s="15"/>
    </row>
    <row r="126" customFormat="false" ht="12.75" hidden="false" customHeight="true" outlineLevel="0" collapsed="false">
      <c r="B126" s="8" t="s">
        <v>76</v>
      </c>
      <c r="C126" s="8" t="s">
        <v>159</v>
      </c>
      <c r="D126" s="15" t="s">
        <v>189</v>
      </c>
      <c r="E126" s="15"/>
    </row>
    <row r="127" customFormat="false" ht="12.75" hidden="false" customHeight="true" outlineLevel="0" collapsed="false">
      <c r="B127" s="8" t="s">
        <v>190</v>
      </c>
      <c r="C127" s="8" t="s">
        <v>159</v>
      </c>
      <c r="D127" s="15" t="s">
        <v>191</v>
      </c>
      <c r="E127" s="15"/>
    </row>
    <row r="128" customFormat="false" ht="64.5" hidden="false" customHeight="true" outlineLevel="0" collapsed="false">
      <c r="B128" s="8" t="s">
        <v>192</v>
      </c>
      <c r="C128" s="8" t="s">
        <v>193</v>
      </c>
      <c r="D128" s="15" t="s">
        <v>194</v>
      </c>
      <c r="E128" s="15"/>
    </row>
    <row r="129" customFormat="false" ht="12.75" hidden="false" customHeight="true" outlineLevel="0" collapsed="false">
      <c r="B129" s="8" t="s">
        <v>195</v>
      </c>
      <c r="C129" s="8" t="s">
        <v>159</v>
      </c>
      <c r="D129" s="15" t="s">
        <v>196</v>
      </c>
      <c r="E129" s="15"/>
    </row>
  </sheetData>
  <mergeCells count="65">
    <mergeCell ref="B5:E5"/>
    <mergeCell ref="B6:E6"/>
    <mergeCell ref="B7:E7"/>
    <mergeCell ref="B8:E8"/>
    <mergeCell ref="B9:E9"/>
    <mergeCell ref="B10:E10"/>
    <mergeCell ref="B11:E11"/>
    <mergeCell ref="B12:E12"/>
    <mergeCell ref="B15:E15"/>
    <mergeCell ref="B16:E16"/>
    <mergeCell ref="B17:E17"/>
    <mergeCell ref="B18:E18"/>
    <mergeCell ref="B19:E19"/>
    <mergeCell ref="B20:E20"/>
    <mergeCell ref="B23:E23"/>
    <mergeCell ref="B26:E26"/>
    <mergeCell ref="B63:G63"/>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G4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50"/>
    <col collapsed="false" customWidth="true" hidden="false" outlineLevel="0" max="3" min="3" style="0" width="26"/>
    <col collapsed="false" customWidth="true" hidden="false" outlineLevel="0" max="4" min="4" style="0" width="24"/>
    <col collapsed="false" customWidth="true" hidden="false" outlineLevel="0" max="5" min="5" style="0" width="78"/>
    <col collapsed="false" customWidth="true" hidden="false" outlineLevel="0" max="6" min="6" style="0" width="2"/>
    <col collapsed="false" customWidth="true" hidden="false" outlineLevel="0" max="7" min="7" style="0" width="44"/>
  </cols>
  <sheetData>
    <row r="1" customFormat="false" ht="19.7" hidden="false" customHeight="false" outlineLevel="0" collapsed="false">
      <c r="B1" s="16" t="s">
        <v>197</v>
      </c>
      <c r="G1" s="2" t="s">
        <v>198</v>
      </c>
    </row>
    <row r="2" customFormat="false" ht="15" hidden="false" customHeight="false" outlineLevel="0" collapsed="false">
      <c r="B2" s="17" t="s">
        <v>199</v>
      </c>
      <c r="G2" s="2" t="s">
        <v>200</v>
      </c>
    </row>
    <row r="3" customFormat="false" ht="15" hidden="false" customHeight="false" outlineLevel="0" collapsed="false">
      <c r="B3" s="18" t="s">
        <v>201</v>
      </c>
    </row>
    <row r="5" customFormat="false" ht="15" hidden="false" customHeight="false" outlineLevel="0" collapsed="false">
      <c r="B5" s="9" t="s">
        <v>202</v>
      </c>
      <c r="C5" s="19" t="s">
        <v>203</v>
      </c>
      <c r="D5" s="19" t="s">
        <v>204</v>
      </c>
      <c r="E5" s="19" t="s">
        <v>205</v>
      </c>
    </row>
    <row r="6" customFormat="false" ht="15" hidden="false" customHeight="false" outlineLevel="0" collapsed="false">
      <c r="B6" s="20" t="s">
        <v>206</v>
      </c>
      <c r="C6" s="21" t="n">
        <v>60000</v>
      </c>
      <c r="D6" s="22" t="s">
        <v>207</v>
      </c>
      <c r="E6" s="2" t="s">
        <v>208</v>
      </c>
      <c r="G6" s="23" t="s">
        <v>209</v>
      </c>
    </row>
    <row r="7" customFormat="false" ht="15" hidden="false" customHeight="false" outlineLevel="0" collapsed="false">
      <c r="B7" s="20" t="s">
        <v>210</v>
      </c>
      <c r="C7" s="21" t="n">
        <v>0</v>
      </c>
      <c r="D7" s="22" t="s">
        <v>207</v>
      </c>
      <c r="E7" s="2" t="s">
        <v>211</v>
      </c>
      <c r="G7" s="23" t="s">
        <v>212</v>
      </c>
    </row>
    <row r="8" customFormat="false" ht="15" hidden="false" customHeight="false" outlineLevel="0" collapsed="false">
      <c r="B8" s="20" t="s">
        <v>213</v>
      </c>
      <c r="C8" s="21" t="n">
        <v>25000</v>
      </c>
      <c r="D8" s="22" t="s">
        <v>207</v>
      </c>
      <c r="E8" s="2" t="s">
        <v>214</v>
      </c>
      <c r="G8" s="23" t="s">
        <v>215</v>
      </c>
    </row>
    <row r="9" customFormat="false" ht="15" hidden="false" customHeight="false" outlineLevel="0" collapsed="false">
      <c r="B9" s="20" t="s">
        <v>216</v>
      </c>
      <c r="C9" s="24" t="s">
        <v>217</v>
      </c>
      <c r="D9" s="22" t="s">
        <v>218</v>
      </c>
      <c r="E9" s="2" t="s">
        <v>219</v>
      </c>
      <c r="G9" s="23" t="s">
        <v>220</v>
      </c>
    </row>
    <row r="10" customFormat="false" ht="15" hidden="false" customHeight="false" outlineLevel="0" collapsed="false">
      <c r="B10" s="20" t="s">
        <v>221</v>
      </c>
      <c r="C10" s="25" t="n">
        <v>0.0375</v>
      </c>
      <c r="D10" s="22" t="s">
        <v>222</v>
      </c>
      <c r="E10" s="26" t="s">
        <v>223</v>
      </c>
      <c r="G10" s="23" t="s">
        <v>224</v>
      </c>
    </row>
    <row r="11" customFormat="false" ht="15" hidden="false" customHeight="false" outlineLevel="0" collapsed="false">
      <c r="B11" s="20" t="s">
        <v>225</v>
      </c>
      <c r="C11" s="27" t="n">
        <v>30</v>
      </c>
      <c r="D11" s="22" t="s">
        <v>226</v>
      </c>
      <c r="E11" s="26" t="s">
        <v>227</v>
      </c>
      <c r="G11" s="23" t="s">
        <v>228</v>
      </c>
    </row>
    <row r="12" customFormat="false" ht="15" hidden="false" customHeight="false" outlineLevel="0" collapsed="false">
      <c r="B12" s="20" t="s">
        <v>229</v>
      </c>
      <c r="C12" s="21" t="n">
        <v>3000</v>
      </c>
      <c r="D12" s="22" t="s">
        <v>207</v>
      </c>
      <c r="E12" s="26" t="s">
        <v>230</v>
      </c>
      <c r="G12" s="23" t="s">
        <v>231</v>
      </c>
    </row>
    <row r="13" customFormat="false" ht="15" hidden="false" customHeight="false" outlineLevel="0" collapsed="false">
      <c r="B13" s="20" t="s">
        <v>232</v>
      </c>
      <c r="C13" s="27" t="n">
        <v>3</v>
      </c>
      <c r="D13" s="22" t="s">
        <v>226</v>
      </c>
      <c r="E13" s="26" t="s">
        <v>233</v>
      </c>
      <c r="G13" s="23" t="s">
        <v>234</v>
      </c>
    </row>
    <row r="14" customFormat="false" ht="15" hidden="false" customHeight="false" outlineLevel="0" collapsed="false">
      <c r="B14" s="20" t="s">
        <v>235</v>
      </c>
      <c r="C14" s="21" t="n">
        <v>0</v>
      </c>
      <c r="D14" s="22" t="s">
        <v>207</v>
      </c>
      <c r="E14" s="2" t="s">
        <v>236</v>
      </c>
      <c r="G14" s="23" t="s">
        <v>237</v>
      </c>
    </row>
    <row r="16" customFormat="false" ht="15" hidden="false" customHeight="false" outlineLevel="0" collapsed="false">
      <c r="B16" s="9" t="s">
        <v>238</v>
      </c>
      <c r="C16" s="19" t="s">
        <v>239</v>
      </c>
      <c r="D16" s="19" t="s">
        <v>240</v>
      </c>
      <c r="E16" s="19" t="s">
        <v>241</v>
      </c>
    </row>
    <row r="17" customFormat="false" ht="17.35" hidden="false" customHeight="false" outlineLevel="0" collapsed="false">
      <c r="B17" s="17" t="s">
        <v>242</v>
      </c>
      <c r="C17" s="28" t="n">
        <f aca="false">MIN(Price_By_Deposit,Price_By_Income)</f>
        <v>200000</v>
      </c>
      <c r="D17" s="22" t="s">
        <v>207</v>
      </c>
      <c r="E17" s="29" t="s">
        <v>243</v>
      </c>
    </row>
    <row r="18" customFormat="false" ht="17.35" hidden="false" customHeight="false" outlineLevel="0" collapsed="false">
      <c r="B18" s="17" t="s">
        <v>244</v>
      </c>
      <c r="C18" s="28" t="n">
        <f aca="false">MIN(Borrow_By_Income,LTV_Max*Home_Price)</f>
        <v>180000</v>
      </c>
      <c r="D18" s="22" t="s">
        <v>207</v>
      </c>
      <c r="E18" s="29" t="s">
        <v>245</v>
      </c>
    </row>
    <row r="19" customFormat="false" ht="17.35" hidden="false" customHeight="false" outlineLevel="0" collapsed="false">
      <c r="B19" s="17" t="s">
        <v>246</v>
      </c>
      <c r="C19" s="28" t="n">
        <f aca="false">PMT(Interest_Rate/12,Term_Years*12,-Max_Loan)</f>
        <v>833.60806482983</v>
      </c>
      <c r="D19" s="22" t="s">
        <v>207</v>
      </c>
      <c r="E19" s="29" t="s">
        <v>247</v>
      </c>
    </row>
    <row r="20" customFormat="false" ht="22.35" hidden="false" customHeight="false" outlineLevel="0" collapsed="false">
      <c r="B20" s="17" t="s">
        <v>248</v>
      </c>
      <c r="C20" s="28" t="n">
        <f aca="false">SD_Rate_1*MIN(Home_Price,SD_Band_1)+SD_Rate_2*MAX(0,MIN(Home_Price,SD_Band_2)-SD_Band_1)+SD_Rate_3*MAX(0,Home_Price-SD_Band_2)</f>
        <v>2000</v>
      </c>
      <c r="D20" s="22" t="s">
        <v>207</v>
      </c>
      <c r="E20" s="29" t="s">
        <v>249</v>
      </c>
    </row>
    <row r="21" customFormat="false" ht="15" hidden="false" customHeight="false" outlineLevel="0" collapsed="false">
      <c r="B21" s="20" t="s">
        <v>250</v>
      </c>
      <c r="C21" s="30" t="n">
        <f aca="false">(Income+Partner_Income)*Income_Multiple</f>
        <v>240000</v>
      </c>
      <c r="D21" s="22" t="s">
        <v>207</v>
      </c>
      <c r="E21" s="29" t="s">
        <v>251</v>
      </c>
    </row>
    <row r="22" customFormat="false" ht="15" hidden="false" customHeight="false" outlineLevel="0" collapsed="false">
      <c r="B22" s="20" t="s">
        <v>252</v>
      </c>
      <c r="C22" s="31" t="n">
        <f aca="false">IF(First_Time_Buyer="Yes",LTI_FTB,LTI_SSB)</f>
        <v>4</v>
      </c>
      <c r="D22" s="22" t="s">
        <v>253</v>
      </c>
      <c r="E22" s="29" t="s">
        <v>254</v>
      </c>
    </row>
    <row r="23" customFormat="false" ht="15" hidden="false" customHeight="false" outlineLevel="0" collapsed="false">
      <c r="B23" s="20" t="s">
        <v>255</v>
      </c>
      <c r="C23" s="30" t="n">
        <f aca="false">Deposit+Extra_Deposit</f>
        <v>25000</v>
      </c>
      <c r="D23" s="22" t="s">
        <v>207</v>
      </c>
      <c r="E23" s="29" t="s">
        <v>256</v>
      </c>
    </row>
    <row r="24" customFormat="false" ht="15" hidden="false" customHeight="false" outlineLevel="0" collapsed="false">
      <c r="B24" s="20" t="s">
        <v>257</v>
      </c>
      <c r="C24" s="30" t="n">
        <f aca="false">MAX(0,Total_Deposit-Buying_Fees)</f>
        <v>22000</v>
      </c>
      <c r="D24" s="22" t="s">
        <v>207</v>
      </c>
      <c r="E24" s="29" t="s">
        <v>258</v>
      </c>
    </row>
    <row r="25" customFormat="false" ht="15" hidden="false" customHeight="false" outlineLevel="0" collapsed="false">
      <c r="B25" s="20" t="s">
        <v>259</v>
      </c>
      <c r="C25" s="30" t="n">
        <f aca="false">(1-LTV_Max+SD_Rate_1)*SD_Band_1</f>
        <v>110000</v>
      </c>
      <c r="D25" s="22" t="s">
        <v>207</v>
      </c>
      <c r="E25" s="29" t="s">
        <v>260</v>
      </c>
    </row>
    <row r="26" customFormat="false" ht="15" hidden="false" customHeight="false" outlineLevel="0" collapsed="false">
      <c r="B26" s="20" t="s">
        <v>261</v>
      </c>
      <c r="C26" s="30" t="n">
        <f aca="false">Cash_At_Band_1+(1-LTV_Max+SD_Rate_2)*(SD_Band_2-SD_Band_1)</f>
        <v>170000</v>
      </c>
      <c r="D26" s="22" t="s">
        <v>207</v>
      </c>
      <c r="E26" s="29" t="s">
        <v>262</v>
      </c>
    </row>
    <row r="27" customFormat="false" ht="32.8" hidden="false" customHeight="false" outlineLevel="0" collapsed="false">
      <c r="B27" s="20" t="s">
        <v>263</v>
      </c>
      <c r="C27" s="30" t="n">
        <f aca="false">IF(Cash_For_Price&lt;=Cash_At_Band_1,Cash_For_Price/(1-LTV_Max+SD_Rate_1),IF(Cash_For_Price&lt;=Cash_At_Band_2,SD_Band_1+(Cash_For_Price-Cash_At_Band_1)/(1-LTV_Max+SD_Rate_2),SD_Band_2+(Cash_For_Price-Cash_At_Band_2)/(1-LTV_Max+SD_Rate_3)))</f>
        <v>200000</v>
      </c>
      <c r="D27" s="22" t="s">
        <v>207</v>
      </c>
      <c r="E27" s="29" t="s">
        <v>264</v>
      </c>
    </row>
    <row r="28" customFormat="false" ht="15" hidden="false" customHeight="false" outlineLevel="0" collapsed="false">
      <c r="B28" s="20" t="s">
        <v>265</v>
      </c>
      <c r="C28" s="30" t="n">
        <f aca="false">Borrow_By_Income+Cash_For_Price</f>
        <v>262000</v>
      </c>
      <c r="D28" s="22" t="s">
        <v>207</v>
      </c>
      <c r="E28" s="29" t="s">
        <v>266</v>
      </c>
    </row>
    <row r="29" customFormat="false" ht="43.25" hidden="false" customHeight="false" outlineLevel="0" collapsed="false">
      <c r="B29" s="20" t="s">
        <v>267</v>
      </c>
      <c r="C29" s="30" t="n">
        <f aca="false">IF(Income_Cash&lt;=(1+SD_Rate_1)*SD_Band_1,Income_Cash/(1+SD_Rate_1),IF(Income_Cash&lt;=(1+SD_Rate_1)*SD_Band_1+(1+SD_Rate_2)*(SD_Band_2-SD_Band_1),SD_Band_1+(Income_Cash-(1+SD_Rate_1)*SD_Band_1)/(1+SD_Rate_2),SD_Band_2+(Income_Cash-(1+SD_Rate_1)*SD_Band_1-(1+SD_Rate_2)*(SD_Band_2-SD_Band_1))/(1+SD_Rate_3)))</f>
        <v>259405.940594059</v>
      </c>
      <c r="D29" s="22" t="s">
        <v>207</v>
      </c>
      <c r="E29" s="29" t="s">
        <v>268</v>
      </c>
    </row>
    <row r="30" customFormat="false" ht="15" hidden="false" customHeight="false" outlineLevel="0" collapsed="false">
      <c r="B30" s="20" t="s">
        <v>269</v>
      </c>
      <c r="C30" s="32" t="str">
        <f aca="false">IF(Price_By_Deposit&lt;Price_By_Income,"Your deposit","Your income")</f>
        <v>Your deposit</v>
      </c>
      <c r="D30" s="22"/>
      <c r="E30" s="29" t="s">
        <v>270</v>
      </c>
    </row>
    <row r="32" customFormat="false" ht="15" hidden="false" customHeight="false" outlineLevel="0" collapsed="false">
      <c r="B32" s="9" t="s">
        <v>271</v>
      </c>
      <c r="C32" s="10"/>
      <c r="D32" s="10"/>
      <c r="E32" s="10"/>
    </row>
    <row r="33" customFormat="false" ht="13.5" hidden="false" customHeight="true" outlineLevel="0" collapsed="false">
      <c r="B33" s="33" t="s">
        <v>272</v>
      </c>
      <c r="C33" s="33"/>
      <c r="D33" s="33"/>
      <c r="E33" s="33"/>
    </row>
    <row r="34" customFormat="false" ht="27.75" hidden="false" customHeight="true" outlineLevel="0" collapsed="false">
      <c r="B34" s="33" t="s">
        <v>273</v>
      </c>
      <c r="C34" s="33"/>
      <c r="D34" s="33"/>
      <c r="E34" s="33"/>
    </row>
    <row r="35" customFormat="false" ht="13.5" hidden="false" customHeight="true" outlineLevel="0" collapsed="false">
      <c r="B35" s="33" t="s">
        <v>274</v>
      </c>
      <c r="C35" s="33"/>
      <c r="D35" s="33"/>
      <c r="E35" s="33"/>
    </row>
    <row r="36" customFormat="false" ht="13.5" hidden="false" customHeight="true" outlineLevel="0" collapsed="false">
      <c r="B36" s="34" t="s">
        <v>275</v>
      </c>
      <c r="C36" s="34"/>
      <c r="D36" s="34"/>
      <c r="E36" s="34"/>
    </row>
    <row r="37" customFormat="false" ht="13.5" hidden="false" customHeight="true" outlineLevel="0" collapsed="false">
      <c r="B37" s="33" t="s">
        <v>276</v>
      </c>
      <c r="C37" s="33"/>
      <c r="D37" s="33"/>
      <c r="E37" s="33"/>
    </row>
    <row r="38" customFormat="false" ht="13.5" hidden="false" customHeight="true" outlineLevel="0" collapsed="false">
      <c r="B38" s="33" t="s">
        <v>277</v>
      </c>
      <c r="C38" s="33"/>
      <c r="D38" s="33"/>
      <c r="E38" s="33"/>
    </row>
    <row r="39" customFormat="false" ht="13.5" hidden="false" customHeight="true" outlineLevel="0" collapsed="false">
      <c r="B39" s="33" t="s">
        <v>278</v>
      </c>
      <c r="C39" s="33"/>
      <c r="D39" s="33"/>
      <c r="E39" s="33"/>
    </row>
    <row r="40" customFormat="false" ht="13.5" hidden="false" customHeight="true" outlineLevel="0" collapsed="false">
      <c r="B40" s="33" t="s">
        <v>279</v>
      </c>
      <c r="C40" s="33"/>
      <c r="D40" s="33"/>
      <c r="E40" s="33"/>
    </row>
    <row r="42" customFormat="false" ht="15" hidden="false" customHeight="false" outlineLevel="0" collapsed="false">
      <c r="B42" s="9" t="s">
        <v>280</v>
      </c>
      <c r="C42" s="10"/>
      <c r="D42" s="10"/>
      <c r="E42" s="10"/>
    </row>
    <row r="43" customFormat="false" ht="15" hidden="false" customHeight="false" outlineLevel="0" collapsed="false">
      <c r="B43" s="20" t="s">
        <v>281</v>
      </c>
      <c r="C43" s="35" t="str">
        <f aca="false">"Buy a home (deposit goal)"</f>
        <v>Buy a home (deposit goal)</v>
      </c>
      <c r="E43" s="36" t="s">
        <v>282</v>
      </c>
    </row>
    <row r="44" customFormat="false" ht="15" hidden="false" customHeight="false" outlineLevel="0" collapsed="false">
      <c r="B44" s="20" t="s">
        <v>283</v>
      </c>
      <c r="C44" s="37" t="n">
        <f aca="false">ROUND(Home_Price*Min_Deposit_Pct+Stamp_Duty+Buying_Fees,0)</f>
        <v>25000</v>
      </c>
      <c r="E44" s="36" t="s">
        <v>284</v>
      </c>
    </row>
    <row r="45" customFormat="false" ht="15" hidden="false" customHeight="false" outlineLevel="0" collapsed="false">
      <c r="B45" s="20" t="s">
        <v>285</v>
      </c>
      <c r="C45" s="37" t="n">
        <f aca="false">Total_Deposit</f>
        <v>25000</v>
      </c>
      <c r="E45" s="36" t="s">
        <v>286</v>
      </c>
    </row>
    <row r="46" customFormat="false" ht="15" hidden="false" customHeight="false" outlineLevel="0" collapsed="false">
      <c r="B46" s="20" t="s">
        <v>287</v>
      </c>
      <c r="C46" s="38" t="n">
        <f aca="false">Home_Goal_Years</f>
        <v>3</v>
      </c>
      <c r="E46" s="36" t="s">
        <v>288</v>
      </c>
    </row>
  </sheetData>
  <mergeCells count="8">
    <mergeCell ref="B33:E33"/>
    <mergeCell ref="B34:E34"/>
    <mergeCell ref="B35:E35"/>
    <mergeCell ref="B36:E36"/>
    <mergeCell ref="B37:E37"/>
    <mergeCell ref="B38:E38"/>
    <mergeCell ref="B39:E39"/>
    <mergeCell ref="B40:E40"/>
  </mergeCells>
  <dataValidations count="9">
    <dataValidation allowBlank="false" error="Please enter €0 to €10,000 · steps of €100." errorStyle="stop" errorTitle="Outside the allowed range" operator="between" prompt="Suggested · change if you like. Legal and other buying fees are usually about €2,500–€3,500 (stamp duty is worked out for you).  Allowed: €0 to €10,000 · steps of €100." promptTitle="Legal and other buying fees" showDropDown="false" showErrorMessage="true" showInputMessage="true" sqref="C12" type="decimal">
      <formula1>0</formula1>
      <formula2>10000</formula2>
    </dataValidation>
    <dataValidation allowBlank="false" error="Please enter 1 to 30 · steps of 1." errorStyle="stop" errorTitle="Outside the allowed range" operator="between" prompt="Suggested · change if you like. When you plan to buy; you can change it in the plan.  Allowed: 1 to 30 · steps of 1." promptTitle="Years until you buy (for the pla" showDropDown="false" showErrorMessage="true" showInputMessage="true" sqref="C13" type="whole">
      <formula1>1</formula1>
      <formula2>30</formula2>
    </dataValidation>
    <dataValidation allowBlank="false" error="Please enter €15,000 to €2,500,000 · steps of €1,000." errorStyle="stop" errorTitle="Outside the allowed range" operator="between" prompt="Unit: €. Allowed: €15,000 to €2,500,000 · steps of €1,000." promptTitle="Your gross yearly income" showDropDown="false" showErrorMessage="true" showInputMessage="true" sqref="C6" type="decimal">
      <formula1>15000</formula1>
      <formula2>2500000</formula2>
    </dataValidation>
    <dataValidation allowBlank="false" error="Please enter €0 to €2,500,000 · steps of €1,000." errorStyle="stop" errorTitle="Outside the allowed range" operator="between" prompt="Unit: €. Allowed: €0 to €2,500,000 · steps of €1,000." promptTitle="Partner's gross yearly income" showDropDown="false" showErrorMessage="true" showInputMessage="true" sqref="C7" type="decimal">
      <formula1>0</formula1>
      <formula2>2500000</formula2>
    </dataValidation>
    <dataValidation allowBlank="false" error="Please enter €0 to €2,000,000 · steps of €1,000." errorStyle="stop" errorTitle="Outside the allowed range" operator="between" prompt="Unit: €. Allowed: €0 to €2,000,000 · steps of €1,000." promptTitle="Deposit saved" showDropDown="false" showErrorMessage="true" showInputMessage="true" sqref="C8" type="decimal">
      <formula1>0</formula1>
      <formula2>2000000</formula2>
    </dataValidation>
    <dataValidation allowBlank="false" error="Please enter Yes or No." errorStyle="stop" errorTitle="Outside the allowed range" operator="between" prompt="Unit: Yes / No. Allowed: Yes or No." promptTitle="First-time buyer?" showDropDown="false" showErrorMessage="true" showInputMessage="true" sqref="C9" type="list">
      <formula1>"Yes,No"</formula1>
      <formula2>0</formula2>
    </dataValidation>
    <dataValidation allowBlank="false" error="Please enter 1% to 8% · steps of 0.05%." errorStyle="stop" errorTitle="Outside the allowed range" operator="between" prompt="Suggested · change if you like. New Irish mortgages averaged about 3.5% in mid-2026. The ECB raised rates in September 2026, so new rates may rise. Your statement shows your own rate.  Allowed: 1% to 8% · steps of 0.05%." promptTitle="Mortgage interest rate" showDropDown="false" showErrorMessage="true" showInputMessage="true" sqref="C10" type="decimal">
      <formula1>0.01</formula1>
      <formula2>0.08</formula2>
    </dataValidation>
    <dataValidation allowBlank="false" error="Please enter 10 to 35 · steps of 1." errorStyle="stop" errorTitle="Outside the allowed range" operator="between" prompt="Suggested · change if you like. Most Irish mortgages run 30 years; up to 35 is possible.  Allowed: 10 to 35 · steps of 1." promptTitle="Mortgage term" showDropDown="false" showErrorMessage="true" showInputMessage="true" sqref="C11" type="whole">
      <formula1>10</formula1>
      <formula2>35</formula2>
    </dataValidation>
    <dataValidation allowBlank="false" error="Please enter €0 to €500,000 · steps of €1,000." errorStyle="stop" errorTitle="Outside the allowed range" operator="between" prompt="Unit: €. Allowed: €0 to €500,000 · steps of €1,000." promptTitle="What if: save extra towards the " showDropDown="false" showErrorMessage="true" showInputMessage="true" sqref="C14" type="decimal">
      <formula1>0</formula1>
      <formula2>500000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G5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50"/>
    <col collapsed="false" customWidth="true" hidden="false" outlineLevel="0" max="3" min="3" style="0" width="26"/>
    <col collapsed="false" customWidth="true" hidden="false" outlineLevel="0" max="4" min="4" style="0" width="24"/>
    <col collapsed="false" customWidth="true" hidden="false" outlineLevel="0" max="5" min="5" style="0" width="78"/>
    <col collapsed="false" customWidth="true" hidden="false" outlineLevel="0" max="6" min="6" style="0" width="2"/>
    <col collapsed="false" customWidth="true" hidden="false" outlineLevel="0" max="7" min="7" style="0" width="44"/>
  </cols>
  <sheetData>
    <row r="1" customFormat="false" ht="19.7" hidden="false" customHeight="false" outlineLevel="0" collapsed="false">
      <c r="B1" s="16" t="s">
        <v>289</v>
      </c>
      <c r="G1" s="2" t="s">
        <v>198</v>
      </c>
    </row>
    <row r="2" customFormat="false" ht="15" hidden="false" customHeight="false" outlineLevel="0" collapsed="false">
      <c r="B2" s="17" t="s">
        <v>290</v>
      </c>
      <c r="G2" s="2" t="s">
        <v>291</v>
      </c>
    </row>
    <row r="3" customFormat="false" ht="15" hidden="false" customHeight="false" outlineLevel="0" collapsed="false">
      <c r="B3" s="18" t="s">
        <v>292</v>
      </c>
    </row>
    <row r="5" customFormat="false" ht="15" hidden="false" customHeight="false" outlineLevel="0" collapsed="false">
      <c r="B5" s="9" t="s">
        <v>293</v>
      </c>
      <c r="C5" s="10"/>
      <c r="D5" s="10"/>
      <c r="E5" s="10"/>
    </row>
    <row r="6" customFormat="false" ht="27.75" hidden="false" customHeight="true" outlineLevel="0" collapsed="false">
      <c r="B6" s="39" t="s">
        <v>294</v>
      </c>
      <c r="C6" s="39"/>
      <c r="D6" s="39"/>
      <c r="E6" s="39"/>
    </row>
    <row r="7" customFormat="false" ht="15" hidden="false" customHeight="false" outlineLevel="0" collapsed="false">
      <c r="B7" s="20" t="s">
        <v>295</v>
      </c>
      <c r="C7" s="40"/>
      <c r="D7" s="22" t="s">
        <v>207</v>
      </c>
      <c r="E7" s="2" t="s">
        <v>296</v>
      </c>
      <c r="G7" s="23" t="s">
        <v>297</v>
      </c>
    </row>
    <row r="8" customFormat="false" ht="15" hidden="false" customHeight="false" outlineLevel="0" collapsed="false">
      <c r="B8" s="20" t="s">
        <v>298</v>
      </c>
      <c r="C8" s="41"/>
      <c r="D8" s="22" t="s">
        <v>222</v>
      </c>
      <c r="E8" s="2" t="s">
        <v>299</v>
      </c>
      <c r="G8" s="23" t="s">
        <v>297</v>
      </c>
    </row>
    <row r="9" customFormat="false" ht="15" hidden="false" customHeight="false" outlineLevel="0" collapsed="false">
      <c r="B9" s="20" t="s">
        <v>300</v>
      </c>
      <c r="C9" s="42"/>
      <c r="D9" s="22" t="s">
        <v>226</v>
      </c>
      <c r="E9" s="2" t="s">
        <v>301</v>
      </c>
      <c r="G9" s="23" t="s">
        <v>297</v>
      </c>
    </row>
    <row r="10" customFormat="false" ht="15" hidden="false" customHeight="false" outlineLevel="0" collapsed="false">
      <c r="B10" s="20" t="s">
        <v>302</v>
      </c>
      <c r="C10" s="40"/>
      <c r="D10" s="22" t="s">
        <v>207</v>
      </c>
      <c r="E10" s="2" t="s">
        <v>303</v>
      </c>
      <c r="G10" s="23" t="s">
        <v>297</v>
      </c>
    </row>
    <row r="11" customFormat="false" ht="15" hidden="false" customHeight="false" outlineLevel="0" collapsed="false">
      <c r="B11" s="20" t="s">
        <v>304</v>
      </c>
      <c r="C11" s="43"/>
      <c r="D11" s="22" t="s">
        <v>305</v>
      </c>
      <c r="E11" s="2" t="s">
        <v>306</v>
      </c>
      <c r="G11" s="23" t="s">
        <v>297</v>
      </c>
    </row>
    <row r="13" customFormat="false" ht="15" hidden="false" customHeight="false" outlineLevel="0" collapsed="false">
      <c r="B13" s="9" t="s">
        <v>307</v>
      </c>
      <c r="C13" s="19" t="s">
        <v>203</v>
      </c>
      <c r="D13" s="19" t="s">
        <v>204</v>
      </c>
      <c r="E13" s="19" t="s">
        <v>205</v>
      </c>
    </row>
    <row r="14" customFormat="false" ht="15" hidden="false" customHeight="false" outlineLevel="0" collapsed="false">
      <c r="B14" s="20" t="s">
        <v>308</v>
      </c>
      <c r="C14" s="21" t="n">
        <v>300000</v>
      </c>
      <c r="D14" s="22" t="s">
        <v>207</v>
      </c>
      <c r="E14" s="2" t="s">
        <v>309</v>
      </c>
      <c r="G14" s="23" t="s">
        <v>310</v>
      </c>
    </row>
    <row r="15" customFormat="false" ht="15" hidden="false" customHeight="false" outlineLevel="0" collapsed="false">
      <c r="B15" s="20" t="s">
        <v>298</v>
      </c>
      <c r="C15" s="25" t="n">
        <v>0.0375</v>
      </c>
      <c r="D15" s="22" t="s">
        <v>222</v>
      </c>
      <c r="E15" s="26" t="s">
        <v>223</v>
      </c>
      <c r="G15" s="23" t="s">
        <v>311</v>
      </c>
    </row>
    <row r="16" customFormat="false" ht="15" hidden="false" customHeight="false" outlineLevel="0" collapsed="false">
      <c r="B16" s="20" t="s">
        <v>312</v>
      </c>
      <c r="C16" s="27" t="n">
        <v>30</v>
      </c>
      <c r="D16" s="22" t="s">
        <v>226</v>
      </c>
      <c r="E16" s="2" t="s">
        <v>313</v>
      </c>
      <c r="G16" s="23" t="s">
        <v>314</v>
      </c>
    </row>
    <row r="17" customFormat="false" ht="15" hidden="false" customHeight="false" outlineLevel="0" collapsed="false">
      <c r="B17" s="20" t="s">
        <v>315</v>
      </c>
      <c r="C17" s="21" t="n">
        <v>0</v>
      </c>
      <c r="D17" s="22" t="s">
        <v>207</v>
      </c>
      <c r="E17" s="2" t="s">
        <v>316</v>
      </c>
      <c r="G17" s="23" t="s">
        <v>317</v>
      </c>
    </row>
    <row r="18" customFormat="false" ht="15" hidden="false" customHeight="false" outlineLevel="0" collapsed="false">
      <c r="B18" s="20" t="s">
        <v>232</v>
      </c>
      <c r="C18" s="27" t="n">
        <v>3</v>
      </c>
      <c r="D18" s="22" t="s">
        <v>226</v>
      </c>
      <c r="E18" s="26" t="s">
        <v>233</v>
      </c>
      <c r="G18" s="23" t="s">
        <v>234</v>
      </c>
    </row>
    <row r="19" customFormat="false" ht="15" hidden="false" customHeight="false" outlineLevel="0" collapsed="false">
      <c r="B19" s="20" t="s">
        <v>318</v>
      </c>
      <c r="C19" s="25" t="n">
        <v>0</v>
      </c>
      <c r="D19" s="22" t="s">
        <v>222</v>
      </c>
      <c r="E19" s="2" t="s">
        <v>319</v>
      </c>
      <c r="G19" s="23" t="s">
        <v>320</v>
      </c>
    </row>
    <row r="21" customFormat="false" ht="15" hidden="false" customHeight="false" outlineLevel="0" collapsed="false">
      <c r="B21" s="9" t="s">
        <v>321</v>
      </c>
      <c r="C21" s="10"/>
      <c r="D21" s="10"/>
      <c r="E21" s="10"/>
    </row>
    <row r="22" customFormat="false" ht="15" hidden="false" customHeight="false" outlineLevel="0" collapsed="false">
      <c r="B22" s="20" t="s">
        <v>308</v>
      </c>
      <c r="C22" s="44" t="n">
        <f aca="false">IF(ISBLANK(Stmt_Balance),Loan_Amount,Stmt_Balance)</f>
        <v>300000</v>
      </c>
      <c r="D22" s="45" t="str">
        <f aca="false">IF(ISBLANK(Stmt_Balance),"Your figure","From your statement")</f>
        <v>Your figure</v>
      </c>
      <c r="E22" s="36" t="s">
        <v>322</v>
      </c>
    </row>
    <row r="23" customFormat="false" ht="15" hidden="false" customHeight="false" outlineLevel="0" collapsed="false">
      <c r="B23" s="20" t="s">
        <v>298</v>
      </c>
      <c r="C23" s="46" t="n">
        <f aca="false">IF(ISBLANK(Stmt_Rate),Interest_Rate,Stmt_Rate)</f>
        <v>0.0375</v>
      </c>
      <c r="D23" s="45" t="str">
        <f aca="false">IF(ISBLANK(Stmt_Rate),"Your figure","From your statement")</f>
        <v>Your figure</v>
      </c>
      <c r="E23" s="36" t="s">
        <v>323</v>
      </c>
    </row>
    <row r="24" customFormat="false" ht="15" hidden="false" customHeight="false" outlineLevel="0" collapsed="false">
      <c r="B24" s="20" t="s">
        <v>312</v>
      </c>
      <c r="C24" s="47" t="n">
        <f aca="false">IF(ISBLANK(Stmt_Term),Term_Years,Stmt_Term)</f>
        <v>30</v>
      </c>
      <c r="D24" s="45" t="str">
        <f aca="false">IF(ISBLANK(Stmt_Term),"Your figure","From your statement")</f>
        <v>Your figure</v>
      </c>
      <c r="E24" s="36" t="s">
        <v>324</v>
      </c>
    </row>
    <row r="25" customFormat="false" ht="15" hidden="false" customHeight="false" outlineLevel="0" collapsed="false">
      <c r="B25" s="20" t="s">
        <v>325</v>
      </c>
      <c r="C25" s="44" t="n">
        <f aca="false">IF(ISBLANK(Stmt_Repayment),Actual_Repayment,Stmt_Repayment)</f>
        <v>0</v>
      </c>
      <c r="D25" s="45" t="str">
        <f aca="false">IF(ISBLANK(Stmt_Repayment),"Your figure","From your statement")</f>
        <v>Your figure</v>
      </c>
      <c r="E25" s="36" t="s">
        <v>326</v>
      </c>
    </row>
    <row r="26" customFormat="false" ht="22.35" hidden="false" customHeight="false" outlineLevel="0" collapsed="false">
      <c r="B26" s="20" t="s">
        <v>327</v>
      </c>
      <c r="C26" s="32" t="str">
        <f aca="true">IF(ISBLANK(Stmt_Statement_Date),"",IF(TODAY()-Stmt_Statement_Date&gt;Statement_Max_Age_Days,"Needs a look: statement is more than 12 months old","Up to date"))</f>
        <v/>
      </c>
      <c r="D26" s="22"/>
      <c r="E26" s="29" t="s">
        <v>328</v>
      </c>
    </row>
    <row r="28" customFormat="false" ht="15" hidden="false" customHeight="false" outlineLevel="0" collapsed="false">
      <c r="B28" s="9" t="s">
        <v>238</v>
      </c>
      <c r="C28" s="19" t="s">
        <v>239</v>
      </c>
      <c r="D28" s="19" t="s">
        <v>240</v>
      </c>
      <c r="E28" s="19" t="s">
        <v>241</v>
      </c>
    </row>
    <row r="29" customFormat="false" ht="17.35" hidden="false" customHeight="false" outlineLevel="0" collapsed="false">
      <c r="B29" s="17" t="s">
        <v>302</v>
      </c>
      <c r="C29" s="28" t="n">
        <f aca="false">IF(Used_Actual_Repayment&gt;0,Used_Actual_Repayment,Formula_Repayment)</f>
        <v>1389.34677471638</v>
      </c>
      <c r="D29" s="22" t="s">
        <v>207</v>
      </c>
      <c r="E29" s="29" t="s">
        <v>329</v>
      </c>
    </row>
    <row r="30" customFormat="false" ht="22.35" hidden="false" customHeight="false" outlineLevel="0" collapsed="false">
      <c r="B30" s="17" t="s">
        <v>330</v>
      </c>
      <c r="C30" s="48" t="n">
        <f aca="false">IF(Monthly_Repayment&lt;=Used_Loan_Amount*Monthly_Rate,"Never",ROUNDUP(ROUND(NPER(Monthly_Rate,-Monthly_Repayment,Used_Loan_Amount),6),0))</f>
        <v>360</v>
      </c>
      <c r="D30" s="49" t="str">
        <f aca="false">IF(Months_To_Pay="Never","Never at this repayment",IF(Months_To_Pay&gt;Cap_Months,"Over 100 years",IF(INT(Months_To_Pay/12)=0,MOD(Months_To_Pay,12)&amp;IF(MOD(Months_To_Pay,12)=1," month"," months"),INT(Months_To_Pay/12)&amp;IF(INT(Months_To_Pay/12)=1," year"," years")&amp;IF(MOD(Months_To_Pay,12)=0,""," "&amp;MOD(Months_To_Pay,12)&amp;IF(MOD(Months_To_Pay,12)=1," month"," months")))))</f>
        <v>30 years</v>
      </c>
      <c r="E30" s="29" t="s">
        <v>331</v>
      </c>
    </row>
    <row r="31" customFormat="false" ht="17.35" hidden="false" customHeight="false" outlineLevel="0" collapsed="false">
      <c r="B31" s="17" t="s">
        <v>332</v>
      </c>
      <c r="C31" s="28" t="n">
        <f aca="false">IF(Months_To_Pay="Never","—",Monthly_Repayment*(Months_To_Pay-1)+Final_Payment-Used_Loan_Amount)</f>
        <v>200164.838897891</v>
      </c>
      <c r="D31" s="22" t="s">
        <v>207</v>
      </c>
      <c r="E31" s="29" t="s">
        <v>333</v>
      </c>
    </row>
    <row r="32" customFormat="false" ht="15" hidden="false" customHeight="false" outlineLevel="0" collapsed="false">
      <c r="B32" s="20" t="s">
        <v>334</v>
      </c>
      <c r="C32" s="30" t="n">
        <f aca="false">IF(Months_To_Pay="Never","—",Used_Loan_Amount+Total_Interest)</f>
        <v>500164.838897891</v>
      </c>
      <c r="D32" s="22" t="s">
        <v>207</v>
      </c>
      <c r="E32" s="29" t="s">
        <v>335</v>
      </c>
    </row>
    <row r="33" customFormat="false" ht="15" hidden="false" customHeight="false" outlineLevel="0" collapsed="false">
      <c r="B33" s="20" t="s">
        <v>336</v>
      </c>
      <c r="C33" s="50" t="n">
        <f aca="false">Used_Interest_Rate/12</f>
        <v>0.003125</v>
      </c>
      <c r="D33" s="22"/>
      <c r="E33" s="29" t="s">
        <v>337</v>
      </c>
    </row>
    <row r="34" customFormat="false" ht="15" hidden="false" customHeight="false" outlineLevel="0" collapsed="false">
      <c r="B34" s="20" t="s">
        <v>338</v>
      </c>
      <c r="C34" s="30" t="n">
        <f aca="false">PMT(Monthly_Rate,Used_Term_Years*12,-Used_Loan_Amount)</f>
        <v>1389.34677471638</v>
      </c>
      <c r="D34" s="22" t="s">
        <v>207</v>
      </c>
      <c r="E34" s="29" t="s">
        <v>339</v>
      </c>
    </row>
    <row r="35" customFormat="false" ht="22.35" hidden="false" customHeight="false" outlineLevel="0" collapsed="false">
      <c r="B35" s="20" t="s">
        <v>340</v>
      </c>
      <c r="C35" s="30" t="n">
        <f aca="false">IF(Months_To_Pay="Never","—",-FV(Monthly_Rate,Months_To_Pay-1,-Monthly_Repayment,Used_Loan_Amount)*(1+Monthly_Rate))</f>
        <v>1389.34677470926</v>
      </c>
      <c r="D35" s="22" t="s">
        <v>207</v>
      </c>
      <c r="E35" s="29" t="s">
        <v>341</v>
      </c>
    </row>
    <row r="36" customFormat="false" ht="15" hidden="false" customHeight="false" outlineLevel="0" collapsed="false">
      <c r="B36" s="20" t="s">
        <v>342</v>
      </c>
      <c r="C36" s="51" t="n">
        <f aca="false">MAX(0,Used_Interest_Rate+Rate_Change)</f>
        <v>0.0375</v>
      </c>
      <c r="D36" s="22" t="s">
        <v>222</v>
      </c>
      <c r="E36" s="29" t="s">
        <v>343</v>
      </c>
    </row>
    <row r="37" customFormat="false" ht="17.35" hidden="false" customHeight="false" outlineLevel="0" collapsed="false">
      <c r="B37" s="17" t="s">
        <v>344</v>
      </c>
      <c r="C37" s="28" t="n">
        <f aca="false">Monthly_Repayment+PMT(New_Rate/12,Used_Term_Years*12,-Used_Loan_Amount)-Formula_Repayment</f>
        <v>1389.34677471638</v>
      </c>
      <c r="D37" s="22" t="s">
        <v>207</v>
      </c>
      <c r="E37" s="29" t="s">
        <v>345</v>
      </c>
    </row>
    <row r="38" customFormat="false" ht="15" hidden="false" customHeight="false" outlineLevel="0" collapsed="false">
      <c r="B38" s="20" t="s">
        <v>346</v>
      </c>
      <c r="C38" s="30" t="n">
        <f aca="false">(Repayment_If_Changed-Monthly_Repayment)*12</f>
        <v>0</v>
      </c>
      <c r="D38" s="22" t="s">
        <v>207</v>
      </c>
      <c r="E38" s="29" t="s">
        <v>347</v>
      </c>
    </row>
    <row r="40" customFormat="false" ht="15" hidden="false" customHeight="false" outlineLevel="0" collapsed="false">
      <c r="B40" s="9" t="s">
        <v>271</v>
      </c>
      <c r="C40" s="10"/>
      <c r="D40" s="10"/>
      <c r="E40" s="10"/>
    </row>
    <row r="41" customFormat="false" ht="13.5" hidden="false" customHeight="true" outlineLevel="0" collapsed="false">
      <c r="B41" s="33" t="s">
        <v>348</v>
      </c>
      <c r="C41" s="33"/>
      <c r="D41" s="33"/>
      <c r="E41" s="33"/>
    </row>
    <row r="42" customFormat="false" ht="27.75" hidden="false" customHeight="true" outlineLevel="0" collapsed="false">
      <c r="B42" s="33" t="s">
        <v>349</v>
      </c>
      <c r="C42" s="33"/>
      <c r="D42" s="33"/>
      <c r="E42" s="33"/>
    </row>
    <row r="43" customFormat="false" ht="27.75" hidden="false" customHeight="true" outlineLevel="0" collapsed="false">
      <c r="B43" s="33" t="s">
        <v>350</v>
      </c>
      <c r="C43" s="33"/>
      <c r="D43" s="33"/>
      <c r="E43" s="33"/>
    </row>
    <row r="44" customFormat="false" ht="13.5" hidden="false" customHeight="true" outlineLevel="0" collapsed="false">
      <c r="B44" s="34" t="s">
        <v>275</v>
      </c>
      <c r="C44" s="34"/>
      <c r="D44" s="34"/>
      <c r="E44" s="34"/>
    </row>
    <row r="45" customFormat="false" ht="27.75" hidden="false" customHeight="true" outlineLevel="0" collapsed="false">
      <c r="B45" s="33" t="s">
        <v>351</v>
      </c>
      <c r="C45" s="33"/>
      <c r="D45" s="33"/>
      <c r="E45" s="33"/>
    </row>
    <row r="46" customFormat="false" ht="13.5" hidden="false" customHeight="true" outlineLevel="0" collapsed="false">
      <c r="B46" s="33" t="s">
        <v>352</v>
      </c>
      <c r="C46" s="33"/>
      <c r="D46" s="33"/>
      <c r="E46" s="33"/>
    </row>
    <row r="47" customFormat="false" ht="27.75" hidden="false" customHeight="true" outlineLevel="0" collapsed="false">
      <c r="B47" s="33" t="s">
        <v>353</v>
      </c>
      <c r="C47" s="33"/>
      <c r="D47" s="33"/>
      <c r="E47" s="33"/>
    </row>
    <row r="48" customFormat="false" ht="13.5" hidden="false" customHeight="true" outlineLevel="0" collapsed="false">
      <c r="B48" s="33" t="s">
        <v>279</v>
      </c>
      <c r="C48" s="33"/>
      <c r="D48" s="33"/>
      <c r="E48" s="33"/>
    </row>
    <row r="50" customFormat="false" ht="15" hidden="false" customHeight="false" outlineLevel="0" collapsed="false">
      <c r="B50" s="9" t="s">
        <v>280</v>
      </c>
      <c r="C50" s="10"/>
      <c r="D50" s="10"/>
      <c r="E50" s="10"/>
    </row>
    <row r="51" customFormat="false" ht="15" hidden="false" customHeight="false" outlineLevel="0" collapsed="false">
      <c r="B51" s="20" t="s">
        <v>281</v>
      </c>
      <c r="C51" s="35" t="str">
        <f aca="false">"Buy a home (deposit goal)"</f>
        <v>Buy a home (deposit goal)</v>
      </c>
      <c r="E51" s="36" t="s">
        <v>282</v>
      </c>
    </row>
    <row r="52" customFormat="false" ht="15" hidden="false" customHeight="false" outlineLevel="0" collapsed="false">
      <c r="B52" s="20" t="s">
        <v>354</v>
      </c>
      <c r="C52" s="37" t="n">
        <f aca="false">ROUND(Used_Loan_Amount*(1-LTV_Max)/LTV_Max,0)</f>
        <v>33333</v>
      </c>
      <c r="E52" s="36" t="s">
        <v>355</v>
      </c>
    </row>
    <row r="53" customFormat="false" ht="15" hidden="false" customHeight="false" outlineLevel="0" collapsed="false">
      <c r="B53" s="20" t="s">
        <v>287</v>
      </c>
      <c r="C53" s="38" t="n">
        <f aca="false">Home_Goal_Years</f>
        <v>3</v>
      </c>
      <c r="E53" s="36" t="s">
        <v>288</v>
      </c>
    </row>
    <row r="54" customFormat="false" ht="13.5" hidden="false" customHeight="true" outlineLevel="0" collapsed="false">
      <c r="B54" s="39" t="s">
        <v>356</v>
      </c>
      <c r="C54" s="39"/>
      <c r="D54" s="39"/>
      <c r="E54" s="39"/>
    </row>
  </sheetData>
  <mergeCells count="10">
    <mergeCell ref="B6:E6"/>
    <mergeCell ref="B41:E41"/>
    <mergeCell ref="B42:E42"/>
    <mergeCell ref="B43:E43"/>
    <mergeCell ref="B44:E44"/>
    <mergeCell ref="B45:E45"/>
    <mergeCell ref="B46:E46"/>
    <mergeCell ref="B47:E47"/>
    <mergeCell ref="B48:E48"/>
    <mergeCell ref="B54:E54"/>
  </mergeCells>
  <dataValidations count="11">
    <dataValidation allowBlank="true" error="Please enter €0 to €10,000,000." errorStyle="stop" errorTitle="Outside the allowed range" operator="between" prompt="Unit: €. Allowed: €0 to €10,000,000." promptTitle="Outstanding balance" showDropDown="false" showErrorMessage="true" showInputMessage="true" sqref="C7" type="decimal">
      <formula1>0</formula1>
      <formula2>10000000</formula2>
    </dataValidation>
    <dataValidation allowBlank="true" error="Please enter 0% to 15%." errorStyle="stop" errorTitle="Outside the allowed range" operator="between" prompt="Unit: %. Allowed: 0% to 15%." promptTitle="Interest rate" showDropDown="false" showErrorMessage="true" showInputMessage="true" sqref="C8" type="decimal">
      <formula1>0</formula1>
      <formula2>0.15</formula2>
    </dataValidation>
    <dataValidation allowBlank="true" error="Please enter 0 to 40." errorStyle="stop" errorTitle="Outside the allowed range" operator="between" prompt="Unit: years. Allowed: 0 to 40." promptTitle="Term remaining" showDropDown="false" showErrorMessage="true" showInputMessage="true" sqref="C9" type="whole">
      <formula1>0</formula1>
      <formula2>40</formula2>
    </dataValidation>
    <dataValidation allowBlank="true" error="Please enter €0 to €100,000." errorStyle="stop" errorTitle="Outside the allowed range" operator="between" prompt="Unit: €. Allowed: €0 to €100,000." promptTitle="Monthly repayment" showDropDown="false" showErrorMessage="true" showInputMessage="true" sqref="C10" type="decimal">
      <formula1>0</formula1>
      <formula2>100000</formula2>
    </dataValidation>
    <dataValidation allowBlank="true" error="Please enter a date (dd/mm/yyyy)." errorStyle="stop" errorTitle="Outside the allowed range" operator="greaterThan" prompt="Unit: date. Allowed: a date (dd/mm/yyyy)." promptTitle="Statement date" showDropDown="false" showErrorMessage="true" showInputMessage="true" sqref="C11" type="date">
      <formula1>36526</formula1>
      <formula2>0</formula2>
    </dataValidation>
    <dataValidation allowBlank="false" error="Please enter €50,000 to €10,000,000 · steps of €1,000." errorStyle="stop" errorTitle="Outside the allowed range" operator="between" prompt="Unit: €. Allowed: €50,000 to €10,000,000 · steps of €1,000." promptTitle="Mortgage amount" showDropDown="false" showErrorMessage="true" showInputMessage="true" sqref="C14" type="decimal">
      <formula1>50000</formula1>
      <formula2>10000000</formula2>
    </dataValidation>
    <dataValidation allowBlank="false" error="Please enter 1% to 8% · steps of 0.05%." errorStyle="stop" errorTitle="Outside the allowed range" operator="between" prompt="Suggested · change if you like. New Irish mortgages averaged about 3.5% in mid-2026. The ECB raised rates in September 2026, so new rates may rise. Your statement shows your own rate.  Allowed: 1% to 8% · steps of 0.05%." promptTitle="Interest rate" showDropDown="false" showErrorMessage="true" showInputMessage="true" sqref="C15" type="decimal">
      <formula1>0.01</formula1>
      <formula2>0.08</formula2>
    </dataValidation>
    <dataValidation allowBlank="false" error="Please enter 5 to 35 · steps of 1." errorStyle="stop" errorTitle="Outside the allowed range" operator="between" prompt="Unit: years. Allowed: 5 to 35 · steps of 1." promptTitle="Term" showDropDown="false" showErrorMessage="true" showInputMessage="true" sqref="C16" type="whole">
      <formula1>5</formula1>
      <formula2>35</formula2>
    </dataValidation>
    <dataValidation allowBlank="false" error="Please enter €0 to €100,000 · steps of €1." errorStyle="stop" errorTitle="Outside the allowed range" operator="between" prompt="Unit: €. Allowed: €0 to €100,000 · steps of €1." promptTitle="Your actual monthly repayment (o" showDropDown="false" showErrorMessage="true" showInputMessage="true" sqref="C17" type="decimal">
      <formula1>0</formula1>
      <formula2>100000</formula2>
    </dataValidation>
    <dataValidation allowBlank="false" error="Please enter 1 to 30 · steps of 1." errorStyle="stop" errorTitle="Outside the allowed range" operator="between" prompt="Suggested · change if you like. When you plan to buy; you can change it in the plan.  Allowed: 1 to 30 · steps of 1." promptTitle="Years until you buy (for the pla" showDropDown="false" showErrorMessage="true" showInputMessage="true" sqref="C18" type="whole">
      <formula1>1</formula1>
      <formula2>30</formula2>
    </dataValidation>
    <dataValidation allowBlank="false" error="Please enter -2% to 3% · steps of 0.25%." errorStyle="stop" errorTitle="Outside the allowed range" operator="between" prompt="Unit: %. Allowed: -2% to 3% · steps of 0.25%." promptTitle="What if: rates change by" showDropDown="false" showErrorMessage="true" showInputMessage="true" sqref="C19" type="decimal">
      <formula1>-0.02</formula1>
      <formula2>0.03</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G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50"/>
    <col collapsed="false" customWidth="true" hidden="false" outlineLevel="0" max="3" min="3" style="0" width="26"/>
    <col collapsed="false" customWidth="true" hidden="false" outlineLevel="0" max="4" min="4" style="0" width="24"/>
    <col collapsed="false" customWidth="true" hidden="false" outlineLevel="0" max="5" min="5" style="0" width="78"/>
    <col collapsed="false" customWidth="true" hidden="false" outlineLevel="0" max="6" min="6" style="0" width="2"/>
    <col collapsed="false" customWidth="true" hidden="false" outlineLevel="0" max="7" min="7" style="0" width="44"/>
  </cols>
  <sheetData>
    <row r="1" customFormat="false" ht="19.7" hidden="false" customHeight="false" outlineLevel="0" collapsed="false">
      <c r="B1" s="16" t="s">
        <v>357</v>
      </c>
      <c r="G1" s="2" t="s">
        <v>198</v>
      </c>
    </row>
    <row r="2" customFormat="false" ht="15" hidden="false" customHeight="false" outlineLevel="0" collapsed="false">
      <c r="B2" s="17" t="s">
        <v>358</v>
      </c>
      <c r="G2" s="2" t="s">
        <v>359</v>
      </c>
    </row>
    <row r="3" customFormat="false" ht="15" hidden="false" customHeight="false" outlineLevel="0" collapsed="false">
      <c r="B3" s="18" t="s">
        <v>360</v>
      </c>
    </row>
    <row r="5" customFormat="false" ht="15" hidden="false" customHeight="false" outlineLevel="0" collapsed="false">
      <c r="B5" s="9" t="s">
        <v>202</v>
      </c>
      <c r="C5" s="19" t="s">
        <v>203</v>
      </c>
      <c r="D5" s="19" t="s">
        <v>204</v>
      </c>
      <c r="E5" s="19" t="s">
        <v>205</v>
      </c>
    </row>
    <row r="6" customFormat="false" ht="15" hidden="false" customHeight="false" outlineLevel="0" collapsed="false">
      <c r="B6" s="20" t="s">
        <v>361</v>
      </c>
      <c r="C6" s="21" t="n">
        <v>350000</v>
      </c>
      <c r="D6" s="22" t="s">
        <v>207</v>
      </c>
      <c r="E6" s="2" t="s">
        <v>362</v>
      </c>
      <c r="G6" s="23" t="s">
        <v>363</v>
      </c>
    </row>
    <row r="7" customFormat="false" ht="15" hidden="false" customHeight="false" outlineLevel="0" collapsed="false">
      <c r="B7" s="20" t="s">
        <v>364</v>
      </c>
      <c r="C7" s="25" t="n">
        <v>0.1</v>
      </c>
      <c r="D7" s="22" t="s">
        <v>222</v>
      </c>
      <c r="E7" s="2" t="s">
        <v>365</v>
      </c>
      <c r="G7" s="23" t="s">
        <v>366</v>
      </c>
    </row>
    <row r="8" customFormat="false" ht="15" hidden="false" customHeight="false" outlineLevel="0" collapsed="false">
      <c r="B8" s="20" t="s">
        <v>229</v>
      </c>
      <c r="C8" s="21" t="n">
        <v>3000</v>
      </c>
      <c r="D8" s="22" t="s">
        <v>207</v>
      </c>
      <c r="E8" s="26" t="s">
        <v>230</v>
      </c>
      <c r="G8" s="23" t="s">
        <v>231</v>
      </c>
    </row>
    <row r="9" customFormat="false" ht="15" hidden="false" customHeight="false" outlineLevel="0" collapsed="false">
      <c r="B9" s="20" t="s">
        <v>367</v>
      </c>
      <c r="C9" s="21" t="n">
        <v>12000</v>
      </c>
      <c r="D9" s="22" t="s">
        <v>207</v>
      </c>
      <c r="E9" s="2" t="s">
        <v>368</v>
      </c>
      <c r="G9" s="23" t="s">
        <v>369</v>
      </c>
    </row>
    <row r="10" customFormat="false" ht="15" hidden="false" customHeight="false" outlineLevel="0" collapsed="false">
      <c r="B10" s="20" t="s">
        <v>370</v>
      </c>
      <c r="C10" s="21" t="n">
        <v>800</v>
      </c>
      <c r="D10" s="22" t="s">
        <v>207</v>
      </c>
      <c r="E10" s="2" t="s">
        <v>371</v>
      </c>
      <c r="G10" s="23" t="s">
        <v>372</v>
      </c>
    </row>
    <row r="11" customFormat="false" ht="15" hidden="false" customHeight="false" outlineLevel="0" collapsed="false">
      <c r="B11" s="20" t="s">
        <v>373</v>
      </c>
      <c r="C11" s="21" t="n">
        <v>0</v>
      </c>
      <c r="D11" s="22" t="s">
        <v>207</v>
      </c>
      <c r="E11" s="2" t="s">
        <v>374</v>
      </c>
      <c r="G11" s="23" t="s">
        <v>237</v>
      </c>
    </row>
    <row r="13" customFormat="false" ht="15" hidden="false" customHeight="false" outlineLevel="0" collapsed="false">
      <c r="B13" s="9" t="s">
        <v>238</v>
      </c>
      <c r="C13" s="19" t="s">
        <v>239</v>
      </c>
      <c r="D13" s="19" t="s">
        <v>240</v>
      </c>
      <c r="E13" s="19" t="s">
        <v>241</v>
      </c>
    </row>
    <row r="14" customFormat="false" ht="17.35" hidden="false" customHeight="false" outlineLevel="0" collapsed="false">
      <c r="B14" s="17" t="s">
        <v>375</v>
      </c>
      <c r="C14" s="48" t="n">
        <f aca="false">IF(Still_To_Save=0,0,ROUNDUP(Still_To_Save/(Monthly_Saving+Extra_Saving),0))</f>
        <v>37</v>
      </c>
      <c r="D14" s="49" t="str">
        <f aca="false">IF(Months_To_Deposit=0,"You have your deposit",IF(INT(Months_To_Deposit/12)=0,MOD(Months_To_Deposit,12)&amp;IF(MOD(Months_To_Deposit,12)=1," month"," months"),INT(Months_To_Deposit/12)&amp;IF(INT(Months_To_Deposit/12)=1," year"," years")&amp;IF(MOD(Months_To_Deposit,12)=0,""," "&amp;MOD(Months_To_Deposit,12)&amp;IF(MOD(Months_To_Deposit,12)=1," month"," months"))))</f>
        <v>3 years 1 month</v>
      </c>
      <c r="E14" s="29" t="s">
        <v>376</v>
      </c>
    </row>
    <row r="15" customFormat="false" ht="17.35" hidden="false" customHeight="false" outlineLevel="0" collapsed="false">
      <c r="B15" s="17" t="s">
        <v>377</v>
      </c>
      <c r="C15" s="28" t="n">
        <f aca="false">Deposit_Needed+Stamp_Duty+Buying_Fees</f>
        <v>41500</v>
      </c>
      <c r="D15" s="22" t="s">
        <v>207</v>
      </c>
      <c r="E15" s="29" t="s">
        <v>378</v>
      </c>
    </row>
    <row r="16" customFormat="false" ht="17.35" hidden="false" customHeight="false" outlineLevel="0" collapsed="false">
      <c r="B16" s="17" t="s">
        <v>379</v>
      </c>
      <c r="C16" s="28" t="n">
        <f aca="false">MAX(0,Total_Needed-Saved)</f>
        <v>29500</v>
      </c>
      <c r="D16" s="22" t="s">
        <v>207</v>
      </c>
      <c r="E16" s="29" t="s">
        <v>380</v>
      </c>
    </row>
    <row r="17" customFormat="false" ht="15" hidden="false" customHeight="false" outlineLevel="0" collapsed="false">
      <c r="B17" s="20" t="s">
        <v>381</v>
      </c>
      <c r="C17" s="30" t="n">
        <f aca="false">Home_Price*Deposit_Pct</f>
        <v>35000</v>
      </c>
      <c r="D17" s="22" t="s">
        <v>207</v>
      </c>
      <c r="E17" s="29" t="s">
        <v>382</v>
      </c>
    </row>
    <row r="18" customFormat="false" ht="22.35" hidden="false" customHeight="false" outlineLevel="0" collapsed="false">
      <c r="B18" s="20" t="s">
        <v>383</v>
      </c>
      <c r="C18" s="30" t="n">
        <f aca="false">SD_Rate_1*MIN(Home_Price,SD_Band_1)+SD_Rate_2*MAX(0,MIN(Home_Price,SD_Band_2)-SD_Band_1)+SD_Rate_3*MAX(0,Home_Price-SD_Band_2)</f>
        <v>3500</v>
      </c>
      <c r="D18" s="22" t="s">
        <v>207</v>
      </c>
      <c r="E18" s="29" t="s">
        <v>249</v>
      </c>
    </row>
    <row r="20" customFormat="false" ht="15" hidden="false" customHeight="false" outlineLevel="0" collapsed="false">
      <c r="B20" s="9" t="s">
        <v>271</v>
      </c>
      <c r="C20" s="10"/>
      <c r="D20" s="10"/>
      <c r="E20" s="10"/>
    </row>
    <row r="21" customFormat="false" ht="13.5" hidden="false" customHeight="true" outlineLevel="0" collapsed="false">
      <c r="B21" s="33" t="s">
        <v>384</v>
      </c>
      <c r="C21" s="33"/>
      <c r="D21" s="33"/>
      <c r="E21" s="33"/>
    </row>
    <row r="22" customFormat="false" ht="13.5" hidden="false" customHeight="true" outlineLevel="0" collapsed="false">
      <c r="B22" s="33" t="s">
        <v>385</v>
      </c>
      <c r="C22" s="33"/>
      <c r="D22" s="33"/>
      <c r="E22" s="33"/>
    </row>
    <row r="23" customFormat="false" ht="13.5" hidden="false" customHeight="true" outlineLevel="0" collapsed="false">
      <c r="B23" s="34" t="s">
        <v>275</v>
      </c>
      <c r="C23" s="34"/>
      <c r="D23" s="34"/>
      <c r="E23" s="34"/>
    </row>
    <row r="24" customFormat="false" ht="13.5" hidden="false" customHeight="true" outlineLevel="0" collapsed="false">
      <c r="B24" s="33" t="s">
        <v>386</v>
      </c>
      <c r="C24" s="33"/>
      <c r="D24" s="33"/>
      <c r="E24" s="33"/>
    </row>
    <row r="25" customFormat="false" ht="13.5" hidden="false" customHeight="true" outlineLevel="0" collapsed="false">
      <c r="B25" s="33" t="s">
        <v>387</v>
      </c>
      <c r="C25" s="33"/>
      <c r="D25" s="33"/>
      <c r="E25" s="33"/>
    </row>
    <row r="26" customFormat="false" ht="13.5" hidden="false" customHeight="true" outlineLevel="0" collapsed="false">
      <c r="B26" s="33" t="s">
        <v>388</v>
      </c>
      <c r="C26" s="33"/>
      <c r="D26" s="33"/>
      <c r="E26" s="33"/>
    </row>
    <row r="28" customFormat="false" ht="15" hidden="false" customHeight="false" outlineLevel="0" collapsed="false">
      <c r="B28" s="9" t="s">
        <v>280</v>
      </c>
      <c r="C28" s="10"/>
      <c r="D28" s="10"/>
      <c r="E28" s="10"/>
    </row>
    <row r="29" customFormat="false" ht="15" hidden="false" customHeight="false" outlineLevel="0" collapsed="false">
      <c r="B29" s="20" t="s">
        <v>281</v>
      </c>
      <c r="C29" s="35" t="str">
        <f aca="false">"Home deposit"</f>
        <v>Home deposit</v>
      </c>
      <c r="E29" s="36" t="s">
        <v>389</v>
      </c>
    </row>
    <row r="30" customFormat="false" ht="15" hidden="false" customHeight="false" outlineLevel="0" collapsed="false">
      <c r="B30" s="20" t="s">
        <v>390</v>
      </c>
      <c r="C30" s="37" t="n">
        <f aca="false">ROUND(Total_Needed,0)</f>
        <v>41500</v>
      </c>
      <c r="E30" s="36" t="s">
        <v>391</v>
      </c>
    </row>
    <row r="31" customFormat="false" ht="15" hidden="false" customHeight="false" outlineLevel="0" collapsed="false">
      <c r="B31" s="20" t="s">
        <v>285</v>
      </c>
      <c r="C31" s="37" t="n">
        <f aca="false">Saved</f>
        <v>12000</v>
      </c>
      <c r="E31" s="36" t="s">
        <v>392</v>
      </c>
    </row>
    <row r="32" customFormat="false" ht="15" hidden="false" customHeight="false" outlineLevel="0" collapsed="false">
      <c r="B32" s="20" t="s">
        <v>287</v>
      </c>
      <c r="C32" s="38" t="n">
        <f aca="false">MAX(1,ROUNDUP(Months_To_Deposit/12,0))</f>
        <v>4</v>
      </c>
      <c r="E32" s="36" t="s">
        <v>393</v>
      </c>
    </row>
  </sheetData>
  <mergeCells count="6">
    <mergeCell ref="B21:E21"/>
    <mergeCell ref="B22:E22"/>
    <mergeCell ref="B23:E23"/>
    <mergeCell ref="B24:E24"/>
    <mergeCell ref="B25:E25"/>
    <mergeCell ref="B26:E26"/>
  </mergeCells>
  <dataValidations count="6">
    <dataValidation allowBlank="false" error="Please enter €100,000 to €10,000,000 · steps of €5,000." errorStyle="stop" errorTitle="Outside the allowed range" operator="between" prompt="Unit: €. Allowed: €100,000 to €10,000,000 · steps of €5,000." promptTitle="Home price" showDropDown="false" showErrorMessage="true" showInputMessage="true" sqref="C6" type="decimal">
      <formula1>100000</formula1>
      <formula2>10000000</formula2>
    </dataValidation>
    <dataValidation allowBlank="false" error="Please enter 10% to 30% · steps of 1%." errorStyle="stop" errorTitle="Outside the allowed range" operator="between" prompt="Unit: %. Allowed: 10% to 30% · steps of 1%." promptTitle="Deposit needed" showDropDown="false" showErrorMessage="true" showInputMessage="true" sqref="C7" type="decimal">
      <formula1>0.1</formula1>
      <formula2>0.3</formula2>
    </dataValidation>
    <dataValidation allowBlank="false" error="Please enter €0 to €10,000 · steps of €100." errorStyle="stop" errorTitle="Outside the allowed range" operator="between" prompt="Suggested · change if you like. Legal and other buying fees are usually about €2,500–€3,500 (stamp duty is worked out for you).  Allowed: €0 to €10,000 · steps of €100." promptTitle="Legal and other buying fees" showDropDown="false" showErrorMessage="true" showInputMessage="true" sqref="C8" type="decimal">
      <formula1>0</formula1>
      <formula2>10000</formula2>
    </dataValidation>
    <dataValidation allowBlank="false" error="Please enter €0 to €2,000,000 · steps of €500." errorStyle="stop" errorTitle="Outside the allowed range" operator="between" prompt="Unit: €. Allowed: €0 to €2,000,000 · steps of €500." promptTitle="Saved so far" showDropDown="false" showErrorMessage="true" showInputMessage="true" sqref="C9" type="decimal">
      <formula1>0</formula1>
      <formula2>2000000</formula2>
    </dataValidation>
    <dataValidation allowBlank="false" error="Please enter €50 to €50,000 · steps of €50." errorStyle="stop" errorTitle="Outside the allowed range" operator="between" prompt="Unit: €. Allowed: €50 to €50,000 · steps of €50." promptTitle="Monthly saving" showDropDown="false" showErrorMessage="true" showInputMessage="true" sqref="C10" type="decimal">
      <formula1>50</formula1>
      <formula2>50000</formula2>
    </dataValidation>
    <dataValidation allowBlank="false" error="Please enter €0 to €15,000 · steps of €50." errorStyle="stop" errorTitle="Outside the allowed range" operator="between" prompt="Unit: €. Allowed: €0 to €15,000 · steps of €50." promptTitle="What if: save extra each month" showDropDown="false" showErrorMessage="true" showInputMessage="true" sqref="C11" type="decimal">
      <formula1>0</formula1>
      <formula2>15000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G5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50"/>
    <col collapsed="false" customWidth="true" hidden="false" outlineLevel="0" max="3" min="3" style="0" width="26"/>
    <col collapsed="false" customWidth="true" hidden="false" outlineLevel="0" max="4" min="4" style="0" width="24"/>
    <col collapsed="false" customWidth="true" hidden="false" outlineLevel="0" max="5" min="5" style="0" width="78"/>
    <col collapsed="false" customWidth="true" hidden="false" outlineLevel="0" max="6" min="6" style="0" width="2"/>
    <col collapsed="false" customWidth="true" hidden="false" outlineLevel="0" max="7" min="7" style="0" width="44"/>
  </cols>
  <sheetData>
    <row r="1" customFormat="false" ht="19.7" hidden="false" customHeight="false" outlineLevel="0" collapsed="false">
      <c r="B1" s="16" t="s">
        <v>394</v>
      </c>
      <c r="G1" s="2" t="s">
        <v>198</v>
      </c>
    </row>
    <row r="2" customFormat="false" ht="15" hidden="false" customHeight="false" outlineLevel="0" collapsed="false">
      <c r="B2" s="17" t="s">
        <v>395</v>
      </c>
      <c r="G2" s="2" t="s">
        <v>396</v>
      </c>
    </row>
    <row r="3" customFormat="false" ht="15" hidden="false" customHeight="false" outlineLevel="0" collapsed="false">
      <c r="B3" s="18" t="s">
        <v>397</v>
      </c>
    </row>
    <row r="5" customFormat="false" ht="15" hidden="false" customHeight="false" outlineLevel="0" collapsed="false">
      <c r="B5" s="9" t="s">
        <v>293</v>
      </c>
      <c r="C5" s="10"/>
      <c r="D5" s="10"/>
      <c r="E5" s="10"/>
    </row>
    <row r="6" customFormat="false" ht="27.75" hidden="false" customHeight="true" outlineLevel="0" collapsed="false">
      <c r="B6" s="39" t="s">
        <v>294</v>
      </c>
      <c r="C6" s="39"/>
      <c r="D6" s="39"/>
      <c r="E6" s="39"/>
    </row>
    <row r="7" customFormat="false" ht="15" hidden="false" customHeight="false" outlineLevel="0" collapsed="false">
      <c r="B7" s="20" t="s">
        <v>295</v>
      </c>
      <c r="C7" s="40"/>
      <c r="D7" s="22" t="s">
        <v>207</v>
      </c>
      <c r="E7" s="2" t="s">
        <v>296</v>
      </c>
      <c r="G7" s="23" t="s">
        <v>297</v>
      </c>
    </row>
    <row r="8" customFormat="false" ht="15" hidden="false" customHeight="false" outlineLevel="0" collapsed="false">
      <c r="B8" s="20" t="s">
        <v>298</v>
      </c>
      <c r="C8" s="41"/>
      <c r="D8" s="22" t="s">
        <v>222</v>
      </c>
      <c r="E8" s="2" t="s">
        <v>299</v>
      </c>
      <c r="G8" s="23" t="s">
        <v>297</v>
      </c>
    </row>
    <row r="9" customFormat="false" ht="15" hidden="false" customHeight="false" outlineLevel="0" collapsed="false">
      <c r="B9" s="20" t="s">
        <v>300</v>
      </c>
      <c r="C9" s="42"/>
      <c r="D9" s="22" t="s">
        <v>226</v>
      </c>
      <c r="E9" s="2" t="s">
        <v>301</v>
      </c>
      <c r="G9" s="23" t="s">
        <v>297</v>
      </c>
    </row>
    <row r="10" customFormat="false" ht="15" hidden="false" customHeight="false" outlineLevel="0" collapsed="false">
      <c r="B10" s="20" t="s">
        <v>302</v>
      </c>
      <c r="C10" s="40"/>
      <c r="D10" s="22" t="s">
        <v>207</v>
      </c>
      <c r="E10" s="2" t="s">
        <v>303</v>
      </c>
      <c r="G10" s="23" t="s">
        <v>297</v>
      </c>
    </row>
    <row r="11" customFormat="false" ht="15" hidden="false" customHeight="false" outlineLevel="0" collapsed="false">
      <c r="B11" s="20" t="s">
        <v>304</v>
      </c>
      <c r="C11" s="43"/>
      <c r="D11" s="22" t="s">
        <v>305</v>
      </c>
      <c r="E11" s="2" t="s">
        <v>306</v>
      </c>
      <c r="G11" s="23" t="s">
        <v>297</v>
      </c>
    </row>
    <row r="13" customFormat="false" ht="15" hidden="false" customHeight="false" outlineLevel="0" collapsed="false">
      <c r="B13" s="9" t="s">
        <v>307</v>
      </c>
      <c r="C13" s="19" t="s">
        <v>203</v>
      </c>
      <c r="D13" s="19" t="s">
        <v>204</v>
      </c>
      <c r="E13" s="19" t="s">
        <v>205</v>
      </c>
    </row>
    <row r="14" customFormat="false" ht="15" hidden="false" customHeight="false" outlineLevel="0" collapsed="false">
      <c r="B14" s="20" t="s">
        <v>398</v>
      </c>
      <c r="C14" s="21" t="n">
        <v>250000</v>
      </c>
      <c r="D14" s="22" t="s">
        <v>207</v>
      </c>
      <c r="E14" s="2" t="s">
        <v>399</v>
      </c>
      <c r="G14" s="23" t="s">
        <v>400</v>
      </c>
    </row>
    <row r="15" customFormat="false" ht="15" hidden="false" customHeight="false" outlineLevel="0" collapsed="false">
      <c r="B15" s="20" t="s">
        <v>298</v>
      </c>
      <c r="C15" s="25" t="n">
        <v>0.0375</v>
      </c>
      <c r="D15" s="22" t="s">
        <v>222</v>
      </c>
      <c r="E15" s="26" t="s">
        <v>223</v>
      </c>
      <c r="G15" s="23" t="s">
        <v>401</v>
      </c>
    </row>
    <row r="16" customFormat="false" ht="15" hidden="false" customHeight="false" outlineLevel="0" collapsed="false">
      <c r="B16" s="20" t="s">
        <v>402</v>
      </c>
      <c r="C16" s="27" t="n">
        <v>25</v>
      </c>
      <c r="D16" s="22" t="s">
        <v>226</v>
      </c>
      <c r="E16" s="2" t="s">
        <v>403</v>
      </c>
      <c r="G16" s="23" t="s">
        <v>404</v>
      </c>
    </row>
    <row r="17" customFormat="false" ht="15" hidden="false" customHeight="false" outlineLevel="0" collapsed="false">
      <c r="B17" s="20" t="s">
        <v>405</v>
      </c>
      <c r="C17" s="21" t="n">
        <v>200</v>
      </c>
      <c r="D17" s="22" t="s">
        <v>207</v>
      </c>
      <c r="E17" s="2" t="s">
        <v>406</v>
      </c>
      <c r="G17" s="23" t="s">
        <v>407</v>
      </c>
    </row>
    <row r="18" customFormat="false" ht="15" hidden="false" customHeight="false" outlineLevel="0" collapsed="false">
      <c r="B18" s="20" t="s">
        <v>315</v>
      </c>
      <c r="C18" s="21" t="n">
        <v>0</v>
      </c>
      <c r="D18" s="22" t="s">
        <v>207</v>
      </c>
      <c r="E18" s="2" t="s">
        <v>316</v>
      </c>
      <c r="G18" s="23" t="s">
        <v>317</v>
      </c>
    </row>
    <row r="20" customFormat="false" ht="15" hidden="false" customHeight="false" outlineLevel="0" collapsed="false">
      <c r="B20" s="9" t="s">
        <v>321</v>
      </c>
      <c r="C20" s="10"/>
      <c r="D20" s="10"/>
      <c r="E20" s="10"/>
    </row>
    <row r="21" customFormat="false" ht="15" hidden="false" customHeight="false" outlineLevel="0" collapsed="false">
      <c r="B21" s="20" t="s">
        <v>398</v>
      </c>
      <c r="C21" s="44" t="n">
        <f aca="false">IF(ISBLANK(Stmt_Balance),Mortgage_Balance,Stmt_Balance)</f>
        <v>250000</v>
      </c>
      <c r="D21" s="45" t="str">
        <f aca="false">IF(ISBLANK(Stmt_Balance),"Your figure","From your statement")</f>
        <v>Your figure</v>
      </c>
      <c r="E21" s="36" t="s">
        <v>408</v>
      </c>
    </row>
    <row r="22" customFormat="false" ht="15" hidden="false" customHeight="false" outlineLevel="0" collapsed="false">
      <c r="B22" s="20" t="s">
        <v>298</v>
      </c>
      <c r="C22" s="46" t="n">
        <f aca="false">IF(ISBLANK(Stmt_Rate),Interest_Rate,Stmt_Rate)</f>
        <v>0.0375</v>
      </c>
      <c r="D22" s="45" t="str">
        <f aca="false">IF(ISBLANK(Stmt_Rate),"Your figure","From your statement")</f>
        <v>Your figure</v>
      </c>
      <c r="E22" s="36" t="s">
        <v>323</v>
      </c>
    </row>
    <row r="23" customFormat="false" ht="15" hidden="false" customHeight="false" outlineLevel="0" collapsed="false">
      <c r="B23" s="20" t="s">
        <v>402</v>
      </c>
      <c r="C23" s="47" t="n">
        <f aca="false">IF(ISBLANK(Stmt_Term),Years_Left,Stmt_Term)</f>
        <v>25</v>
      </c>
      <c r="D23" s="45" t="str">
        <f aca="false">IF(ISBLANK(Stmt_Term),"Your figure","From your statement")</f>
        <v>Your figure</v>
      </c>
      <c r="E23" s="36" t="s">
        <v>409</v>
      </c>
    </row>
    <row r="24" customFormat="false" ht="15" hidden="false" customHeight="false" outlineLevel="0" collapsed="false">
      <c r="B24" s="20" t="s">
        <v>325</v>
      </c>
      <c r="C24" s="44" t="n">
        <f aca="false">IF(ISBLANK(Stmt_Repayment),Actual_Repayment,Stmt_Repayment)</f>
        <v>0</v>
      </c>
      <c r="D24" s="45" t="str">
        <f aca="false">IF(ISBLANK(Stmt_Repayment),"Your figure","From your statement")</f>
        <v>Your figure</v>
      </c>
      <c r="E24" s="36" t="s">
        <v>326</v>
      </c>
    </row>
    <row r="25" customFormat="false" ht="22.35" hidden="false" customHeight="false" outlineLevel="0" collapsed="false">
      <c r="B25" s="20" t="s">
        <v>327</v>
      </c>
      <c r="C25" s="32" t="str">
        <f aca="true">IF(ISBLANK(Stmt_Statement_Date),"",IF(TODAY()-Stmt_Statement_Date&gt;Statement_Max_Age_Days,"Needs a look: statement is more than 12 months old","Up to date"))</f>
        <v/>
      </c>
      <c r="D25" s="22"/>
      <c r="E25" s="29" t="s">
        <v>328</v>
      </c>
    </row>
    <row r="27" customFormat="false" ht="15" hidden="false" customHeight="false" outlineLevel="0" collapsed="false">
      <c r="B27" s="9" t="s">
        <v>238</v>
      </c>
      <c r="C27" s="19" t="s">
        <v>239</v>
      </c>
      <c r="D27" s="19" t="s">
        <v>240</v>
      </c>
      <c r="E27" s="19" t="s">
        <v>241</v>
      </c>
    </row>
    <row r="28" customFormat="false" ht="17.35" hidden="false" customHeight="false" outlineLevel="0" collapsed="false">
      <c r="B28" s="17" t="s">
        <v>410</v>
      </c>
      <c r="C28" s="48" t="n">
        <f aca="false">IF(OR(Months_Now="Never",Months_With_Extra="Never"),"—",Months_Now-Months_With_Extra)</f>
        <v>60</v>
      </c>
      <c r="D28" s="49" t="str">
        <f aca="false">IF(Months_Sooner="—","—",IF(Months_Sooner=0,"No change",IF(INT(Months_Sooner/12)=0,MOD(Months_Sooner,12)&amp;IF(MOD(Months_Sooner,12)=1," month"," months"),INT(Months_Sooner/12)&amp;IF(INT(Months_Sooner/12)=1," year"," years")&amp;IF(MOD(Months_Sooner,12)=0,""," "&amp;MOD(Months_Sooner,12)&amp;IF(MOD(Months_Sooner,12)=1," month"," months")))))</f>
        <v>5 years</v>
      </c>
      <c r="E28" s="29" t="s">
        <v>411</v>
      </c>
    </row>
    <row r="29" customFormat="false" ht="17.35" hidden="false" customHeight="false" outlineLevel="0" collapsed="false">
      <c r="B29" s="17" t="s">
        <v>412</v>
      </c>
      <c r="C29" s="28" t="n">
        <f aca="false">IF(OR(Months_Now="Never",Months_With_Extra="Never"),"—",Interest_Now-Interest_With_Extra)</f>
        <v>30227.8615012619</v>
      </c>
      <c r="D29" s="22" t="s">
        <v>207</v>
      </c>
      <c r="E29" s="29" t="s">
        <v>413</v>
      </c>
    </row>
    <row r="30" customFormat="false" ht="22.35" hidden="false" customHeight="false" outlineLevel="0" collapsed="false">
      <c r="B30" s="20" t="s">
        <v>414</v>
      </c>
      <c r="C30" s="52" t="n">
        <f aca="false">IF(Repayment_Now&lt;=Used_Mortgage_Balance*Monthly_Rate,"Never",ROUNDUP(ROUND(NPER(Monthly_Rate,-Repayment_Now,Used_Mortgage_Balance),6),0))</f>
        <v>300</v>
      </c>
      <c r="D30" s="53" t="str">
        <f aca="false">IF(Months_Now="Never","Not at this repayment",IF(Months_Now&gt;Cap_Months,"Over 100 years",IF(INT(Months_Now/12)=0,MOD(Months_Now,12)&amp;IF(MOD(Months_Now,12)=1," month"," months"),INT(Months_Now/12)&amp;IF(INT(Months_Now/12)=1," year"," years")&amp;IF(MOD(Months_Now,12)=0,""," "&amp;MOD(Months_Now,12)&amp;IF(MOD(Months_Now,12)=1," month"," months")))))</f>
        <v>25 years</v>
      </c>
      <c r="E30" s="29" t="s">
        <v>415</v>
      </c>
    </row>
    <row r="31" customFormat="false" ht="22.35" hidden="false" customHeight="false" outlineLevel="0" collapsed="false">
      <c r="B31" s="20" t="s">
        <v>416</v>
      </c>
      <c r="C31" s="52" t="n">
        <f aca="false">IF(Repayment_With_Extra&lt;=Used_Mortgage_Balance*Monthly_Rate,"Never",ROUNDUP(ROUND(NPER(Monthly_Rate,-Repayment_With_Extra,Used_Mortgage_Balance),6),0))</f>
        <v>240</v>
      </c>
      <c r="D31" s="53" t="str">
        <f aca="false">IF(Months_With_Extra="Never","—",IF(Months_With_Extra&gt;Cap_Months,"Over 100 years",IF(INT(Months_With_Extra/12)=0,MOD(Months_With_Extra,12)&amp;IF(MOD(Months_With_Extra,12)=1," month"," months"),INT(Months_With_Extra/12)&amp;IF(INT(Months_With_Extra/12)=1," year"," years")&amp;IF(MOD(Months_With_Extra,12)=0,""," "&amp;MOD(Months_With_Extra,12)&amp;IF(MOD(Months_With_Extra,12)=1," month"," months")))))</f>
        <v>20 years</v>
      </c>
      <c r="E31" s="29" t="s">
        <v>417</v>
      </c>
    </row>
    <row r="32" customFormat="false" ht="15" hidden="false" customHeight="false" outlineLevel="0" collapsed="false">
      <c r="B32" s="20" t="s">
        <v>336</v>
      </c>
      <c r="C32" s="50" t="n">
        <f aca="false">Used_Interest_Rate/12</f>
        <v>0.003125</v>
      </c>
      <c r="D32" s="22"/>
      <c r="E32" s="29" t="s">
        <v>337</v>
      </c>
    </row>
    <row r="33" customFormat="false" ht="15" hidden="false" customHeight="false" outlineLevel="0" collapsed="false">
      <c r="B33" s="20" t="s">
        <v>418</v>
      </c>
      <c r="C33" s="30" t="n">
        <f aca="false">IF(Used_Actual_Repayment&gt;0,Used_Actual_Repayment,PMT(Monthly_Rate,Used_Years_Left*12,-Used_Mortgage_Balance))</f>
        <v>1285.32799900589</v>
      </c>
      <c r="D33" s="22" t="s">
        <v>207</v>
      </c>
      <c r="E33" s="29" t="s">
        <v>419</v>
      </c>
    </row>
    <row r="34" customFormat="false" ht="15" hidden="false" customHeight="false" outlineLevel="0" collapsed="false">
      <c r="B34" s="20" t="s">
        <v>420</v>
      </c>
      <c r="C34" s="30" t="n">
        <f aca="false">Repayment_Now+Extra_Payment</f>
        <v>1485.32799900589</v>
      </c>
      <c r="D34" s="22" t="s">
        <v>207</v>
      </c>
      <c r="E34" s="29" t="s">
        <v>421</v>
      </c>
    </row>
    <row r="35" customFormat="false" ht="22.35" hidden="false" customHeight="false" outlineLevel="0" collapsed="false">
      <c r="B35" s="20" t="s">
        <v>422</v>
      </c>
      <c r="C35" s="30" t="n">
        <f aca="false">IF(Months_Now="Never","—",-FV(Monthly_Rate,Months_Now-1,-Repayment_Now,Used_Mortgage_Balance)*(1+Monthly_Rate))</f>
        <v>1285.32799900045</v>
      </c>
      <c r="D35" s="22" t="s">
        <v>207</v>
      </c>
      <c r="E35" s="29" t="s">
        <v>423</v>
      </c>
    </row>
    <row r="36" customFormat="false" ht="22.35" hidden="false" customHeight="false" outlineLevel="0" collapsed="false">
      <c r="B36" s="20" t="s">
        <v>424</v>
      </c>
      <c r="C36" s="30" t="n">
        <f aca="false">IF(Months_With_Extra="Never","—",-FV(Monthly_Rate,Months_With_Extra-1,-Repayment_With_Extra,Used_Mortgage_Balance)*(1+Monthly_Rate))</f>
        <v>377.1464380919</v>
      </c>
      <c r="D36" s="22" t="s">
        <v>207</v>
      </c>
      <c r="E36" s="29" t="s">
        <v>425</v>
      </c>
    </row>
    <row r="37" customFormat="false" ht="15" hidden="false" customHeight="false" outlineLevel="0" collapsed="false">
      <c r="B37" s="20" t="s">
        <v>426</v>
      </c>
      <c r="C37" s="30" t="n">
        <f aca="false">IF(Months_Now="Never","—",Repayment_Now*(Months_Now-1)+Last_Payment_Now-Used_Mortgage_Balance)</f>
        <v>135598.399701761</v>
      </c>
      <c r="D37" s="22" t="s">
        <v>207</v>
      </c>
      <c r="E37" s="29" t="s">
        <v>427</v>
      </c>
    </row>
    <row r="38" customFormat="false" ht="22.35" hidden="false" customHeight="false" outlineLevel="0" collapsed="false">
      <c r="B38" s="20" t="s">
        <v>428</v>
      </c>
      <c r="C38" s="30" t="n">
        <f aca="false">IF(Months_With_Extra="Never","—",Repayment_With_Extra*(Months_With_Extra-1)+Last_Payment_With_Extra-Used_Mortgage_Balance)</f>
        <v>105370.538200499</v>
      </c>
      <c r="D38" s="22" t="s">
        <v>207</v>
      </c>
      <c r="E38" s="29" t="s">
        <v>429</v>
      </c>
    </row>
    <row r="40" customFormat="false" ht="15" hidden="false" customHeight="false" outlineLevel="0" collapsed="false">
      <c r="B40" s="9" t="s">
        <v>271</v>
      </c>
      <c r="C40" s="10"/>
      <c r="D40" s="10"/>
      <c r="E40" s="10"/>
    </row>
    <row r="41" customFormat="false" ht="13.5" hidden="false" customHeight="true" outlineLevel="0" collapsed="false">
      <c r="B41" s="33" t="s">
        <v>430</v>
      </c>
      <c r="C41" s="33"/>
      <c r="D41" s="33"/>
      <c r="E41" s="33"/>
    </row>
    <row r="42" customFormat="false" ht="27.75" hidden="false" customHeight="true" outlineLevel="0" collapsed="false">
      <c r="B42" s="33" t="s">
        <v>431</v>
      </c>
      <c r="C42" s="33"/>
      <c r="D42" s="33"/>
      <c r="E42" s="33"/>
    </row>
    <row r="43" customFormat="false" ht="13.5" hidden="false" customHeight="true" outlineLevel="0" collapsed="false">
      <c r="B43" s="34" t="s">
        <v>275</v>
      </c>
      <c r="C43" s="34"/>
      <c r="D43" s="34"/>
      <c r="E43" s="34"/>
    </row>
    <row r="44" customFormat="false" ht="13.5" hidden="false" customHeight="true" outlineLevel="0" collapsed="false">
      <c r="B44" s="33" t="s">
        <v>432</v>
      </c>
      <c r="C44" s="33"/>
      <c r="D44" s="33"/>
      <c r="E44" s="33"/>
    </row>
    <row r="45" customFormat="false" ht="13.5" hidden="false" customHeight="true" outlineLevel="0" collapsed="false">
      <c r="B45" s="33" t="s">
        <v>433</v>
      </c>
      <c r="C45" s="33"/>
      <c r="D45" s="33"/>
      <c r="E45" s="33"/>
    </row>
    <row r="46" customFormat="false" ht="13.5" hidden="false" customHeight="true" outlineLevel="0" collapsed="false">
      <c r="B46" s="33" t="s">
        <v>352</v>
      </c>
      <c r="C46" s="33"/>
      <c r="D46" s="33"/>
      <c r="E46" s="33"/>
    </row>
    <row r="47" customFormat="false" ht="27.75" hidden="false" customHeight="true" outlineLevel="0" collapsed="false">
      <c r="B47" s="33" t="s">
        <v>353</v>
      </c>
      <c r="C47" s="33"/>
      <c r="D47" s="33"/>
      <c r="E47" s="33"/>
    </row>
    <row r="48" customFormat="false" ht="13.5" hidden="false" customHeight="true" outlineLevel="0" collapsed="false">
      <c r="B48" s="33" t="s">
        <v>434</v>
      </c>
      <c r="C48" s="33"/>
      <c r="D48" s="33"/>
      <c r="E48" s="33"/>
    </row>
    <row r="50" customFormat="false" ht="15" hidden="false" customHeight="false" outlineLevel="0" collapsed="false">
      <c r="B50" s="9" t="s">
        <v>280</v>
      </c>
      <c r="C50" s="10"/>
      <c r="D50" s="10"/>
      <c r="E50" s="10"/>
    </row>
    <row r="51" customFormat="false" ht="15" hidden="false" customHeight="false" outlineLevel="0" collapsed="false">
      <c r="B51" s="20" t="s">
        <v>281</v>
      </c>
      <c r="C51" s="35" t="str">
        <f aca="false">IF(Months_With_Extra="Never","No goal","Mortgage free (plan kind mfree, priced from your mortgage; no cash amount)")</f>
        <v>Mortgage free (plan kind mfree, priced from your mortgage; no cash amount)</v>
      </c>
      <c r="E51" s="36" t="s">
        <v>435</v>
      </c>
    </row>
    <row r="52" customFormat="false" ht="15" hidden="false" customHeight="false" outlineLevel="0" collapsed="false">
      <c r="B52" s="20" t="s">
        <v>287</v>
      </c>
      <c r="C52" s="38" t="n">
        <f aca="false">IF(Months_With_Extra="Never","—",ROUNDUP(Months_With_Extra/12,0))</f>
        <v>20</v>
      </c>
      <c r="E52" s="36" t="s">
        <v>436</v>
      </c>
    </row>
    <row r="53" customFormat="false" ht="27.75" hidden="false" customHeight="true" outlineLevel="0" collapsed="false">
      <c r="B53" s="39" t="s">
        <v>437</v>
      </c>
      <c r="C53" s="39"/>
      <c r="D53" s="39"/>
      <c r="E53" s="39"/>
    </row>
  </sheetData>
  <mergeCells count="10">
    <mergeCell ref="B6:E6"/>
    <mergeCell ref="B41:E41"/>
    <mergeCell ref="B42:E42"/>
    <mergeCell ref="B43:E43"/>
    <mergeCell ref="B44:E44"/>
    <mergeCell ref="B45:E45"/>
    <mergeCell ref="B46:E46"/>
    <mergeCell ref="B47:E47"/>
    <mergeCell ref="B48:E48"/>
    <mergeCell ref="B53:E53"/>
  </mergeCells>
  <dataValidations count="10">
    <dataValidation allowBlank="true" error="Please enter €0 to €10,000,000." errorStyle="stop" errorTitle="Outside the allowed range" operator="between" prompt="Unit: €. Allowed: €0 to €10,000,000." promptTitle="Outstanding balance" showDropDown="false" showErrorMessage="true" showInputMessage="true" sqref="C7" type="decimal">
      <formula1>0</formula1>
      <formula2>10000000</formula2>
    </dataValidation>
    <dataValidation allowBlank="true" error="Please enter 0% to 15%." errorStyle="stop" errorTitle="Outside the allowed range" operator="between" prompt="Unit: %. Allowed: 0% to 15%." promptTitle="Interest rate" showDropDown="false" showErrorMessage="true" showInputMessage="true" sqref="C8" type="decimal">
      <formula1>0</formula1>
      <formula2>0.15</formula2>
    </dataValidation>
    <dataValidation allowBlank="true" error="Please enter 0 to 40." errorStyle="stop" errorTitle="Outside the allowed range" operator="between" prompt="Unit: years. Allowed: 0 to 40." promptTitle="Term remaining" showDropDown="false" showErrorMessage="true" showInputMessage="true" sqref="C9" type="whole">
      <formula1>0</formula1>
      <formula2>40</formula2>
    </dataValidation>
    <dataValidation allowBlank="true" error="Please enter €0 to €100,000." errorStyle="stop" errorTitle="Outside the allowed range" operator="between" prompt="Unit: €. Allowed: €0 to €100,000." promptTitle="Monthly repayment" showDropDown="false" showErrorMessage="true" showInputMessage="true" sqref="C10" type="decimal">
      <formula1>0</formula1>
      <formula2>100000</formula2>
    </dataValidation>
    <dataValidation allowBlank="true" error="Please enter a date (dd/mm/yyyy)." errorStyle="stop" errorTitle="Outside the allowed range" operator="greaterThan" prompt="Unit: date. Allowed: a date (dd/mm/yyyy)." promptTitle="Statement date" showDropDown="false" showErrorMessage="true" showInputMessage="true" sqref="C11" type="date">
      <formula1>36526</formula1>
      <formula2>0</formula2>
    </dataValidation>
    <dataValidation allowBlank="false" error="Please enter 1% to 8% · steps of 0.05%." errorStyle="stop" errorTitle="Outside the allowed range" operator="between" prompt="Suggested · change if you like. New Irish mortgages averaged about 3.5% in mid-2026. The ECB raised rates in September 2026, so new rates may rise. Your statement shows your own rate.  Allowed: 1% to 8% · steps of 0.05%." promptTitle="Interest rate" showDropDown="false" showErrorMessage="true" showInputMessage="true" sqref="C15" type="decimal">
      <formula1>0.01</formula1>
      <formula2>0.08</formula2>
    </dataValidation>
    <dataValidation allowBlank="false" error="Please enter €0 to €100,000 · steps of €1." errorStyle="stop" errorTitle="Outside the allowed range" operator="between" prompt="Unit: €. Allowed: €0 to €100,000 · steps of €1." promptTitle="Your actual monthly repayment (o" showDropDown="false" showErrorMessage="true" showInputMessage="true" sqref="C18" type="decimal">
      <formula1>0</formula1>
      <formula2>100000</formula2>
    </dataValidation>
    <dataValidation allowBlank="false" error="Please enter €20,000 to €10,000,000 · steps of €1,000." errorStyle="stop" errorTitle="Outside the allowed range" operator="between" prompt="Unit: €. Allowed: €20,000 to €10,000,000 · steps of €1,000." promptTitle="Mortgage balance" showDropDown="false" showErrorMessage="true" showInputMessage="true" sqref="C14" type="decimal">
      <formula1>20000</formula1>
      <formula2>10000000</formula2>
    </dataValidation>
    <dataValidation allowBlank="false" error="Please enter 3 to 35 · steps of 1." errorStyle="stop" errorTitle="Outside the allowed range" operator="between" prompt="Unit: years. Allowed: 3 to 35 · steps of 1." promptTitle="Years left" showDropDown="false" showErrorMessage="true" showInputMessage="true" sqref="C16" type="whole">
      <formula1>3</formula1>
      <formula2>35</formula2>
    </dataValidation>
    <dataValidation allowBlank="false" error="Please enter €0 to €20,000 · steps of €25." errorStyle="stop" errorTitle="Outside the allowed range" operator="between" prompt="Unit: €. Allowed: €0 to €20,000 · steps of €25." promptTitle="Extra each month" showDropDown="false" showErrorMessage="true" showInputMessage="true" sqref="C17" type="decimal">
      <formula1>0</formula1>
      <formula2>20000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G4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50"/>
    <col collapsed="false" customWidth="true" hidden="false" outlineLevel="0" max="3" min="3" style="0" width="26"/>
    <col collapsed="false" customWidth="true" hidden="false" outlineLevel="0" max="4" min="4" style="0" width="24"/>
    <col collapsed="false" customWidth="true" hidden="false" outlineLevel="0" max="5" min="5" style="0" width="78"/>
    <col collapsed="false" customWidth="true" hidden="false" outlineLevel="0" max="6" min="6" style="0" width="2"/>
    <col collapsed="false" customWidth="true" hidden="false" outlineLevel="0" max="7" min="7" style="0" width="44"/>
  </cols>
  <sheetData>
    <row r="1" customFormat="false" ht="19.7" hidden="false" customHeight="false" outlineLevel="0" collapsed="false">
      <c r="B1" s="16" t="s">
        <v>438</v>
      </c>
      <c r="G1" s="2" t="s">
        <v>198</v>
      </c>
    </row>
    <row r="2" customFormat="false" ht="15" hidden="false" customHeight="false" outlineLevel="0" collapsed="false">
      <c r="B2" s="17" t="s">
        <v>439</v>
      </c>
      <c r="G2" s="2" t="s">
        <v>440</v>
      </c>
    </row>
    <row r="3" customFormat="false" ht="15" hidden="false" customHeight="false" outlineLevel="0" collapsed="false">
      <c r="B3" s="18" t="s">
        <v>441</v>
      </c>
    </row>
    <row r="5" customFormat="false" ht="15" hidden="false" customHeight="false" outlineLevel="0" collapsed="false">
      <c r="B5" s="9" t="s">
        <v>293</v>
      </c>
      <c r="C5" s="10"/>
      <c r="D5" s="10"/>
      <c r="E5" s="10"/>
    </row>
    <row r="6" customFormat="false" ht="27.75" hidden="false" customHeight="true" outlineLevel="0" collapsed="false">
      <c r="B6" s="39" t="s">
        <v>294</v>
      </c>
      <c r="C6" s="39"/>
      <c r="D6" s="39"/>
      <c r="E6" s="39"/>
    </row>
    <row r="7" customFormat="false" ht="15" hidden="false" customHeight="false" outlineLevel="0" collapsed="false">
      <c r="B7" s="20" t="s">
        <v>295</v>
      </c>
      <c r="C7" s="40"/>
      <c r="D7" s="22" t="s">
        <v>207</v>
      </c>
      <c r="E7" s="2" t="s">
        <v>296</v>
      </c>
      <c r="G7" s="23" t="s">
        <v>297</v>
      </c>
    </row>
    <row r="8" customFormat="false" ht="15" hidden="false" customHeight="false" outlineLevel="0" collapsed="false">
      <c r="B8" s="20" t="s">
        <v>298</v>
      </c>
      <c r="C8" s="41"/>
      <c r="D8" s="22" t="s">
        <v>222</v>
      </c>
      <c r="E8" s="2" t="s">
        <v>299</v>
      </c>
      <c r="G8" s="23" t="s">
        <v>297</v>
      </c>
    </row>
    <row r="9" customFormat="false" ht="15" hidden="false" customHeight="false" outlineLevel="0" collapsed="false">
      <c r="B9" s="20" t="s">
        <v>300</v>
      </c>
      <c r="C9" s="42"/>
      <c r="D9" s="22" t="s">
        <v>226</v>
      </c>
      <c r="E9" s="2" t="s">
        <v>301</v>
      </c>
      <c r="G9" s="23" t="s">
        <v>297</v>
      </c>
    </row>
    <row r="10" customFormat="false" ht="15" hidden="false" customHeight="false" outlineLevel="0" collapsed="false">
      <c r="B10" s="20" t="s">
        <v>302</v>
      </c>
      <c r="C10" s="40"/>
      <c r="D10" s="22" t="s">
        <v>207</v>
      </c>
      <c r="E10" s="2" t="s">
        <v>303</v>
      </c>
      <c r="G10" s="23" t="s">
        <v>297</v>
      </c>
    </row>
    <row r="11" customFormat="false" ht="15" hidden="false" customHeight="false" outlineLevel="0" collapsed="false">
      <c r="B11" s="20" t="s">
        <v>304</v>
      </c>
      <c r="C11" s="43"/>
      <c r="D11" s="22" t="s">
        <v>305</v>
      </c>
      <c r="E11" s="2" t="s">
        <v>306</v>
      </c>
      <c r="G11" s="23" t="s">
        <v>297</v>
      </c>
    </row>
    <row r="13" customFormat="false" ht="15" hidden="false" customHeight="false" outlineLevel="0" collapsed="false">
      <c r="B13" s="9" t="s">
        <v>307</v>
      </c>
      <c r="C13" s="19" t="s">
        <v>203</v>
      </c>
      <c r="D13" s="19" t="s">
        <v>204</v>
      </c>
      <c r="E13" s="19" t="s">
        <v>205</v>
      </c>
    </row>
    <row r="14" customFormat="false" ht="15" hidden="false" customHeight="false" outlineLevel="0" collapsed="false">
      <c r="B14" s="20" t="s">
        <v>398</v>
      </c>
      <c r="C14" s="21" t="n">
        <v>300000</v>
      </c>
      <c r="D14" s="22" t="s">
        <v>207</v>
      </c>
      <c r="E14" s="2" t="s">
        <v>309</v>
      </c>
      <c r="G14" s="23" t="s">
        <v>442</v>
      </c>
    </row>
    <row r="15" customFormat="false" ht="15" hidden="false" customHeight="false" outlineLevel="0" collapsed="false">
      <c r="B15" s="20" t="s">
        <v>443</v>
      </c>
      <c r="C15" s="25" t="n">
        <v>0.0375</v>
      </c>
      <c r="D15" s="22" t="s">
        <v>222</v>
      </c>
      <c r="E15" s="26" t="s">
        <v>223</v>
      </c>
      <c r="G15" s="23" t="s">
        <v>401</v>
      </c>
    </row>
    <row r="16" customFormat="false" ht="15" hidden="false" customHeight="false" outlineLevel="0" collapsed="false">
      <c r="B16" s="20" t="s">
        <v>402</v>
      </c>
      <c r="C16" s="27" t="n">
        <v>25</v>
      </c>
      <c r="D16" s="22" t="s">
        <v>226</v>
      </c>
      <c r="E16" s="2" t="s">
        <v>313</v>
      </c>
      <c r="G16" s="23" t="s">
        <v>404</v>
      </c>
    </row>
    <row r="17" customFormat="false" ht="15" hidden="false" customHeight="false" outlineLevel="0" collapsed="false">
      <c r="B17" s="20" t="s">
        <v>444</v>
      </c>
      <c r="C17" s="25" t="n">
        <v>0.01</v>
      </c>
      <c r="D17" s="22" t="s">
        <v>222</v>
      </c>
      <c r="E17" s="2" t="s">
        <v>319</v>
      </c>
      <c r="G17" s="23" t="s">
        <v>445</v>
      </c>
    </row>
    <row r="18" customFormat="false" ht="15" hidden="false" customHeight="false" outlineLevel="0" collapsed="false">
      <c r="B18" s="20" t="s">
        <v>315</v>
      </c>
      <c r="C18" s="21" t="n">
        <v>0</v>
      </c>
      <c r="D18" s="22" t="s">
        <v>207</v>
      </c>
      <c r="E18" s="2" t="s">
        <v>316</v>
      </c>
      <c r="G18" s="23" t="s">
        <v>317</v>
      </c>
    </row>
    <row r="20" customFormat="false" ht="15" hidden="false" customHeight="false" outlineLevel="0" collapsed="false">
      <c r="B20" s="9" t="s">
        <v>321</v>
      </c>
      <c r="C20" s="10"/>
      <c r="D20" s="10"/>
      <c r="E20" s="10"/>
    </row>
    <row r="21" customFormat="false" ht="15" hidden="false" customHeight="false" outlineLevel="0" collapsed="false">
      <c r="B21" s="20" t="s">
        <v>398</v>
      </c>
      <c r="C21" s="44" t="n">
        <f aca="false">IF(ISBLANK(Stmt_Balance),Mortgage_Balance,Stmt_Balance)</f>
        <v>300000</v>
      </c>
      <c r="D21" s="45" t="str">
        <f aca="false">IF(ISBLANK(Stmt_Balance),"Your figure","From your statement")</f>
        <v>Your figure</v>
      </c>
      <c r="E21" s="36" t="s">
        <v>408</v>
      </c>
    </row>
    <row r="22" customFormat="false" ht="15" hidden="false" customHeight="false" outlineLevel="0" collapsed="false">
      <c r="B22" s="20" t="s">
        <v>443</v>
      </c>
      <c r="C22" s="46" t="n">
        <f aca="false">IF(ISBLANK(Stmt_Rate),Current_Rate,Stmt_Rate)</f>
        <v>0.0375</v>
      </c>
      <c r="D22" s="45" t="str">
        <f aca="false">IF(ISBLANK(Stmt_Rate),"Your figure","From your statement")</f>
        <v>Your figure</v>
      </c>
      <c r="E22" s="36" t="s">
        <v>446</v>
      </c>
    </row>
    <row r="23" customFormat="false" ht="15" hidden="false" customHeight="false" outlineLevel="0" collapsed="false">
      <c r="B23" s="20" t="s">
        <v>402</v>
      </c>
      <c r="C23" s="47" t="n">
        <f aca="false">IF(ISBLANK(Stmt_Term),Years_Left,Stmt_Term)</f>
        <v>25</v>
      </c>
      <c r="D23" s="45" t="str">
        <f aca="false">IF(ISBLANK(Stmt_Term),"Your figure","From your statement")</f>
        <v>Your figure</v>
      </c>
      <c r="E23" s="36" t="s">
        <v>409</v>
      </c>
    </row>
    <row r="24" customFormat="false" ht="15" hidden="false" customHeight="false" outlineLevel="0" collapsed="false">
      <c r="B24" s="20" t="s">
        <v>325</v>
      </c>
      <c r="C24" s="44" t="n">
        <f aca="false">IF(ISBLANK(Stmt_Repayment),Actual_Repayment,Stmt_Repayment)</f>
        <v>0</v>
      </c>
      <c r="D24" s="45" t="str">
        <f aca="false">IF(ISBLANK(Stmt_Repayment),"Your figure","From your statement")</f>
        <v>Your figure</v>
      </c>
      <c r="E24" s="36" t="s">
        <v>326</v>
      </c>
    </row>
    <row r="25" customFormat="false" ht="22.35" hidden="false" customHeight="false" outlineLevel="0" collapsed="false">
      <c r="B25" s="20" t="s">
        <v>327</v>
      </c>
      <c r="C25" s="32" t="str">
        <f aca="true">IF(ISBLANK(Stmt_Statement_Date),"",IF(TODAY()-Stmt_Statement_Date&gt;Statement_Max_Age_Days,"Needs a look: statement is more than 12 months old","Up to date"))</f>
        <v/>
      </c>
      <c r="D25" s="22"/>
      <c r="E25" s="29" t="s">
        <v>328</v>
      </c>
    </row>
    <row r="27" customFormat="false" ht="15" hidden="false" customHeight="false" outlineLevel="0" collapsed="false">
      <c r="B27" s="9" t="s">
        <v>238</v>
      </c>
      <c r="C27" s="19" t="s">
        <v>239</v>
      </c>
      <c r="D27" s="19" t="s">
        <v>240</v>
      </c>
      <c r="E27" s="19" t="s">
        <v>241</v>
      </c>
    </row>
    <row r="28" customFormat="false" ht="17.35" hidden="false" customHeight="false" outlineLevel="0" collapsed="false">
      <c r="B28" s="17" t="s">
        <v>447</v>
      </c>
      <c r="C28" s="28" t="n">
        <f aca="false">Repayment_After-Repayment_Now</f>
        <v>167.958485336201</v>
      </c>
      <c r="D28" s="49" t="str">
        <f aca="false">IF(Monthly_Change&gt;=0,"+","−")&amp;TEXT(ABS(Monthly_Change),"€#,##0")</f>
        <v>+€168</v>
      </c>
      <c r="E28" s="29" t="s">
        <v>448</v>
      </c>
    </row>
    <row r="29" customFormat="false" ht="17.35" hidden="false" customHeight="false" outlineLevel="0" collapsed="false">
      <c r="B29" s="17" t="s">
        <v>418</v>
      </c>
      <c r="C29" s="28" t="n">
        <f aca="false">IF(Used_Actual_Repayment&gt;0,Used_Actual_Repayment,Formula_Now)</f>
        <v>1542.39359880707</v>
      </c>
      <c r="D29" s="22" t="s">
        <v>207</v>
      </c>
      <c r="E29" s="29" t="s">
        <v>449</v>
      </c>
    </row>
    <row r="30" customFormat="false" ht="17.35" hidden="false" customHeight="false" outlineLevel="0" collapsed="false">
      <c r="B30" s="17" t="s">
        <v>450</v>
      </c>
      <c r="C30" s="28" t="n">
        <f aca="false">Repayment_Now+PMT(New_Rate/12,Used_Years_Left*12,-Used_Mortgage_Balance)-Formula_Now</f>
        <v>1710.35208414327</v>
      </c>
      <c r="D30" s="22" t="s">
        <v>207</v>
      </c>
      <c r="E30" s="29" t="s">
        <v>451</v>
      </c>
    </row>
    <row r="31" customFormat="false" ht="15" hidden="false" customHeight="false" outlineLevel="0" collapsed="false">
      <c r="B31" s="20" t="s">
        <v>452</v>
      </c>
      <c r="C31" s="30" t="n">
        <f aca="false">Monthly_Change*12</f>
        <v>2015.50182403441</v>
      </c>
      <c r="D31" s="22" t="s">
        <v>207</v>
      </c>
      <c r="E31" s="29" t="s">
        <v>453</v>
      </c>
    </row>
    <row r="32" customFormat="false" ht="15" hidden="false" customHeight="false" outlineLevel="0" collapsed="false">
      <c r="B32" s="20" t="s">
        <v>454</v>
      </c>
      <c r="C32" s="30" t="n">
        <f aca="false">PMT(Used_Current_Rate/12,Used_Years_Left*12,-Used_Mortgage_Balance)</f>
        <v>1542.39359880707</v>
      </c>
      <c r="D32" s="22" t="s">
        <v>207</v>
      </c>
      <c r="E32" s="29" t="s">
        <v>455</v>
      </c>
    </row>
    <row r="33" customFormat="false" ht="15" hidden="false" customHeight="false" outlineLevel="0" collapsed="false">
      <c r="B33" s="20" t="s">
        <v>456</v>
      </c>
      <c r="C33" s="51" t="n">
        <f aca="false">MAX(0,Used_Current_Rate+Rate_Change)</f>
        <v>0.0475</v>
      </c>
      <c r="D33" s="22" t="s">
        <v>222</v>
      </c>
      <c r="E33" s="29" t="s">
        <v>457</v>
      </c>
    </row>
    <row r="35" customFormat="false" ht="15" hidden="false" customHeight="false" outlineLevel="0" collapsed="false">
      <c r="B35" s="9" t="s">
        <v>271</v>
      </c>
      <c r="C35" s="10"/>
      <c r="D35" s="10"/>
      <c r="E35" s="10"/>
    </row>
    <row r="36" customFormat="false" ht="13.5" hidden="false" customHeight="true" outlineLevel="0" collapsed="false">
      <c r="B36" s="33" t="s">
        <v>458</v>
      </c>
      <c r="C36" s="33"/>
      <c r="D36" s="33"/>
      <c r="E36" s="33"/>
    </row>
    <row r="37" customFormat="false" ht="13.5" hidden="false" customHeight="true" outlineLevel="0" collapsed="false">
      <c r="B37" s="33" t="s">
        <v>459</v>
      </c>
      <c r="C37" s="33"/>
      <c r="D37" s="33"/>
      <c r="E37" s="33"/>
    </row>
    <row r="38" customFormat="false" ht="13.5" hidden="false" customHeight="true" outlineLevel="0" collapsed="false">
      <c r="B38" s="34" t="s">
        <v>275</v>
      </c>
      <c r="C38" s="34"/>
      <c r="D38" s="34"/>
      <c r="E38" s="34"/>
    </row>
    <row r="39" customFormat="false" ht="13.5" hidden="false" customHeight="true" outlineLevel="0" collapsed="false">
      <c r="B39" s="33" t="s">
        <v>460</v>
      </c>
      <c r="C39" s="33"/>
      <c r="D39" s="33"/>
      <c r="E39" s="33"/>
    </row>
    <row r="40" customFormat="false" ht="13.5" hidden="false" customHeight="true" outlineLevel="0" collapsed="false">
      <c r="B40" s="33" t="s">
        <v>279</v>
      </c>
      <c r="C40" s="33"/>
      <c r="D40" s="33"/>
      <c r="E40" s="33"/>
    </row>
    <row r="42" customFormat="false" ht="15" hidden="false" customHeight="false" outlineLevel="0" collapsed="false">
      <c r="B42" s="9" t="s">
        <v>280</v>
      </c>
      <c r="C42" s="10"/>
      <c r="D42" s="10"/>
      <c r="E42" s="10"/>
    </row>
    <row r="43" customFormat="false" ht="15" hidden="false" customHeight="false" outlineLevel="0" collapsed="false">
      <c r="B43" s="20" t="s">
        <v>281</v>
      </c>
      <c r="C43" s="35" t="str">
        <f aca="false">"No goal"</f>
        <v>No goal</v>
      </c>
      <c r="E43" s="36" t="s">
        <v>461</v>
      </c>
    </row>
  </sheetData>
  <mergeCells count="6">
    <mergeCell ref="B6:E6"/>
    <mergeCell ref="B36:E36"/>
    <mergeCell ref="B37:E37"/>
    <mergeCell ref="B38:E38"/>
    <mergeCell ref="B39:E39"/>
    <mergeCell ref="B40:E40"/>
  </mergeCells>
  <dataValidations count="10">
    <dataValidation allowBlank="true" error="Please enter €0 to €10,000,000." errorStyle="stop" errorTitle="Outside the allowed range" operator="between" prompt="Unit: €. Allowed: €0 to €10,000,000." promptTitle="Outstanding balance" showDropDown="false" showErrorMessage="true" showInputMessage="true" sqref="C7" type="decimal">
      <formula1>0</formula1>
      <formula2>10000000</formula2>
    </dataValidation>
    <dataValidation allowBlank="true" error="Please enter 0% to 15%." errorStyle="stop" errorTitle="Outside the allowed range" operator="between" prompt="Unit: %. Allowed: 0% to 15%." promptTitle="Interest rate" showDropDown="false" showErrorMessage="true" showInputMessage="true" sqref="C8" type="decimal">
      <formula1>0</formula1>
      <formula2>0.15</formula2>
    </dataValidation>
    <dataValidation allowBlank="true" error="Please enter 0 to 40." errorStyle="stop" errorTitle="Outside the allowed range" operator="between" prompt="Unit: years. Allowed: 0 to 40." promptTitle="Term remaining" showDropDown="false" showErrorMessage="true" showInputMessage="true" sqref="C9" type="whole">
      <formula1>0</formula1>
      <formula2>40</formula2>
    </dataValidation>
    <dataValidation allowBlank="true" error="Please enter €0 to €100,000." errorStyle="stop" errorTitle="Outside the allowed range" operator="between" prompt="Unit: €. Allowed: €0 to €100,000." promptTitle="Monthly repayment" showDropDown="false" showErrorMessage="true" showInputMessage="true" sqref="C10" type="decimal">
      <formula1>0</formula1>
      <formula2>100000</formula2>
    </dataValidation>
    <dataValidation allowBlank="true" error="Please enter a date (dd/mm/yyyy)." errorStyle="stop" errorTitle="Outside the allowed range" operator="greaterThan" prompt="Unit: date. Allowed: a date (dd/mm/yyyy)." promptTitle="Statement date" showDropDown="false" showErrorMessage="true" showInputMessage="true" sqref="C11" type="date">
      <formula1>36526</formula1>
      <formula2>0</formula2>
    </dataValidation>
    <dataValidation allowBlank="false" error="Please enter €0 to €100,000 · steps of €1." errorStyle="stop" errorTitle="Outside the allowed range" operator="between" prompt="Unit: €. Allowed: €0 to €100,000 · steps of €1." promptTitle="Your actual monthly repayment (o" showDropDown="false" showErrorMessage="true" showInputMessage="true" sqref="C18" type="decimal">
      <formula1>0</formula1>
      <formula2>100000</formula2>
    </dataValidation>
    <dataValidation allowBlank="false" error="Please enter €50,000 to €10,000,000 · steps of €1,000." errorStyle="stop" errorTitle="Outside the allowed range" operator="between" prompt="Unit: €. Allowed: €50,000 to €10,000,000 · steps of €1,000." promptTitle="Mortgage balance" showDropDown="false" showErrorMessage="true" showInputMessage="true" sqref="C14" type="decimal">
      <formula1>50000</formula1>
      <formula2>10000000</formula2>
    </dataValidation>
    <dataValidation allowBlank="false" error="Please enter 1% to 8% · steps of 0.05%." errorStyle="stop" errorTitle="Outside the allowed range" operator="between" prompt="Suggested · change if you like. New Irish mortgages averaged about 3.5% in mid-2026. The ECB raised rates in September 2026, so new rates may rise. Your statement shows your own rate.  Allowed: 1% to 8% · steps of 0.05%." promptTitle="Current rate" showDropDown="false" showErrorMessage="true" showInputMessage="true" sqref="C15" type="decimal">
      <formula1>0.01</formula1>
      <formula2>0.08</formula2>
    </dataValidation>
    <dataValidation allowBlank="false" error="Please enter 5 to 35 · steps of 1." errorStyle="stop" errorTitle="Outside the allowed range" operator="between" prompt="Unit: years. Allowed: 5 to 35 · steps of 1." promptTitle="Years left" showDropDown="false" showErrorMessage="true" showInputMessage="true" sqref="C16" type="whole">
      <formula1>5</formula1>
      <formula2>35</formula2>
    </dataValidation>
    <dataValidation allowBlank="false" error="Please enter -2% to 3% · steps of 0.25%." errorStyle="stop" errorTitle="Outside the allowed range" operator="between" prompt="Unit: %. Allowed: -2% to 3% · steps of 0.25%." promptTitle="Rate change" showDropDown="false" showErrorMessage="true" showInputMessage="true" sqref="C17" type="decimal">
      <formula1>-0.02</formula1>
      <formula2>0.03</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G3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50"/>
    <col collapsed="false" customWidth="true" hidden="false" outlineLevel="0" max="3" min="3" style="0" width="26"/>
    <col collapsed="false" customWidth="true" hidden="false" outlineLevel="0" max="4" min="4" style="0" width="24"/>
    <col collapsed="false" customWidth="true" hidden="false" outlineLevel="0" max="5" min="5" style="0" width="78"/>
    <col collapsed="false" customWidth="true" hidden="false" outlineLevel="0" max="6" min="6" style="0" width="2"/>
    <col collapsed="false" customWidth="true" hidden="false" outlineLevel="0" max="7" min="7" style="0" width="44"/>
  </cols>
  <sheetData>
    <row r="1" customFormat="false" ht="19.7" hidden="false" customHeight="false" outlineLevel="0" collapsed="false">
      <c r="B1" s="16" t="s">
        <v>462</v>
      </c>
      <c r="G1" s="2" t="s">
        <v>198</v>
      </c>
    </row>
    <row r="2" customFormat="false" ht="15" hidden="false" customHeight="false" outlineLevel="0" collapsed="false">
      <c r="B2" s="17" t="s">
        <v>463</v>
      </c>
      <c r="G2" s="2" t="s">
        <v>464</v>
      </c>
    </row>
    <row r="3" customFormat="false" ht="15" hidden="false" customHeight="false" outlineLevel="0" collapsed="false">
      <c r="B3" s="18" t="s">
        <v>465</v>
      </c>
    </row>
    <row r="5" customFormat="false" ht="15" hidden="false" customHeight="false" outlineLevel="0" collapsed="false">
      <c r="B5" s="9" t="s">
        <v>293</v>
      </c>
      <c r="C5" s="10"/>
      <c r="D5" s="10"/>
      <c r="E5" s="10"/>
    </row>
    <row r="6" customFormat="false" ht="27.75" hidden="false" customHeight="true" outlineLevel="0" collapsed="false">
      <c r="B6" s="39" t="s">
        <v>294</v>
      </c>
      <c r="C6" s="39"/>
      <c r="D6" s="39"/>
      <c r="E6" s="39"/>
    </row>
    <row r="7" customFormat="false" ht="15" hidden="false" customHeight="false" outlineLevel="0" collapsed="false">
      <c r="B7" s="20" t="s">
        <v>295</v>
      </c>
      <c r="C7" s="40"/>
      <c r="D7" s="22" t="s">
        <v>207</v>
      </c>
      <c r="E7" s="2" t="s">
        <v>296</v>
      </c>
      <c r="G7" s="23" t="s">
        <v>297</v>
      </c>
    </row>
    <row r="8" customFormat="false" ht="15" hidden="false" customHeight="false" outlineLevel="0" collapsed="false">
      <c r="B8" s="20" t="s">
        <v>298</v>
      </c>
      <c r="C8" s="41"/>
      <c r="D8" s="22" t="s">
        <v>222</v>
      </c>
      <c r="E8" s="2" t="s">
        <v>299</v>
      </c>
      <c r="G8" s="23" t="s">
        <v>297</v>
      </c>
    </row>
    <row r="9" customFormat="false" ht="15" hidden="false" customHeight="false" outlineLevel="0" collapsed="false">
      <c r="B9" s="20" t="s">
        <v>300</v>
      </c>
      <c r="C9" s="42"/>
      <c r="D9" s="22" t="s">
        <v>226</v>
      </c>
      <c r="E9" s="2" t="s">
        <v>301</v>
      </c>
      <c r="G9" s="23" t="s">
        <v>297</v>
      </c>
    </row>
    <row r="10" customFormat="false" ht="15" hidden="false" customHeight="false" outlineLevel="0" collapsed="false">
      <c r="B10" s="20" t="s">
        <v>304</v>
      </c>
      <c r="C10" s="43"/>
      <c r="D10" s="22" t="s">
        <v>305</v>
      </c>
      <c r="E10" s="2" t="s">
        <v>306</v>
      </c>
      <c r="G10" s="23" t="s">
        <v>297</v>
      </c>
    </row>
    <row r="12" customFormat="false" ht="15" hidden="false" customHeight="false" outlineLevel="0" collapsed="false">
      <c r="B12" s="9" t="s">
        <v>307</v>
      </c>
      <c r="C12" s="19" t="s">
        <v>203</v>
      </c>
      <c r="D12" s="19" t="s">
        <v>204</v>
      </c>
      <c r="E12" s="19" t="s">
        <v>205</v>
      </c>
    </row>
    <row r="13" customFormat="false" ht="15" hidden="false" customHeight="false" outlineLevel="0" collapsed="false">
      <c r="B13" s="20" t="s">
        <v>308</v>
      </c>
      <c r="C13" s="21" t="n">
        <v>300000</v>
      </c>
      <c r="D13" s="22" t="s">
        <v>207</v>
      </c>
      <c r="E13" s="2" t="s">
        <v>309</v>
      </c>
      <c r="G13" s="23" t="s">
        <v>442</v>
      </c>
    </row>
    <row r="14" customFormat="false" ht="15" hidden="false" customHeight="false" outlineLevel="0" collapsed="false">
      <c r="B14" s="20" t="s">
        <v>298</v>
      </c>
      <c r="C14" s="25" t="n">
        <v>0.0375</v>
      </c>
      <c r="D14" s="22" t="s">
        <v>222</v>
      </c>
      <c r="E14" s="26" t="s">
        <v>223</v>
      </c>
      <c r="G14" s="23" t="s">
        <v>401</v>
      </c>
    </row>
    <row r="15" customFormat="false" ht="15" hidden="false" customHeight="false" outlineLevel="0" collapsed="false">
      <c r="B15" s="20" t="s">
        <v>466</v>
      </c>
      <c r="C15" s="27" t="n">
        <v>25</v>
      </c>
      <c r="D15" s="22" t="s">
        <v>226</v>
      </c>
      <c r="E15" s="2" t="s">
        <v>313</v>
      </c>
      <c r="G15" s="23" t="s">
        <v>404</v>
      </c>
    </row>
    <row r="16" customFormat="false" ht="15" hidden="false" customHeight="false" outlineLevel="0" collapsed="false">
      <c r="B16" s="20" t="s">
        <v>467</v>
      </c>
      <c r="C16" s="27" t="n">
        <v>35</v>
      </c>
      <c r="D16" s="22" t="s">
        <v>226</v>
      </c>
      <c r="E16" s="2" t="s">
        <v>313</v>
      </c>
      <c r="G16" s="23" t="s">
        <v>468</v>
      </c>
    </row>
    <row r="18" customFormat="false" ht="15" hidden="false" customHeight="false" outlineLevel="0" collapsed="false">
      <c r="B18" s="9" t="s">
        <v>321</v>
      </c>
      <c r="C18" s="10"/>
      <c r="D18" s="10"/>
      <c r="E18" s="10"/>
    </row>
    <row r="19" customFormat="false" ht="15" hidden="false" customHeight="false" outlineLevel="0" collapsed="false">
      <c r="B19" s="20" t="s">
        <v>308</v>
      </c>
      <c r="C19" s="44" t="n">
        <f aca="false">IF(ISBLANK(Stmt_Balance),Loan_Amount,Stmt_Balance)</f>
        <v>300000</v>
      </c>
      <c r="D19" s="45" t="str">
        <f aca="false">IF(ISBLANK(Stmt_Balance),"Your figure","From your statement")</f>
        <v>Your figure</v>
      </c>
      <c r="E19" s="36" t="s">
        <v>322</v>
      </c>
    </row>
    <row r="20" customFormat="false" ht="15" hidden="false" customHeight="false" outlineLevel="0" collapsed="false">
      <c r="B20" s="20" t="s">
        <v>298</v>
      </c>
      <c r="C20" s="46" t="n">
        <f aca="false">IF(ISBLANK(Stmt_Rate),Interest_Rate,Stmt_Rate)</f>
        <v>0.0375</v>
      </c>
      <c r="D20" s="45" t="str">
        <f aca="false">IF(ISBLANK(Stmt_Rate),"Your figure","From your statement")</f>
        <v>Your figure</v>
      </c>
      <c r="E20" s="36" t="s">
        <v>323</v>
      </c>
    </row>
    <row r="21" customFormat="false" ht="15" hidden="false" customHeight="false" outlineLevel="0" collapsed="false">
      <c r="B21" s="20" t="s">
        <v>466</v>
      </c>
      <c r="C21" s="47" t="n">
        <f aca="false">IF(ISBLANK(Stmt_Term),Term_A,Stmt_Term)</f>
        <v>25</v>
      </c>
      <c r="D21" s="45" t="str">
        <f aca="false">IF(ISBLANK(Stmt_Term),"Your figure","From your statement")</f>
        <v>Your figure</v>
      </c>
      <c r="E21" s="36" t="s">
        <v>469</v>
      </c>
    </row>
    <row r="22" customFormat="false" ht="22.35" hidden="false" customHeight="false" outlineLevel="0" collapsed="false">
      <c r="B22" s="20" t="s">
        <v>327</v>
      </c>
      <c r="C22" s="32" t="str">
        <f aca="true">IF(ISBLANK(Stmt_Statement_Date),"",IF(TODAY()-Stmt_Statement_Date&gt;Statement_Max_Age_Days,"Needs a look: statement is more than 12 months old","Up to date"))</f>
        <v/>
      </c>
      <c r="D22" s="22"/>
      <c r="E22" s="29" t="s">
        <v>328</v>
      </c>
    </row>
    <row r="24" customFormat="false" ht="15" hidden="false" customHeight="false" outlineLevel="0" collapsed="false">
      <c r="B24" s="9" t="s">
        <v>238</v>
      </c>
      <c r="C24" s="19" t="s">
        <v>239</v>
      </c>
      <c r="D24" s="19" t="s">
        <v>240</v>
      </c>
      <c r="E24" s="19" t="s">
        <v>241</v>
      </c>
    </row>
    <row r="25" customFormat="false" ht="23.85" hidden="false" customHeight="false" outlineLevel="0" collapsed="false">
      <c r="B25" s="17" t="s">
        <v>470</v>
      </c>
      <c r="C25" s="28" t="n">
        <f aca="false">ABS(Interest_B-Interest_A)</f>
        <v>76442.2295992777</v>
      </c>
      <c r="D25" s="49" t="str">
        <f aca="false">IF(Used_Term_A=Term_B,"Both terms are the same.","The "&amp;MIN(Used_Term_A,Term_B)&amp;"-year term costs more each month but less interest overall.")</f>
        <v>The 25-year term costs more each month but less interest overall.</v>
      </c>
      <c r="E25" s="29" t="s">
        <v>471</v>
      </c>
    </row>
    <row r="26" customFormat="false" ht="17.35" hidden="false" customHeight="false" outlineLevel="0" collapsed="false">
      <c r="B26" s="17" t="s">
        <v>472</v>
      </c>
      <c r="C26" s="28" t="n">
        <f aca="false">PMT(Used_Interest_Rate/12,Used_Term_A*12,-Used_Loan_Amount)</f>
        <v>1542.39359880707</v>
      </c>
      <c r="D26" s="22" t="s">
        <v>207</v>
      </c>
      <c r="E26" s="29" t="s">
        <v>473</v>
      </c>
    </row>
    <row r="27" customFormat="false" ht="17.35" hidden="false" customHeight="false" outlineLevel="0" collapsed="false">
      <c r="B27" s="17" t="s">
        <v>474</v>
      </c>
      <c r="C27" s="28" t="n">
        <f aca="false">PMT(Used_Interest_Rate/12,Term_B*12,-Used_Loan_Amount)</f>
        <v>1283.71502200333</v>
      </c>
      <c r="D27" s="22" t="s">
        <v>207</v>
      </c>
      <c r="E27" s="29" t="s">
        <v>475</v>
      </c>
    </row>
    <row r="28" customFormat="false" ht="15" hidden="false" customHeight="false" outlineLevel="0" collapsed="false">
      <c r="B28" s="20" t="s">
        <v>476</v>
      </c>
      <c r="C28" s="30" t="n">
        <f aca="false">Monthly_A*Used_Term_A*12-Used_Loan_Amount</f>
        <v>162718.07964212</v>
      </c>
      <c r="D28" s="22" t="s">
        <v>207</v>
      </c>
      <c r="E28" s="29" t="s">
        <v>477</v>
      </c>
    </row>
    <row r="29" customFormat="false" ht="15" hidden="false" customHeight="false" outlineLevel="0" collapsed="false">
      <c r="B29" s="20" t="s">
        <v>478</v>
      </c>
      <c r="C29" s="30" t="n">
        <f aca="false">Monthly_B*Term_B*12-Used_Loan_Amount</f>
        <v>239160.309241398</v>
      </c>
      <c r="D29" s="22" t="s">
        <v>207</v>
      </c>
      <c r="E29" s="29" t="s">
        <v>479</v>
      </c>
    </row>
    <row r="31" customFormat="false" ht="15" hidden="false" customHeight="false" outlineLevel="0" collapsed="false">
      <c r="B31" s="9" t="s">
        <v>271</v>
      </c>
      <c r="C31" s="10"/>
      <c r="D31" s="10"/>
      <c r="E31" s="10"/>
    </row>
    <row r="32" customFormat="false" ht="13.5" hidden="false" customHeight="true" outlineLevel="0" collapsed="false">
      <c r="B32" s="33" t="s">
        <v>480</v>
      </c>
      <c r="C32" s="33"/>
      <c r="D32" s="33"/>
      <c r="E32" s="33"/>
    </row>
    <row r="33" customFormat="false" ht="13.5" hidden="false" customHeight="true" outlineLevel="0" collapsed="false">
      <c r="B33" s="33" t="s">
        <v>481</v>
      </c>
      <c r="C33" s="33"/>
      <c r="D33" s="33"/>
      <c r="E33" s="33"/>
    </row>
    <row r="34" customFormat="false" ht="13.5" hidden="false" customHeight="true" outlineLevel="0" collapsed="false">
      <c r="B34" s="34" t="s">
        <v>275</v>
      </c>
      <c r="C34" s="34"/>
      <c r="D34" s="34"/>
      <c r="E34" s="34"/>
    </row>
    <row r="35" customFormat="false" ht="13.5" hidden="false" customHeight="true" outlineLevel="0" collapsed="false">
      <c r="B35" s="33" t="s">
        <v>482</v>
      </c>
      <c r="C35" s="33"/>
      <c r="D35" s="33"/>
      <c r="E35" s="33"/>
    </row>
    <row r="36" customFormat="false" ht="13.5" hidden="false" customHeight="true" outlineLevel="0" collapsed="false">
      <c r="B36" s="33" t="s">
        <v>279</v>
      </c>
      <c r="C36" s="33"/>
      <c r="D36" s="33"/>
      <c r="E36" s="33"/>
    </row>
    <row r="38" customFormat="false" ht="15" hidden="false" customHeight="false" outlineLevel="0" collapsed="false">
      <c r="B38" s="9" t="s">
        <v>280</v>
      </c>
      <c r="C38" s="10"/>
      <c r="D38" s="10"/>
      <c r="E38" s="10"/>
    </row>
    <row r="39" customFormat="false" ht="15" hidden="false" customHeight="false" outlineLevel="0" collapsed="false">
      <c r="B39" s="20" t="s">
        <v>281</v>
      </c>
      <c r="C39" s="35" t="str">
        <f aca="false">"No goal"</f>
        <v>No goal</v>
      </c>
      <c r="E39" s="36" t="s">
        <v>461</v>
      </c>
    </row>
  </sheetData>
  <mergeCells count="6">
    <mergeCell ref="B6:E6"/>
    <mergeCell ref="B32:E32"/>
    <mergeCell ref="B33:E33"/>
    <mergeCell ref="B34:E34"/>
    <mergeCell ref="B35:E35"/>
    <mergeCell ref="B36:E36"/>
  </mergeCells>
  <dataValidations count="8">
    <dataValidation allowBlank="true" error="Please enter €0 to €10,000,000." errorStyle="stop" errorTitle="Outside the allowed range" operator="between" prompt="Unit: €. Allowed: €0 to €10,000,000." promptTitle="Outstanding balance" showDropDown="false" showErrorMessage="true" showInputMessage="true" sqref="C7" type="decimal">
      <formula1>0</formula1>
      <formula2>10000000</formula2>
    </dataValidation>
    <dataValidation allowBlank="true" error="Please enter 0% to 15%." errorStyle="stop" errorTitle="Outside the allowed range" operator="between" prompt="Unit: %. Allowed: 0% to 15%." promptTitle="Interest rate" showDropDown="false" showErrorMessage="true" showInputMessage="true" sqref="C8" type="decimal">
      <formula1>0</formula1>
      <formula2>0.15</formula2>
    </dataValidation>
    <dataValidation allowBlank="true" error="Please enter 0 to 40." errorStyle="stop" errorTitle="Outside the allowed range" operator="between" prompt="Unit: years. Allowed: 0 to 40." promptTitle="Term remaining" showDropDown="false" showErrorMessage="true" showInputMessage="true" sqref="C9" type="whole">
      <formula1>0</formula1>
      <formula2>40</formula2>
    </dataValidation>
    <dataValidation allowBlank="true" error="Please enter a date (dd/mm/yyyy)." errorStyle="stop" errorTitle="Outside the allowed range" operator="greaterThan" prompt="Unit: date. Allowed: a date (dd/mm/yyyy)." promptTitle="Statement date" showDropDown="false" showErrorMessage="true" showInputMessage="true" sqref="C10" type="date">
      <formula1>36526</formula1>
      <formula2>0</formula2>
    </dataValidation>
    <dataValidation allowBlank="false" error="Please enter €50,000 to €10,000,000 · steps of €1,000." errorStyle="stop" errorTitle="Outside the allowed range" operator="between" prompt="Unit: €. Allowed: €50,000 to €10,000,000 · steps of €1,000." promptTitle="Mortgage amount" showDropDown="false" showErrorMessage="true" showInputMessage="true" sqref="C13" type="decimal">
      <formula1>50000</formula1>
      <formula2>10000000</formula2>
    </dataValidation>
    <dataValidation allowBlank="false" error="Please enter 1% to 8% · steps of 0.05%." errorStyle="stop" errorTitle="Outside the allowed range" operator="between" prompt="Suggested · change if you like. New Irish mortgages averaged about 3.5% in mid-2026. The ECB raised rates in September 2026, so new rates may rise. Your statement shows your own rate.  Allowed: 1% to 8% · steps of 0.05%." promptTitle="Interest rate" showDropDown="false" showErrorMessage="true" showInputMessage="true" sqref="C14" type="decimal">
      <formula1>0.01</formula1>
      <formula2>0.08</formula2>
    </dataValidation>
    <dataValidation allowBlank="false" error="Please enter 5 to 35 · steps of 1." errorStyle="stop" errorTitle="Outside the allowed range" operator="between" prompt="Unit: years. Allowed: 5 to 35 · steps of 1." promptTitle="Term A" showDropDown="false" showErrorMessage="true" showInputMessage="true" sqref="C15" type="whole">
      <formula1>5</formula1>
      <formula2>35</formula2>
    </dataValidation>
    <dataValidation allowBlank="false" error="Please enter 5 to 35 · steps of 1." errorStyle="stop" errorTitle="Outside the allowed range" operator="between" prompt="Unit: years. Allowed: 5 to 35 · steps of 1." promptTitle="Term B" showDropDown="false" showErrorMessage="true" showInputMessage="true" sqref="C16" type="whole">
      <formula1>5</formula1>
      <formula2>35</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G4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50"/>
    <col collapsed="false" customWidth="true" hidden="false" outlineLevel="0" max="3" min="3" style="0" width="26"/>
    <col collapsed="false" customWidth="true" hidden="false" outlineLevel="0" max="4" min="4" style="0" width="24"/>
    <col collapsed="false" customWidth="true" hidden="false" outlineLevel="0" max="5" min="5" style="0" width="78"/>
    <col collapsed="false" customWidth="true" hidden="false" outlineLevel="0" max="6" min="6" style="0" width="2"/>
    <col collapsed="false" customWidth="true" hidden="false" outlineLevel="0" max="7" min="7" style="0" width="44"/>
  </cols>
  <sheetData>
    <row r="1" customFormat="false" ht="19.7" hidden="false" customHeight="false" outlineLevel="0" collapsed="false">
      <c r="B1" s="16" t="s">
        <v>483</v>
      </c>
      <c r="G1" s="2" t="s">
        <v>198</v>
      </c>
    </row>
    <row r="2" customFormat="false" ht="15" hidden="false" customHeight="false" outlineLevel="0" collapsed="false">
      <c r="B2" s="17" t="s">
        <v>484</v>
      </c>
      <c r="G2" s="2" t="s">
        <v>485</v>
      </c>
    </row>
    <row r="3" customFormat="false" ht="15" hidden="false" customHeight="false" outlineLevel="0" collapsed="false">
      <c r="B3" s="18" t="s">
        <v>486</v>
      </c>
    </row>
    <row r="5" customFormat="false" ht="15" hidden="false" customHeight="false" outlineLevel="0" collapsed="false">
      <c r="B5" s="9" t="s">
        <v>202</v>
      </c>
      <c r="C5" s="19" t="s">
        <v>203</v>
      </c>
      <c r="D5" s="19" t="s">
        <v>204</v>
      </c>
      <c r="E5" s="19" t="s">
        <v>205</v>
      </c>
    </row>
    <row r="6" customFormat="false" ht="15" hidden="false" customHeight="false" outlineLevel="0" collapsed="false">
      <c r="B6" s="20" t="s">
        <v>487</v>
      </c>
      <c r="C6" s="21" t="n">
        <v>1800</v>
      </c>
      <c r="D6" s="22" t="s">
        <v>207</v>
      </c>
      <c r="E6" s="2" t="s">
        <v>488</v>
      </c>
      <c r="G6" s="23" t="s">
        <v>489</v>
      </c>
    </row>
    <row r="7" customFormat="false" ht="15" hidden="false" customHeight="false" outlineLevel="0" collapsed="false">
      <c r="B7" s="20" t="s">
        <v>361</v>
      </c>
      <c r="C7" s="21" t="n">
        <v>350000</v>
      </c>
      <c r="D7" s="22" t="s">
        <v>207</v>
      </c>
      <c r="E7" s="2" t="s">
        <v>362</v>
      </c>
      <c r="G7" s="23" t="s">
        <v>363</v>
      </c>
    </row>
    <row r="8" customFormat="false" ht="15" hidden="false" customHeight="false" outlineLevel="0" collapsed="false">
      <c r="B8" s="20" t="s">
        <v>381</v>
      </c>
      <c r="C8" s="21" t="n">
        <v>35000</v>
      </c>
      <c r="D8" s="22" t="s">
        <v>207</v>
      </c>
      <c r="E8" s="2" t="s">
        <v>490</v>
      </c>
      <c r="G8" s="23" t="s">
        <v>491</v>
      </c>
    </row>
    <row r="9" customFormat="false" ht="15" hidden="false" customHeight="false" outlineLevel="0" collapsed="false">
      <c r="B9" s="20" t="s">
        <v>492</v>
      </c>
      <c r="C9" s="25" t="n">
        <v>0.0375</v>
      </c>
      <c r="D9" s="22" t="s">
        <v>222</v>
      </c>
      <c r="E9" s="26" t="s">
        <v>223</v>
      </c>
      <c r="G9" s="23" t="s">
        <v>224</v>
      </c>
    </row>
    <row r="10" customFormat="false" ht="15" hidden="false" customHeight="false" outlineLevel="0" collapsed="false">
      <c r="B10" s="20" t="s">
        <v>225</v>
      </c>
      <c r="C10" s="27" t="n">
        <v>30</v>
      </c>
      <c r="D10" s="22" t="s">
        <v>226</v>
      </c>
      <c r="E10" s="26" t="s">
        <v>493</v>
      </c>
      <c r="G10" s="23" t="s">
        <v>228</v>
      </c>
    </row>
    <row r="11" customFormat="false" ht="15" hidden="false" customHeight="false" outlineLevel="0" collapsed="false">
      <c r="B11" s="20" t="s">
        <v>494</v>
      </c>
      <c r="C11" s="27" t="n">
        <v>10</v>
      </c>
      <c r="D11" s="22" t="s">
        <v>226</v>
      </c>
      <c r="E11" s="2" t="s">
        <v>495</v>
      </c>
      <c r="G11" s="23" t="s">
        <v>496</v>
      </c>
    </row>
    <row r="12" customFormat="false" ht="15" hidden="false" customHeight="false" outlineLevel="0" collapsed="false">
      <c r="B12" s="20" t="s">
        <v>497</v>
      </c>
      <c r="C12" s="25" t="n">
        <v>0.02</v>
      </c>
      <c r="D12" s="22" t="s">
        <v>222</v>
      </c>
      <c r="E12" s="26" t="s">
        <v>498</v>
      </c>
      <c r="G12" s="23" t="s">
        <v>499</v>
      </c>
    </row>
    <row r="13" customFormat="false" ht="15" hidden="false" customHeight="false" outlineLevel="0" collapsed="false">
      <c r="B13" s="20" t="s">
        <v>500</v>
      </c>
      <c r="C13" s="25" t="n">
        <v>0.03</v>
      </c>
      <c r="D13" s="22" t="s">
        <v>222</v>
      </c>
      <c r="E13" s="26" t="s">
        <v>501</v>
      </c>
      <c r="G13" s="23" t="s">
        <v>502</v>
      </c>
    </row>
    <row r="14" customFormat="false" ht="15" hidden="false" customHeight="false" outlineLevel="0" collapsed="false">
      <c r="B14" s="20" t="s">
        <v>503</v>
      </c>
      <c r="C14" s="25" t="n">
        <v>0.01</v>
      </c>
      <c r="D14" s="22" t="s">
        <v>222</v>
      </c>
      <c r="E14" s="26" t="s">
        <v>504</v>
      </c>
      <c r="G14" s="23" t="s">
        <v>505</v>
      </c>
    </row>
    <row r="15" customFormat="false" ht="15" hidden="false" customHeight="false" outlineLevel="0" collapsed="false">
      <c r="B15" s="20" t="s">
        <v>229</v>
      </c>
      <c r="C15" s="21" t="n">
        <v>3000</v>
      </c>
      <c r="D15" s="22" t="s">
        <v>207</v>
      </c>
      <c r="E15" s="26" t="s">
        <v>230</v>
      </c>
      <c r="G15" s="23" t="s">
        <v>231</v>
      </c>
    </row>
    <row r="16" customFormat="false" ht="15" hidden="false" customHeight="false" outlineLevel="0" collapsed="false">
      <c r="B16" s="20" t="s">
        <v>506</v>
      </c>
      <c r="C16" s="25" t="n">
        <v>0.01</v>
      </c>
      <c r="D16" s="22" t="s">
        <v>222</v>
      </c>
      <c r="E16" s="26" t="s">
        <v>498</v>
      </c>
      <c r="G16" s="23" t="s">
        <v>505</v>
      </c>
    </row>
    <row r="17" customFormat="false" ht="15" hidden="false" customHeight="false" outlineLevel="0" collapsed="false">
      <c r="B17" s="20" t="s">
        <v>232</v>
      </c>
      <c r="C17" s="27" t="n">
        <v>3</v>
      </c>
      <c r="D17" s="22" t="s">
        <v>226</v>
      </c>
      <c r="E17" s="26" t="s">
        <v>233</v>
      </c>
      <c r="G17" s="23" t="s">
        <v>234</v>
      </c>
    </row>
    <row r="19" customFormat="false" ht="15" hidden="false" customHeight="false" outlineLevel="0" collapsed="false">
      <c r="B19" s="9" t="s">
        <v>238</v>
      </c>
      <c r="C19" s="19" t="s">
        <v>239</v>
      </c>
      <c r="D19" s="19" t="s">
        <v>240</v>
      </c>
      <c r="E19" s="19" t="s">
        <v>241</v>
      </c>
    </row>
    <row r="20" customFormat="false" ht="17.35" hidden="false" customHeight="false" outlineLevel="0" collapsed="false">
      <c r="B20" s="17" t="s">
        <v>507</v>
      </c>
      <c r="C20" s="28" t="n">
        <f aca="false">Home_Value-Balance_After</f>
        <v>180595.953097467</v>
      </c>
      <c r="D20" s="22" t="s">
        <v>207</v>
      </c>
      <c r="E20" s="29" t="s">
        <v>508</v>
      </c>
    </row>
    <row r="21" customFormat="false" ht="17.35" hidden="false" customHeight="false" outlineLevel="0" collapsed="false">
      <c r="B21" s="17" t="s">
        <v>509</v>
      </c>
      <c r="C21" s="28" t="n">
        <f aca="false">IF(Rent_Growth=0,Monthly_Rent*12*Years,Monthly_Rent*12*((1+Rent_Growth)^Years-1)/Rent_Growth)</f>
        <v>247619.793127768</v>
      </c>
      <c r="D21" s="22" t="s">
        <v>207</v>
      </c>
      <c r="E21" s="29" t="s">
        <v>510</v>
      </c>
    </row>
    <row r="22" customFormat="false" ht="17.35" hidden="false" customHeight="false" outlineLevel="0" collapsed="false">
      <c r="B22" s="17" t="s">
        <v>511</v>
      </c>
      <c r="C22" s="28" t="n">
        <f aca="false">Interest_Paid+Upkeep+Stamp_Duty+Buying_Fees+Opportunity_Cost</f>
        <v>154595.585403438</v>
      </c>
      <c r="D22" s="22" t="s">
        <v>207</v>
      </c>
      <c r="E22" s="29" t="s">
        <v>512</v>
      </c>
    </row>
    <row r="23" customFormat="false" ht="15" hidden="false" customHeight="false" outlineLevel="0" collapsed="false">
      <c r="B23" s="20" t="s">
        <v>513</v>
      </c>
      <c r="C23" s="30" t="n">
        <f aca="false">Home_Price*(1+House_Growth)^Years</f>
        <v>426648.046998165</v>
      </c>
      <c r="D23" s="22" t="s">
        <v>207</v>
      </c>
      <c r="E23" s="29" t="s">
        <v>514</v>
      </c>
    </row>
    <row r="24" customFormat="false" ht="15" hidden="false" customHeight="false" outlineLevel="0" collapsed="false">
      <c r="B24" s="20" t="s">
        <v>515</v>
      </c>
      <c r="C24" s="30" t="n">
        <f aca="false">MAX(0,Home_Price-Deposit)</f>
        <v>315000</v>
      </c>
      <c r="D24" s="22" t="s">
        <v>207</v>
      </c>
      <c r="E24" s="29" t="s">
        <v>516</v>
      </c>
    </row>
    <row r="25" customFormat="false" ht="15" hidden="false" customHeight="false" outlineLevel="0" collapsed="false">
      <c r="B25" s="20" t="s">
        <v>302</v>
      </c>
      <c r="C25" s="30" t="n">
        <f aca="false">PMT(Mortgage_Rate/12,RentBuy_Term*12,-Loan)</f>
        <v>1458.8141134522</v>
      </c>
      <c r="D25" s="22" t="s">
        <v>207</v>
      </c>
      <c r="E25" s="29" t="s">
        <v>517</v>
      </c>
    </row>
    <row r="26" customFormat="false" ht="15" hidden="false" customHeight="false" outlineLevel="0" collapsed="false">
      <c r="B26" s="20" t="s">
        <v>518</v>
      </c>
      <c r="C26" s="30" t="n">
        <f aca="false">MAX(0,-FV(Mortgage_Rate/12,MIN(Years,RentBuy_Term)*12,-Monthly_Repayment,Loan))</f>
        <v>246052.093900699</v>
      </c>
      <c r="D26" s="22" t="s">
        <v>207</v>
      </c>
      <c r="E26" s="29" t="s">
        <v>519</v>
      </c>
    </row>
    <row r="27" customFormat="false" ht="15" hidden="false" customHeight="false" outlineLevel="0" collapsed="false">
      <c r="B27" s="20" t="s">
        <v>520</v>
      </c>
      <c r="C27" s="30" t="n">
        <f aca="false">Monthly_Repayment*MIN(Years,RentBuy_Term)*12-(Loan-Balance_After)</f>
        <v>106109.787514963</v>
      </c>
      <c r="D27" s="22" t="s">
        <v>207</v>
      </c>
      <c r="E27" s="29" t="s">
        <v>521</v>
      </c>
    </row>
    <row r="28" customFormat="false" ht="22.35" hidden="false" customHeight="false" outlineLevel="0" collapsed="false">
      <c r="B28" s="20" t="s">
        <v>522</v>
      </c>
      <c r="C28" s="30" t="n">
        <f aca="false">IF(House_Growth=0,Home_Price*Upkeep_Rate*Years,Home_Price*Upkeep_Rate*((1+House_Growth)^Years-1)/House_Growth)</f>
        <v>38324.0234990825</v>
      </c>
      <c r="D28" s="22" t="s">
        <v>207</v>
      </c>
      <c r="E28" s="29" t="s">
        <v>523</v>
      </c>
    </row>
    <row r="29" customFormat="false" ht="22.35" hidden="false" customHeight="false" outlineLevel="0" collapsed="false">
      <c r="B29" s="20" t="s">
        <v>383</v>
      </c>
      <c r="C29" s="30" t="n">
        <f aca="false">SD_Rate_1*MIN(Home_Price,SD_Band_1)+SD_Rate_2*MAX(0,MIN(Home_Price,SD_Band_2)-SD_Band_1)+SD_Rate_3*MAX(0,Home_Price-SD_Band_2)</f>
        <v>3500</v>
      </c>
      <c r="D29" s="22" t="s">
        <v>207</v>
      </c>
      <c r="E29" s="29" t="s">
        <v>249</v>
      </c>
    </row>
    <row r="30" customFormat="false" ht="15" hidden="false" customHeight="false" outlineLevel="0" collapsed="false">
      <c r="B30" s="20" t="s">
        <v>524</v>
      </c>
      <c r="C30" s="30" t="n">
        <f aca="false">Deposit*((1+Opp_Rate)^Years-1)</f>
        <v>3661.77438939216</v>
      </c>
      <c r="D30" s="22" t="s">
        <v>207</v>
      </c>
      <c r="E30" s="29" t="s">
        <v>525</v>
      </c>
    </row>
    <row r="32" customFormat="false" ht="15" hidden="false" customHeight="false" outlineLevel="0" collapsed="false">
      <c r="B32" s="9" t="s">
        <v>271</v>
      </c>
      <c r="C32" s="10"/>
      <c r="D32" s="10"/>
      <c r="E32" s="10"/>
    </row>
    <row r="33" customFormat="false" ht="27.75" hidden="false" customHeight="true" outlineLevel="0" collapsed="false">
      <c r="B33" s="33" t="s">
        <v>526</v>
      </c>
      <c r="C33" s="33"/>
      <c r="D33" s="33"/>
      <c r="E33" s="33"/>
    </row>
    <row r="34" customFormat="false" ht="27.75" hidden="false" customHeight="true" outlineLevel="0" collapsed="false">
      <c r="B34" s="33" t="s">
        <v>527</v>
      </c>
      <c r="C34" s="33"/>
      <c r="D34" s="33"/>
      <c r="E34" s="33"/>
    </row>
    <row r="35" customFormat="false" ht="27.75" hidden="false" customHeight="true" outlineLevel="0" collapsed="false">
      <c r="B35" s="33" t="s">
        <v>528</v>
      </c>
      <c r="C35" s="33"/>
      <c r="D35" s="33"/>
      <c r="E35" s="33"/>
    </row>
    <row r="36" customFormat="false" ht="13.5" hidden="false" customHeight="true" outlineLevel="0" collapsed="false">
      <c r="B36" s="34" t="s">
        <v>275</v>
      </c>
      <c r="C36" s="34"/>
      <c r="D36" s="34"/>
      <c r="E36" s="34"/>
    </row>
    <row r="37" customFormat="false" ht="13.5" hidden="false" customHeight="true" outlineLevel="0" collapsed="false">
      <c r="B37" s="33" t="s">
        <v>529</v>
      </c>
      <c r="C37" s="33"/>
      <c r="D37" s="33"/>
      <c r="E37" s="33"/>
    </row>
    <row r="38" customFormat="false" ht="27.75" hidden="false" customHeight="true" outlineLevel="0" collapsed="false">
      <c r="B38" s="33" t="s">
        <v>530</v>
      </c>
      <c r="C38" s="33"/>
      <c r="D38" s="33"/>
      <c r="E38" s="33"/>
    </row>
    <row r="40" customFormat="false" ht="15" hidden="false" customHeight="false" outlineLevel="0" collapsed="false">
      <c r="B40" s="9" t="s">
        <v>280</v>
      </c>
      <c r="C40" s="10"/>
      <c r="D40" s="10"/>
      <c r="E40" s="10"/>
    </row>
    <row r="41" customFormat="false" ht="15" hidden="false" customHeight="false" outlineLevel="0" collapsed="false">
      <c r="B41" s="20" t="s">
        <v>281</v>
      </c>
      <c r="C41" s="35" t="str">
        <f aca="false">"Buy a home (deposit goal)"</f>
        <v>Buy a home (deposit goal)</v>
      </c>
      <c r="E41" s="36" t="s">
        <v>282</v>
      </c>
    </row>
    <row r="42" customFormat="false" ht="15" hidden="false" customHeight="false" outlineLevel="0" collapsed="false">
      <c r="B42" s="20" t="s">
        <v>390</v>
      </c>
      <c r="C42" s="37" t="n">
        <f aca="false">ROUND(Deposit+Stamp_Duty+Buying_Fees,0)</f>
        <v>41500</v>
      </c>
      <c r="E42" s="36" t="s">
        <v>531</v>
      </c>
    </row>
    <row r="43" customFormat="false" ht="15" hidden="false" customHeight="false" outlineLevel="0" collapsed="false">
      <c r="B43" s="20" t="s">
        <v>287</v>
      </c>
      <c r="C43" s="38" t="n">
        <f aca="false">Home_Goal_Years</f>
        <v>3</v>
      </c>
      <c r="E43" s="36" t="s">
        <v>288</v>
      </c>
    </row>
  </sheetData>
  <mergeCells count="6">
    <mergeCell ref="B33:E33"/>
    <mergeCell ref="B34:E34"/>
    <mergeCell ref="B35:E35"/>
    <mergeCell ref="B36:E36"/>
    <mergeCell ref="B37:E37"/>
    <mergeCell ref="B38:E38"/>
  </mergeCells>
  <dataValidations count="12">
    <dataValidation allowBlank="false" error="Please enter €100,000 to €10,000,000 · steps of €5,000." errorStyle="stop" errorTitle="Outside the allowed range" operator="between" prompt="Unit: €. Allowed: €100,000 to €10,000,000 · steps of €5,000." promptTitle="Home price" showDropDown="false" showErrorMessage="true" showInputMessage="true" sqref="C7" type="decimal">
      <formula1>100000</formula1>
      <formula2>10000000</formula2>
    </dataValidation>
    <dataValidation allowBlank="false" error="Please enter €0 to €10,000 · steps of €100." errorStyle="stop" errorTitle="Outside the allowed range" operator="between" prompt="Suggested · change if you like. Legal and other buying fees are usually about €2,500–€3,500 (stamp duty is worked out for you).  Allowed: €0 to €10,000 · steps of €100." promptTitle="Legal and other buying fees" showDropDown="false" showErrorMessage="true" showInputMessage="true" sqref="C15" type="decimal">
      <formula1>0</formula1>
      <formula2>10000</formula2>
    </dataValidation>
    <dataValidation allowBlank="false" error="Please enter 1 to 30 · steps of 1." errorStyle="stop" errorTitle="Outside the allowed range" operator="between" prompt="Suggested · change if you like. When you plan to buy; you can change it in the plan.  Allowed: 1 to 30 · steps of 1." promptTitle="Years until you buy (for the pla" showDropDown="false" showErrorMessage="true" showInputMessage="true" sqref="C17" type="whole">
      <formula1>1</formula1>
      <formula2>30</formula2>
    </dataValidation>
    <dataValidation allowBlank="false" error="Please enter €500 to €50,000 · steps of €50." errorStyle="stop" errorTitle="Outside the allowed range" operator="between" prompt="Unit: €. Allowed: €500 to €50,000 · steps of €50." promptTitle="Monthly rent" showDropDown="false" showErrorMessage="true" showInputMessage="true" sqref="C6" type="decimal">
      <formula1>500</formula1>
      <formula2>50000</formula2>
    </dataValidation>
    <dataValidation allowBlank="false" error="Please enter at least 10% of the price and no more than the price." errorStyle="stop" errorTitle="Outside the allowed range" operator="between" prompt="Unit: €. Allowed: at least 10% of the price and no more than the price." promptTitle="Deposit" showDropDown="false" showErrorMessage="true" showInputMessage="true" sqref="C8" type="custom">
      <formula1>AND('C07 Rent vs buy'!Deposit&gt;=Min_Deposit_Pct*'C07 Rent vs buy'!Home_Price,'C07 Rent vs buy'!Deposit&lt;='C07 Rent vs buy'!Home_Price)</formula1>
      <formula2>0</formula2>
    </dataValidation>
    <dataValidation allowBlank="false" error="Please enter 1% to 8% · steps of 0.05%." errorStyle="stop" errorTitle="Outside the allowed range" operator="between" prompt="Suggested · change if you like. New Irish mortgages averaged about 3.5% in mid-2026. The ECB raised rates in September 2026, so new rates may rise. Your statement shows your own rate.  Allowed: 1% to 8% · steps of 0.05%." promptTitle="Mortgage rate" showDropDown="false" showErrorMessage="true" showInputMessage="true" sqref="C9" type="decimal">
      <formula1>0.01</formula1>
      <formula2>0.08</formula2>
    </dataValidation>
    <dataValidation allowBlank="false" error="Please enter 5 to 35 · steps of 1." errorStyle="stop" errorTitle="Outside the allowed range" operator="between" prompt="Suggested · change if you like. Most Irish mortgages run 30 years; up to 35 is possible.  Allowed: 5 to 35 · steps of 1." promptTitle="Mortgage term" showDropDown="false" showErrorMessage="true" showInputMessage="true" sqref="C10" type="whole">
      <formula1>5</formula1>
      <formula2>35</formula2>
    </dataValidation>
    <dataValidation allowBlank="false" error="Please enter 1 to 30 · steps of 1." errorStyle="stop" errorTitle="Outside the allowed range" operator="between" prompt="Unit: years. Allowed: 1 to 30 · steps of 1." promptTitle="Years to compare" showDropDown="false" showErrorMessage="true" showInputMessage="true" sqref="C11" type="whole">
      <formula1>1</formula1>
      <formula2>30</formula2>
    </dataValidation>
    <dataValidation allowBlank="false" error="Please enter 0% to 6% · steps of 0.5%." errorStyle="stop" errorTitle="Outside the allowed range" operator="between" prompt="Suggested · change if you like. Buying has costs that don't build equity: interest, stamp duty, fees, LPT and repairs.  Allowed: 0% to 6% · steps of 0.5%." promptTitle="House prices rise a year" showDropDown="false" showErrorMessage="true" showInputMessage="true" sqref="C12" type="decimal">
      <formula1>0</formula1>
      <formula2>0.06</formula2>
    </dataValidation>
    <dataValidation allowBlank="false" error="Please enter 0% to 8% · steps of 0.5%." errorStyle="stop" errorTitle="Outside the allowed range" operator="between" prompt="Suggested · change if you like. Renting has rent rises. Irish rents have risen faster than prices in recent years.  Allowed: 0% to 8% · steps of 0.5%." promptTitle="Rent rises a year" showDropDown="false" showErrorMessage="true" showInputMessage="true" sqref="C13" type="decimal">
      <formula1>0</formula1>
      <formula2>0.08</formula2>
    </dataValidation>
    <dataValidation allowBlank="false" error="Please enter 0% to 3% · steps of 0.1%." errorStyle="stop" errorTitle="Outside the allowed range" operator="between" prompt="Suggested · change if you like. Buying has costs that don't build equity: interest, stamp duty, fees, LPT and repairs.  Allowed: 0% to 3% · steps of 0.1%." promptTitle="Upkeep a year, % of the home's v" showDropDown="false" showErrorMessage="true" showInputMessage="true" sqref="C14" type="decimal">
      <formula1>0</formula1>
      <formula2>0.03</formula2>
    </dataValidation>
    <dataValidation allowBlank="false" error="Please enter 0% to 6% · steps of 0.5%." errorStyle="stop" errorTitle="Outside the allowed range" operator="between" prompt="Suggested · change if you like. What your deposit could have earned if you rented instead (cash after DIRT about 1%).  Allowed: 0% to 6% · steps of 0.5%." promptTitle="What the deposit could earn a ye" showDropDown="false" showErrorMessage="true" showInputMessage="true" sqref="C16" type="decimal">
      <formula1>0</formula1>
      <formula2>0.06</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G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50"/>
    <col collapsed="false" customWidth="true" hidden="false" outlineLevel="0" max="3" min="3" style="0" width="26"/>
    <col collapsed="false" customWidth="true" hidden="false" outlineLevel="0" max="4" min="4" style="0" width="24"/>
    <col collapsed="false" customWidth="true" hidden="false" outlineLevel="0" max="5" min="5" style="0" width="78"/>
    <col collapsed="false" customWidth="true" hidden="false" outlineLevel="0" max="6" min="6" style="0" width="2"/>
    <col collapsed="false" customWidth="true" hidden="false" outlineLevel="0" max="7" min="7" style="0" width="44"/>
  </cols>
  <sheetData>
    <row r="1" customFormat="false" ht="19.7" hidden="false" customHeight="false" outlineLevel="0" collapsed="false">
      <c r="B1" s="16" t="s">
        <v>532</v>
      </c>
      <c r="G1" s="2" t="s">
        <v>533</v>
      </c>
    </row>
    <row r="2" customFormat="false" ht="15" hidden="false" customHeight="false" outlineLevel="0" collapsed="false">
      <c r="B2" s="17" t="s">
        <v>534</v>
      </c>
      <c r="G2" s="2" t="s">
        <v>535</v>
      </c>
    </row>
    <row r="3" customFormat="false" ht="15" hidden="false" customHeight="false" outlineLevel="0" collapsed="false">
      <c r="B3" s="18" t="s">
        <v>536</v>
      </c>
    </row>
    <row r="5" customFormat="false" ht="15" hidden="false" customHeight="false" outlineLevel="0" collapsed="false">
      <c r="B5" s="9" t="s">
        <v>537</v>
      </c>
      <c r="C5" s="19" t="s">
        <v>203</v>
      </c>
      <c r="D5" s="19" t="s">
        <v>204</v>
      </c>
      <c r="E5" s="19" t="s">
        <v>205</v>
      </c>
    </row>
    <row r="6" customFormat="false" ht="15" hidden="false" customHeight="false" outlineLevel="0" collapsed="false">
      <c r="B6" s="20" t="s">
        <v>538</v>
      </c>
      <c r="C6" s="25"/>
      <c r="D6" s="22" t="s">
        <v>222</v>
      </c>
      <c r="E6" s="2" t="s">
        <v>539</v>
      </c>
      <c r="G6" s="23" t="s">
        <v>540</v>
      </c>
    </row>
    <row r="7" customFormat="false" ht="27.75" hidden="false" customHeight="true" outlineLevel="0" collapsed="false">
      <c r="B7" s="39" t="s">
        <v>541</v>
      </c>
      <c r="C7" s="39"/>
      <c r="D7" s="39"/>
      <c r="E7" s="39"/>
    </row>
    <row r="9" customFormat="false" ht="15" hidden="false" customHeight="false" outlineLevel="0" collapsed="false">
      <c r="B9" s="9" t="s">
        <v>202</v>
      </c>
      <c r="C9" s="19" t="s">
        <v>203</v>
      </c>
      <c r="D9" s="19" t="s">
        <v>204</v>
      </c>
      <c r="E9" s="19" t="s">
        <v>205</v>
      </c>
    </row>
    <row r="10" customFormat="false" ht="15" hidden="false" customHeight="false" outlineLevel="0" collapsed="false">
      <c r="B10" s="20" t="s">
        <v>542</v>
      </c>
      <c r="C10" s="21" t="n">
        <v>15000</v>
      </c>
      <c r="D10" s="22" t="s">
        <v>207</v>
      </c>
      <c r="E10" s="2" t="s">
        <v>543</v>
      </c>
      <c r="G10" s="23" t="s">
        <v>544</v>
      </c>
    </row>
    <row r="11" customFormat="false" ht="15" hidden="false" customHeight="false" outlineLevel="0" collapsed="false">
      <c r="B11" s="20" t="s">
        <v>545</v>
      </c>
      <c r="C11" s="27" t="n">
        <v>3</v>
      </c>
      <c r="D11" s="22" t="s">
        <v>226</v>
      </c>
      <c r="E11" s="2" t="s">
        <v>495</v>
      </c>
      <c r="G11" s="23" t="s">
        <v>546</v>
      </c>
    </row>
    <row r="12" customFormat="false" ht="15" hidden="false" customHeight="false" outlineLevel="0" collapsed="false">
      <c r="B12" s="20" t="s">
        <v>285</v>
      </c>
      <c r="C12" s="21" t="n">
        <v>2000</v>
      </c>
      <c r="D12" s="22" t="s">
        <v>207</v>
      </c>
      <c r="E12" s="2" t="s">
        <v>368</v>
      </c>
      <c r="G12" s="23" t="s">
        <v>547</v>
      </c>
    </row>
    <row r="13" customFormat="false" ht="15" hidden="false" customHeight="false" outlineLevel="0" collapsed="false">
      <c r="B13" s="20" t="s">
        <v>548</v>
      </c>
      <c r="C13" s="25" t="n">
        <v>0.02</v>
      </c>
      <c r="D13" s="22" t="s">
        <v>222</v>
      </c>
      <c r="E13" s="26" t="s">
        <v>549</v>
      </c>
      <c r="G13" s="23" t="s">
        <v>499</v>
      </c>
    </row>
    <row r="15" customFormat="false" ht="15" hidden="false" customHeight="false" outlineLevel="0" collapsed="false">
      <c r="B15" s="9" t="s">
        <v>238</v>
      </c>
      <c r="C15" s="19" t="s">
        <v>239</v>
      </c>
      <c r="D15" s="19" t="s">
        <v>240</v>
      </c>
      <c r="E15" s="19" t="s">
        <v>241</v>
      </c>
    </row>
    <row r="16" customFormat="false" ht="17.35" hidden="false" customHeight="false" outlineLevel="0" collapsed="false">
      <c r="B16" s="17" t="s">
        <v>550</v>
      </c>
      <c r="C16" s="28" t="str">
        <f aca="false">IF(ISBLANK(Inflation_Choice),"Enter your inflation rate",PMT(Monthly_Growth,Years*12,0,-Still_Needed))</f>
        <v>Enter your inflation rate</v>
      </c>
      <c r="D16" s="22" t="s">
        <v>207</v>
      </c>
      <c r="E16" s="29" t="s">
        <v>551</v>
      </c>
    </row>
    <row r="17" customFormat="false" ht="17.35" hidden="false" customHeight="false" outlineLevel="0" collapsed="false">
      <c r="B17" s="17" t="s">
        <v>552</v>
      </c>
      <c r="C17" s="28" t="str">
        <f aca="false">IF(ISBLANK(Inflation_Choice),"Enter your inflation rate",Goal_Amount*(1+Inflation_Choice)^Years)</f>
        <v>Enter your inflation rate</v>
      </c>
      <c r="D17" s="22" t="s">
        <v>207</v>
      </c>
      <c r="E17" s="29" t="s">
        <v>553</v>
      </c>
    </row>
    <row r="18" customFormat="false" ht="15" hidden="false" customHeight="false" outlineLevel="0" collapsed="false">
      <c r="B18" s="20" t="s">
        <v>554</v>
      </c>
      <c r="C18" s="30" t="n">
        <f aca="false">Saved*(1+Growth_Rate)^Years</f>
        <v>2122.416</v>
      </c>
      <c r="D18" s="22" t="s">
        <v>207</v>
      </c>
      <c r="E18" s="29" t="s">
        <v>555</v>
      </c>
    </row>
    <row r="19" customFormat="false" ht="15" hidden="false" customHeight="false" outlineLevel="0" collapsed="false">
      <c r="B19" s="20" t="s">
        <v>556</v>
      </c>
      <c r="C19" s="30" t="str">
        <f aca="false">IF(ISBLANK(Inflation_Choice),"Enter your inflation rate",MAX(0,Future_Cost-Saved_Grows_To))</f>
        <v>Enter your inflation rate</v>
      </c>
      <c r="D19" s="22" t="s">
        <v>207</v>
      </c>
      <c r="E19" s="29" t="s">
        <v>557</v>
      </c>
    </row>
    <row r="20" customFormat="false" ht="15" hidden="false" customHeight="false" outlineLevel="0" collapsed="false">
      <c r="B20" s="20" t="s">
        <v>558</v>
      </c>
      <c r="C20" s="50" t="n">
        <f aca="false">(1+Growth_Rate)^(1/12)-1</f>
        <v>0.00165158130192022</v>
      </c>
      <c r="D20" s="22"/>
      <c r="E20" s="29" t="s">
        <v>559</v>
      </c>
    </row>
    <row r="21" customFormat="false" ht="15" hidden="false" customHeight="false" outlineLevel="0" collapsed="false">
      <c r="B21" s="54" t="str">
        <f aca="false">"Before tax: deposit interest is taxed at "&amp;TEXT(DIRT,"0%")&amp;" DIRT; investment funds and life policies pay "&amp;TEXT(Exit_Tax,"0%")&amp;" exit tax on gains, also charged every "&amp;Deemed_Disposal_Years&amp;" years (deemed disposal). Pension funds grow tax-free. No tax is taken off here."</f>
        <v>Before tax: deposit interest is taxed at 33% DIRT; investment funds and life policies pay 38% exit tax on gains, also charged every 8 years (deemed disposal). Pension funds grow tax-free. No tax is taken off here.</v>
      </c>
      <c r="C21" s="54"/>
      <c r="D21" s="54"/>
      <c r="E21" s="54"/>
    </row>
    <row r="23" customFormat="false" ht="15" hidden="false" customHeight="false" outlineLevel="0" collapsed="false">
      <c r="B23" s="9" t="s">
        <v>271</v>
      </c>
      <c r="C23" s="10"/>
      <c r="D23" s="10"/>
      <c r="E23" s="10"/>
    </row>
    <row r="24" customFormat="false" ht="13.5" hidden="false" customHeight="true" outlineLevel="0" collapsed="false">
      <c r="B24" s="33" t="s">
        <v>560</v>
      </c>
      <c r="C24" s="33"/>
      <c r="D24" s="33"/>
      <c r="E24" s="33"/>
    </row>
    <row r="25" customFormat="false" ht="13.5" hidden="false" customHeight="true" outlineLevel="0" collapsed="false">
      <c r="B25" s="33" t="s">
        <v>561</v>
      </c>
      <c r="C25" s="33"/>
      <c r="D25" s="33"/>
      <c r="E25" s="33"/>
    </row>
    <row r="26" customFormat="false" ht="13.5" hidden="false" customHeight="true" outlineLevel="0" collapsed="false">
      <c r="B26" s="33" t="s">
        <v>562</v>
      </c>
      <c r="C26" s="33"/>
      <c r="D26" s="33"/>
      <c r="E26" s="33"/>
    </row>
    <row r="27" customFormat="false" ht="13.5" hidden="false" customHeight="true" outlineLevel="0" collapsed="false">
      <c r="B27" s="34" t="s">
        <v>275</v>
      </c>
      <c r="C27" s="34"/>
      <c r="D27" s="34"/>
      <c r="E27" s="34"/>
    </row>
    <row r="28" customFormat="false" ht="13.5" hidden="false" customHeight="true" outlineLevel="0" collapsed="false">
      <c r="B28" s="33" t="s">
        <v>563</v>
      </c>
      <c r="C28" s="33"/>
      <c r="D28" s="33"/>
      <c r="E28" s="33"/>
    </row>
    <row r="29" customFormat="false" ht="13.5" hidden="false" customHeight="true" outlineLevel="0" collapsed="false">
      <c r="B29" s="33" t="s">
        <v>564</v>
      </c>
      <c r="C29" s="33"/>
      <c r="D29" s="33"/>
      <c r="E29" s="33"/>
    </row>
    <row r="31" customFormat="false" ht="15" hidden="false" customHeight="false" outlineLevel="0" collapsed="false">
      <c r="B31" s="9" t="s">
        <v>280</v>
      </c>
      <c r="C31" s="10"/>
      <c r="D31" s="10"/>
      <c r="E31" s="10"/>
    </row>
    <row r="32" customFormat="false" ht="15" hidden="false" customHeight="false" outlineLevel="0" collapsed="false">
      <c r="B32" s="20" t="s">
        <v>281</v>
      </c>
      <c r="C32" s="35" t="str">
        <f aca="false">"My goal (spend goal)"</f>
        <v>My goal (spend goal)</v>
      </c>
      <c r="E32" s="36" t="s">
        <v>565</v>
      </c>
    </row>
    <row r="33" customFormat="false" ht="15" hidden="false" customHeight="false" outlineLevel="0" collapsed="false">
      <c r="B33" s="20" t="s">
        <v>566</v>
      </c>
      <c r="C33" s="37" t="n">
        <f aca="false">Goal_Amount</f>
        <v>15000</v>
      </c>
      <c r="E33" s="36" t="s">
        <v>567</v>
      </c>
    </row>
    <row r="34" customFormat="false" ht="15" hidden="false" customHeight="false" outlineLevel="0" collapsed="false">
      <c r="B34" s="20" t="s">
        <v>285</v>
      </c>
      <c r="C34" s="37" t="n">
        <f aca="false">Saved</f>
        <v>2000</v>
      </c>
      <c r="E34" s="36" t="s">
        <v>392</v>
      </c>
    </row>
    <row r="35" customFormat="false" ht="15" hidden="false" customHeight="false" outlineLevel="0" collapsed="false">
      <c r="B35" s="20" t="s">
        <v>287</v>
      </c>
      <c r="C35" s="38" t="n">
        <f aca="false">Years</f>
        <v>3</v>
      </c>
      <c r="E35" s="36" t="s">
        <v>568</v>
      </c>
    </row>
    <row r="36" customFormat="false" ht="15" hidden="false" customHeight="false" outlineLevel="0" collapsed="false">
      <c r="B36" s="20" t="s">
        <v>569</v>
      </c>
      <c r="C36" s="55" t="str">
        <f aca="false">IF(ISBLANK(Inflation_Choice),"Choose an inflation rate first",Inflation_Choice)</f>
        <v>Choose an inflation rate first</v>
      </c>
      <c r="E36" s="36" t="s">
        <v>570</v>
      </c>
    </row>
  </sheetData>
  <mergeCells count="8">
    <mergeCell ref="B7:E7"/>
    <mergeCell ref="B21:E21"/>
    <mergeCell ref="B24:E24"/>
    <mergeCell ref="B25:E25"/>
    <mergeCell ref="B26:E26"/>
    <mergeCell ref="B27:E27"/>
    <mergeCell ref="B28:E28"/>
    <mergeCell ref="B29:E29"/>
  </mergeCells>
  <dataValidations count="5">
    <dataValidation allowBlank="true" error="Please enter 0% to 10% · steps of 0.25%." errorStyle="stop" errorTitle="Outside the allowed range" operator="between" prompt="Everyone sees this differently. Ireland's prices are rising 3.9% now (CSO HICP flash, Sep 2026), mostly because of energy. Over decades, 2%–2.5% is the usual planning range (ECB target 2%). Enter 0% if you don't want t Allowed: 0% to 10% · steps of 0.25%." promptTitle="Inflation you expect (your choic" showDropDown="false" showErrorMessage="true" showInputMessage="true" sqref="C6" type="decimal">
      <formula1>0</formula1>
      <formula2>0.1</formula2>
    </dataValidation>
    <dataValidation allowBlank="false" error="Please enter €500 to €5,000,000 · steps of €500." errorStyle="stop" errorTitle="Outside the allowed range" operator="between" prompt="Unit: €. Allowed: €500 to €5,000,000 · steps of €500." promptTitle="Goal amount (today's prices)" showDropDown="false" showErrorMessage="true" showInputMessage="true" sqref="C10" type="decimal">
      <formula1>500</formula1>
      <formula2>5000000</formula2>
    </dataValidation>
    <dataValidation allowBlank="false" error="Please enter 1 to 30 · steps of 1." errorStyle="stop" errorTitle="Outside the allowed range" operator="between" prompt="Unit: years. Allowed: 1 to 30 · steps of 1." promptTitle="Years until the goal" showDropDown="false" showErrorMessage="true" showInputMessage="true" sqref="C11" type="whole">
      <formula1>1</formula1>
      <formula2>30</formula2>
    </dataValidation>
    <dataValidation allowBlank="false" error="Please enter €0 to €2,000,000 · steps of €500." errorStyle="stop" errorTitle="Outside the allowed range" operator="between" prompt="Unit: €. Allowed: €0 to €2,000,000 · steps of €500." promptTitle="Already saved" showDropDown="false" showErrorMessage="true" showInputMessage="true" sqref="C12" type="decimal">
      <formula1>0</formula1>
      <formula2>2000000</formula2>
    </dataValidation>
    <dataValidation allowBlank="false" error="Please enter 0% to 7% · steps of 0.5%." errorStyle="stop" errorTitle="Outside the allowed range" operator="between" prompt="Suggested · change if you like. Irish savings accounts paid about 1.9% on fixed terms in mid-2026, about 1.25% after 33% DIRT. Demand accounts pay less. Use a higher rate only for invested money.  Allowed: 0% to 7% · steps of 0.5%." promptTitle="Growth / interest a year (after " showDropDown="false" showErrorMessage="true" showInputMessage="true" sqref="C13" type="decimal">
      <formula1>0</formula1>
      <formula2>0.07</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G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50"/>
    <col collapsed="false" customWidth="true" hidden="false" outlineLevel="0" max="3" min="3" style="0" width="26"/>
    <col collapsed="false" customWidth="true" hidden="false" outlineLevel="0" max="4" min="4" style="0" width="24"/>
    <col collapsed="false" customWidth="true" hidden="false" outlineLevel="0" max="5" min="5" style="0" width="78"/>
    <col collapsed="false" customWidth="true" hidden="false" outlineLevel="0" max="6" min="6" style="0" width="2"/>
    <col collapsed="false" customWidth="true" hidden="false" outlineLevel="0" max="7" min="7" style="0" width="44"/>
  </cols>
  <sheetData>
    <row r="1" customFormat="false" ht="19.7" hidden="false" customHeight="false" outlineLevel="0" collapsed="false">
      <c r="B1" s="16" t="s">
        <v>571</v>
      </c>
      <c r="G1" s="2" t="s">
        <v>533</v>
      </c>
    </row>
    <row r="2" customFormat="false" ht="15" hidden="false" customHeight="false" outlineLevel="0" collapsed="false">
      <c r="B2" s="17" t="s">
        <v>572</v>
      </c>
      <c r="G2" s="2" t="s">
        <v>573</v>
      </c>
    </row>
    <row r="3" customFormat="false" ht="15" hidden="false" customHeight="false" outlineLevel="0" collapsed="false">
      <c r="B3" s="18" t="s">
        <v>574</v>
      </c>
    </row>
    <row r="5" customFormat="false" ht="15" hidden="false" customHeight="false" outlineLevel="0" collapsed="false">
      <c r="B5" s="9" t="s">
        <v>537</v>
      </c>
      <c r="C5" s="19" t="s">
        <v>203</v>
      </c>
      <c r="D5" s="19" t="s">
        <v>204</v>
      </c>
      <c r="E5" s="19" t="s">
        <v>205</v>
      </c>
    </row>
    <row r="6" customFormat="false" ht="15" hidden="false" customHeight="false" outlineLevel="0" collapsed="false">
      <c r="B6" s="20" t="s">
        <v>538</v>
      </c>
      <c r="C6" s="25"/>
      <c r="D6" s="22" t="s">
        <v>222</v>
      </c>
      <c r="E6" s="2" t="s">
        <v>539</v>
      </c>
      <c r="G6" s="23" t="s">
        <v>540</v>
      </c>
    </row>
    <row r="7" customFormat="false" ht="27.75" hidden="false" customHeight="true" outlineLevel="0" collapsed="false">
      <c r="B7" s="39" t="s">
        <v>541</v>
      </c>
      <c r="C7" s="39"/>
      <c r="D7" s="39"/>
      <c r="E7" s="39"/>
    </row>
    <row r="9" customFormat="false" ht="15" hidden="false" customHeight="false" outlineLevel="0" collapsed="false">
      <c r="B9" s="9" t="s">
        <v>202</v>
      </c>
      <c r="C9" s="19" t="s">
        <v>203</v>
      </c>
      <c r="D9" s="19" t="s">
        <v>204</v>
      </c>
      <c r="E9" s="19" t="s">
        <v>205</v>
      </c>
    </row>
    <row r="10" customFormat="false" ht="15" hidden="false" customHeight="false" outlineLevel="0" collapsed="false">
      <c r="B10" s="20" t="s">
        <v>575</v>
      </c>
      <c r="C10" s="21" t="n">
        <v>5000</v>
      </c>
      <c r="D10" s="22" t="s">
        <v>207</v>
      </c>
      <c r="E10" s="2" t="s">
        <v>368</v>
      </c>
      <c r="G10" s="23" t="s">
        <v>576</v>
      </c>
    </row>
    <row r="11" customFormat="false" ht="15" hidden="false" customHeight="false" outlineLevel="0" collapsed="false">
      <c r="B11" s="20" t="s">
        <v>577</v>
      </c>
      <c r="C11" s="21" t="n">
        <v>200</v>
      </c>
      <c r="D11" s="22" t="s">
        <v>207</v>
      </c>
      <c r="E11" s="2" t="s">
        <v>578</v>
      </c>
      <c r="G11" s="23" t="s">
        <v>407</v>
      </c>
    </row>
    <row r="12" customFormat="false" ht="15" hidden="false" customHeight="false" outlineLevel="0" collapsed="false">
      <c r="B12" s="20" t="s">
        <v>579</v>
      </c>
      <c r="C12" s="25" t="n">
        <v>0.04</v>
      </c>
      <c r="D12" s="22" t="s">
        <v>222</v>
      </c>
      <c r="E12" s="26" t="s">
        <v>501</v>
      </c>
      <c r="G12" s="23" t="s">
        <v>580</v>
      </c>
    </row>
    <row r="13" customFormat="false" ht="15" hidden="false" customHeight="false" outlineLevel="0" collapsed="false">
      <c r="B13" s="20" t="s">
        <v>581</v>
      </c>
      <c r="C13" s="27" t="n">
        <v>20</v>
      </c>
      <c r="D13" s="22" t="s">
        <v>226</v>
      </c>
      <c r="E13" s="2" t="s">
        <v>582</v>
      </c>
      <c r="G13" s="23" t="s">
        <v>583</v>
      </c>
    </row>
    <row r="15" customFormat="false" ht="15" hidden="false" customHeight="false" outlineLevel="0" collapsed="false">
      <c r="B15" s="9" t="s">
        <v>238</v>
      </c>
      <c r="C15" s="19" t="s">
        <v>239</v>
      </c>
      <c r="D15" s="19" t="s">
        <v>240</v>
      </c>
      <c r="E15" s="19" t="s">
        <v>241</v>
      </c>
    </row>
    <row r="16" customFormat="false" ht="17.35" hidden="false" customHeight="false" outlineLevel="0" collapsed="false">
      <c r="B16" s="17" t="s">
        <v>584</v>
      </c>
      <c r="C16" s="28" t="n">
        <f aca="false">FV(Monthly_Growth,Years*12,-Monthly_Addition,-Starting_Amount)</f>
        <v>83723.9615385111</v>
      </c>
      <c r="D16" s="22" t="s">
        <v>207</v>
      </c>
      <c r="E16" s="29" t="s">
        <v>585</v>
      </c>
    </row>
    <row r="17" customFormat="false" ht="17.35" hidden="false" customHeight="false" outlineLevel="0" collapsed="false">
      <c r="B17" s="17" t="s">
        <v>586</v>
      </c>
      <c r="C17" s="28" t="str">
        <f aca="false">IF(ISBLANK(Inflation_Choice),"Enter your inflation rate",Grows_To/(1+Inflation_Choice)^Years)</f>
        <v>Enter your inflation rate</v>
      </c>
      <c r="D17" s="22" t="s">
        <v>207</v>
      </c>
      <c r="E17" s="29" t="s">
        <v>587</v>
      </c>
    </row>
    <row r="18" customFormat="false" ht="15" hidden="false" customHeight="false" outlineLevel="0" collapsed="false">
      <c r="B18" s="20" t="s">
        <v>588</v>
      </c>
      <c r="C18" s="30" t="n">
        <f aca="false">Starting_Amount+Monthly_Addition*12*Years</f>
        <v>53000</v>
      </c>
      <c r="D18" s="22" t="s">
        <v>207</v>
      </c>
      <c r="E18" s="29" t="s">
        <v>589</v>
      </c>
    </row>
    <row r="19" customFormat="false" ht="15" hidden="false" customHeight="false" outlineLevel="0" collapsed="false">
      <c r="B19" s="20" t="s">
        <v>590</v>
      </c>
      <c r="C19" s="30" t="n">
        <f aca="false">Grows_To-Paid_In</f>
        <v>30723.9615385111</v>
      </c>
      <c r="D19" s="22" t="s">
        <v>207</v>
      </c>
      <c r="E19" s="29" t="s">
        <v>591</v>
      </c>
    </row>
    <row r="20" customFormat="false" ht="15" hidden="false" customHeight="false" outlineLevel="0" collapsed="false">
      <c r="B20" s="20" t="s">
        <v>558</v>
      </c>
      <c r="C20" s="50" t="n">
        <f aca="false">(1+Growth_Rate)^(1/12)-1</f>
        <v>0.00327373978219891</v>
      </c>
      <c r="D20" s="22"/>
      <c r="E20" s="29" t="s">
        <v>559</v>
      </c>
    </row>
    <row r="21" customFormat="false" ht="15" hidden="false" customHeight="false" outlineLevel="0" collapsed="false">
      <c r="B21" s="54" t="str">
        <f aca="false">"Before tax: deposit interest is taxed at "&amp;TEXT(DIRT,"0%")&amp;" DIRT; investment funds and life policies pay "&amp;TEXT(Exit_Tax,"0%")&amp;" exit tax on gains, also charged every "&amp;Deemed_Disposal_Years&amp;" years (deemed disposal). Pension funds grow tax-free. No tax is taken off here."</f>
        <v>Before tax: deposit interest is taxed at 33% DIRT; investment funds and life policies pay 38% exit tax on gains, also charged every 8 years (deemed disposal). Pension funds grow tax-free. No tax is taken off here.</v>
      </c>
      <c r="C21" s="54"/>
      <c r="D21" s="54"/>
      <c r="E21" s="54"/>
    </row>
    <row r="23" customFormat="false" ht="15" hidden="false" customHeight="false" outlineLevel="0" collapsed="false">
      <c r="B23" s="9" t="s">
        <v>271</v>
      </c>
      <c r="C23" s="10"/>
      <c r="D23" s="10"/>
      <c r="E23" s="10"/>
    </row>
    <row r="24" customFormat="false" ht="27.75" hidden="false" customHeight="true" outlineLevel="0" collapsed="false">
      <c r="B24" s="33" t="s">
        <v>592</v>
      </c>
      <c r="C24" s="33"/>
      <c r="D24" s="33"/>
      <c r="E24" s="33"/>
    </row>
    <row r="25" customFormat="false" ht="13.5" hidden="false" customHeight="true" outlineLevel="0" collapsed="false">
      <c r="B25" s="33" t="s">
        <v>593</v>
      </c>
      <c r="C25" s="33"/>
      <c r="D25" s="33"/>
      <c r="E25" s="33"/>
    </row>
    <row r="26" customFormat="false" ht="13.5" hidden="false" customHeight="true" outlineLevel="0" collapsed="false">
      <c r="B26" s="34" t="s">
        <v>275</v>
      </c>
      <c r="C26" s="34"/>
      <c r="D26" s="34"/>
      <c r="E26" s="34"/>
    </row>
    <row r="27" customFormat="false" ht="13.5" hidden="false" customHeight="true" outlineLevel="0" collapsed="false">
      <c r="B27" s="33" t="s">
        <v>594</v>
      </c>
      <c r="C27" s="33"/>
      <c r="D27" s="33"/>
      <c r="E27" s="33"/>
    </row>
    <row r="28" customFormat="false" ht="13.5" hidden="false" customHeight="true" outlineLevel="0" collapsed="false">
      <c r="B28" s="33" t="s">
        <v>595</v>
      </c>
      <c r="C28" s="33"/>
      <c r="D28" s="33"/>
      <c r="E28" s="33"/>
    </row>
    <row r="30" customFormat="false" ht="15" hidden="false" customHeight="false" outlineLevel="0" collapsed="false">
      <c r="B30" s="9" t="s">
        <v>280</v>
      </c>
      <c r="C30" s="10"/>
      <c r="D30" s="10"/>
      <c r="E30" s="10"/>
    </row>
    <row r="31" customFormat="false" ht="15" hidden="false" customHeight="false" outlineLevel="0" collapsed="false">
      <c r="B31" s="20" t="s">
        <v>281</v>
      </c>
      <c r="C31" s="35" t="str">
        <f aca="false">"Grow my wealth (plan kind pot)"</f>
        <v>Grow my wealth (plan kind pot)</v>
      </c>
      <c r="E31" s="36" t="s">
        <v>596</v>
      </c>
    </row>
    <row r="32" customFormat="false" ht="15" hidden="false" customHeight="false" outlineLevel="0" collapsed="false">
      <c r="B32" s="20" t="s">
        <v>597</v>
      </c>
      <c r="C32" s="37" t="str">
        <f aca="false">IF(ISBLANK(Inflation_Choice),"Choose an inflation rate first",ROUND(Value_Today,0))</f>
        <v>Choose an inflation rate first</v>
      </c>
      <c r="E32" s="36" t="s">
        <v>598</v>
      </c>
    </row>
    <row r="33" customFormat="false" ht="15" hidden="false" customHeight="false" outlineLevel="0" collapsed="false">
      <c r="B33" s="20" t="s">
        <v>287</v>
      </c>
      <c r="C33" s="38" t="n">
        <f aca="false">Years</f>
        <v>20</v>
      </c>
      <c r="E33" s="36" t="s">
        <v>568</v>
      </c>
    </row>
    <row r="34" customFormat="false" ht="15" hidden="false" customHeight="false" outlineLevel="0" collapsed="false">
      <c r="B34" s="20" t="s">
        <v>569</v>
      </c>
      <c r="C34" s="55" t="str">
        <f aca="false">IF(ISBLANK(Inflation_Choice),"Choose an inflation rate first",Inflation_Choice)</f>
        <v>Choose an inflation rate first</v>
      </c>
      <c r="E34" s="36" t="s">
        <v>570</v>
      </c>
    </row>
    <row r="35" customFormat="false" ht="13.5" hidden="false" customHeight="true" outlineLevel="0" collapsed="false">
      <c r="B35" s="39" t="s">
        <v>599</v>
      </c>
      <c r="C35" s="39"/>
      <c r="D35" s="39"/>
      <c r="E35" s="39"/>
    </row>
  </sheetData>
  <mergeCells count="8">
    <mergeCell ref="B7:E7"/>
    <mergeCell ref="B21:E21"/>
    <mergeCell ref="B24:E24"/>
    <mergeCell ref="B25:E25"/>
    <mergeCell ref="B26:E26"/>
    <mergeCell ref="B27:E27"/>
    <mergeCell ref="B28:E28"/>
    <mergeCell ref="B35:E35"/>
  </mergeCells>
  <dataValidations count="5">
    <dataValidation allowBlank="true" error="Please enter 0% to 10% · steps of 0.25%." errorStyle="stop" errorTitle="Outside the allowed range" operator="between" prompt="Everyone sees this differently. Ireland's prices are rising 3.9% now (CSO HICP flash, Sep 2026), mostly because of energy. Over decades, 2%–2.5% is the usual planning range (ECB target 2%). Enter 0% if you don't want t Allowed: 0% to 10% · steps of 0.25%." promptTitle="Inflation you expect (your choic" showDropDown="false" showErrorMessage="true" showInputMessage="true" sqref="C6" type="decimal">
      <formula1>0</formula1>
      <formula2>0.1</formula2>
    </dataValidation>
    <dataValidation allowBlank="false" error="Please enter €0 to €2,000,000 · steps of €500." errorStyle="stop" errorTitle="Outside the allowed range" operator="between" prompt="Unit: €. Allowed: €0 to €2,000,000 · steps of €500." promptTitle="Starting amount" showDropDown="false" showErrorMessage="true" showInputMessage="true" sqref="C10" type="decimal">
      <formula1>0</formula1>
      <formula2>2000000</formula2>
    </dataValidation>
    <dataValidation allowBlank="false" error="Please enter €0 to €30,000 · steps of €25." errorStyle="stop" errorTitle="Outside the allowed range" operator="between" prompt="Unit: €. Allowed: €0 to €30,000 · steps of €25." promptTitle="Monthly addition" showDropDown="false" showErrorMessage="true" showInputMessage="true" sqref="C11" type="decimal">
      <formula1>0</formula1>
      <formula2>30000</formula2>
    </dataValidation>
    <dataValidation allowBlank="false" error="Please enter 0% to 8% · steps of 0.5%." errorStyle="stop" errorTitle="Outside the allowed range" operator="between" prompt="Suggested · change if you like. A typical mixed fund has grown 5%–6% a year before charges and tax over long periods, but not every year. Growth is never guaranteed.  Allowed: 0% to 8% · steps of 0.5%." promptTitle="Growth rate a year" showDropDown="false" showErrorMessage="true" showInputMessage="true" sqref="C12" type="decimal">
      <formula1>0</formula1>
      <formula2>0.08</formula2>
    </dataValidation>
    <dataValidation allowBlank="false" error="Please enter 1 to 40 · steps of 1." errorStyle="stop" errorTitle="Outside the allowed range" operator="between" prompt="Unit: years. Allowed: 1 to 40 · steps of 1." promptTitle="Years" showDropDown="false" showErrorMessage="true" showInputMessage="true" sqref="C13" type="whole">
      <formula1>1</formula1>
      <formula2>40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G5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50"/>
    <col collapsed="false" customWidth="true" hidden="false" outlineLevel="0" max="3" min="3" style="0" width="26"/>
    <col collapsed="false" customWidth="true" hidden="false" outlineLevel="0" max="4" min="4" style="0" width="24"/>
    <col collapsed="false" customWidth="true" hidden="false" outlineLevel="0" max="5" min="5" style="0" width="78"/>
    <col collapsed="false" customWidth="true" hidden="false" outlineLevel="0" max="6" min="6" style="0" width="2"/>
    <col collapsed="false" customWidth="true" hidden="false" outlineLevel="0" max="7" min="7" style="0" width="44"/>
  </cols>
  <sheetData>
    <row r="1" customFormat="false" ht="19.7" hidden="false" customHeight="false" outlineLevel="0" collapsed="false">
      <c r="B1" s="16" t="s">
        <v>600</v>
      </c>
      <c r="G1" s="2" t="s">
        <v>601</v>
      </c>
    </row>
    <row r="2" customFormat="false" ht="15" hidden="false" customHeight="false" outlineLevel="0" collapsed="false">
      <c r="B2" s="17" t="s">
        <v>602</v>
      </c>
      <c r="G2" s="2" t="s">
        <v>603</v>
      </c>
    </row>
    <row r="3" customFormat="false" ht="15" hidden="false" customHeight="false" outlineLevel="0" collapsed="false">
      <c r="B3" s="18" t="s">
        <v>604</v>
      </c>
    </row>
    <row r="5" customFormat="false" ht="15" hidden="false" customHeight="false" outlineLevel="0" collapsed="false">
      <c r="B5" s="9" t="s">
        <v>537</v>
      </c>
      <c r="C5" s="19" t="s">
        <v>203</v>
      </c>
      <c r="D5" s="19" t="s">
        <v>204</v>
      </c>
      <c r="E5" s="19" t="s">
        <v>205</v>
      </c>
    </row>
    <row r="6" customFormat="false" ht="15" hidden="false" customHeight="false" outlineLevel="0" collapsed="false">
      <c r="B6" s="20" t="s">
        <v>538</v>
      </c>
      <c r="C6" s="25"/>
      <c r="D6" s="22" t="s">
        <v>222</v>
      </c>
      <c r="E6" s="2" t="s">
        <v>539</v>
      </c>
      <c r="G6" s="23" t="s">
        <v>540</v>
      </c>
    </row>
    <row r="7" customFormat="false" ht="27.75" hidden="false" customHeight="true" outlineLevel="0" collapsed="false">
      <c r="B7" s="39" t="s">
        <v>541</v>
      </c>
      <c r="C7" s="39"/>
      <c r="D7" s="39"/>
      <c r="E7" s="39"/>
    </row>
    <row r="9" customFormat="false" ht="15" hidden="false" customHeight="false" outlineLevel="0" collapsed="false">
      <c r="B9" s="9" t="s">
        <v>293</v>
      </c>
      <c r="C9" s="10"/>
      <c r="D9" s="10"/>
      <c r="E9" s="10"/>
    </row>
    <row r="10" customFormat="false" ht="27.75" hidden="false" customHeight="true" outlineLevel="0" collapsed="false">
      <c r="B10" s="39" t="s">
        <v>605</v>
      </c>
      <c r="C10" s="39"/>
      <c r="D10" s="39"/>
      <c r="E10" s="39"/>
    </row>
    <row r="11" customFormat="false" ht="15" hidden="false" customHeight="false" outlineLevel="0" collapsed="false">
      <c r="B11" s="20" t="s">
        <v>606</v>
      </c>
      <c r="C11" s="40"/>
      <c r="D11" s="22" t="s">
        <v>207</v>
      </c>
      <c r="E11" s="2" t="s">
        <v>607</v>
      </c>
      <c r="G11" s="23" t="s">
        <v>297</v>
      </c>
    </row>
    <row r="12" customFormat="false" ht="15" hidden="false" customHeight="false" outlineLevel="0" collapsed="false">
      <c r="B12" s="20" t="s">
        <v>608</v>
      </c>
      <c r="C12" s="41"/>
      <c r="D12" s="22" t="s">
        <v>222</v>
      </c>
      <c r="E12" s="2" t="s">
        <v>609</v>
      </c>
      <c r="G12" s="23" t="s">
        <v>297</v>
      </c>
    </row>
    <row r="13" customFormat="false" ht="15" hidden="false" customHeight="false" outlineLevel="0" collapsed="false">
      <c r="B13" s="20" t="s">
        <v>304</v>
      </c>
      <c r="C13" s="43"/>
      <c r="D13" s="22" t="s">
        <v>305</v>
      </c>
      <c r="E13" s="2" t="s">
        <v>306</v>
      </c>
      <c r="G13" s="23" t="s">
        <v>297</v>
      </c>
    </row>
    <row r="15" customFormat="false" ht="15" hidden="false" customHeight="false" outlineLevel="0" collapsed="false">
      <c r="B15" s="9" t="s">
        <v>307</v>
      </c>
      <c r="C15" s="19" t="s">
        <v>203</v>
      </c>
      <c r="D15" s="19" t="s">
        <v>204</v>
      </c>
      <c r="E15" s="19" t="s">
        <v>205</v>
      </c>
    </row>
    <row r="16" customFormat="false" ht="15" hidden="false" customHeight="false" outlineLevel="0" collapsed="false">
      <c r="B16" s="20" t="s">
        <v>610</v>
      </c>
      <c r="C16" s="21" t="n">
        <v>10000</v>
      </c>
      <c r="D16" s="22" t="s">
        <v>207</v>
      </c>
      <c r="E16" s="2" t="s">
        <v>611</v>
      </c>
      <c r="G16" s="23" t="s">
        <v>612</v>
      </c>
    </row>
    <row r="17" customFormat="false" ht="15" hidden="false" customHeight="false" outlineLevel="0" collapsed="false">
      <c r="B17" s="20" t="s">
        <v>613</v>
      </c>
      <c r="C17" s="25" t="n">
        <v>0.04</v>
      </c>
      <c r="D17" s="22" t="s">
        <v>222</v>
      </c>
      <c r="E17" s="26" t="s">
        <v>501</v>
      </c>
      <c r="G17" s="23" t="s">
        <v>580</v>
      </c>
    </row>
    <row r="18" customFormat="false" ht="15" hidden="false" customHeight="false" outlineLevel="0" collapsed="false">
      <c r="B18" s="20" t="s">
        <v>581</v>
      </c>
      <c r="C18" s="27" t="n">
        <v>15</v>
      </c>
      <c r="D18" s="22" t="s">
        <v>226</v>
      </c>
      <c r="E18" s="2" t="s">
        <v>582</v>
      </c>
      <c r="G18" s="23" t="s">
        <v>614</v>
      </c>
    </row>
    <row r="19" customFormat="false" ht="15" hidden="false" customHeight="false" outlineLevel="0" collapsed="false">
      <c r="B19" s="20" t="s">
        <v>615</v>
      </c>
      <c r="C19" s="25" t="n">
        <v>0</v>
      </c>
      <c r="D19" s="22" t="s">
        <v>222</v>
      </c>
      <c r="E19" s="26" t="s">
        <v>616</v>
      </c>
      <c r="G19" s="23" t="s">
        <v>617</v>
      </c>
    </row>
    <row r="20" customFormat="false" ht="15" hidden="false" customHeight="false" outlineLevel="0" collapsed="false">
      <c r="B20" s="20" t="s">
        <v>618</v>
      </c>
      <c r="C20" s="27" t="n">
        <v>5</v>
      </c>
      <c r="D20" s="22" t="s">
        <v>226</v>
      </c>
      <c r="E20" s="26" t="s">
        <v>619</v>
      </c>
      <c r="G20" s="23" t="s">
        <v>620</v>
      </c>
    </row>
    <row r="21" customFormat="false" ht="15" hidden="false" customHeight="false" outlineLevel="0" collapsed="false">
      <c r="B21" s="20" t="s">
        <v>621</v>
      </c>
      <c r="C21" s="24" t="s">
        <v>622</v>
      </c>
      <c r="D21" s="22" t="s">
        <v>218</v>
      </c>
      <c r="E21" s="2" t="s">
        <v>219</v>
      </c>
      <c r="G21" s="23" t="s">
        <v>623</v>
      </c>
    </row>
    <row r="23" customFormat="false" ht="15" hidden="false" customHeight="false" outlineLevel="0" collapsed="false">
      <c r="B23" s="9" t="s">
        <v>321</v>
      </c>
      <c r="C23" s="10"/>
      <c r="D23" s="10"/>
      <c r="E23" s="10"/>
    </row>
    <row r="24" customFormat="false" ht="15" hidden="false" customHeight="false" outlineLevel="0" collapsed="false">
      <c r="B24" s="20" t="s">
        <v>624</v>
      </c>
      <c r="C24" s="32" t="str">
        <f aca="false">IF(COUNTA(Stmt_Total_Value,Stmt_Charges,Stmt_Statement_Date)&gt;0,"Yes","No")</f>
        <v>No</v>
      </c>
      <c r="D24" s="22"/>
      <c r="E24" s="29" t="s">
        <v>625</v>
      </c>
    </row>
    <row r="25" customFormat="false" ht="15" hidden="false" customHeight="false" outlineLevel="0" collapsed="false">
      <c r="B25" s="20" t="s">
        <v>610</v>
      </c>
      <c r="C25" s="44" t="n">
        <f aca="false">IF(ISBLANK(Stmt_Total_Value),Amount,Stmt_Total_Value)</f>
        <v>10000</v>
      </c>
      <c r="D25" s="45" t="str">
        <f aca="false">IF(ISBLANK(Stmt_Total_Value),"Your figure","From your statement")</f>
        <v>Your figure</v>
      </c>
      <c r="E25" s="36" t="s">
        <v>626</v>
      </c>
    </row>
    <row r="26" customFormat="false" ht="15" hidden="false" customHeight="false" outlineLevel="0" collapsed="false">
      <c r="B26" s="20" t="s">
        <v>615</v>
      </c>
      <c r="C26" s="46" t="n">
        <f aca="false">IF(NOT(ISBLANK(Stmt_Charges)),Stmt_Charges,IF(Statement_Uploaded="Yes",0,Yearly_Fees))</f>
        <v>0</v>
      </c>
      <c r="D26" s="45" t="str">
        <f aca="false">IF(NOT(ISBLANK(Stmt_Charges)),"From your statement",IF(Statement_Uploaded="Yes","None shown on your statement","Your figure"))</f>
        <v>Your figure</v>
      </c>
      <c r="E26" s="36" t="s">
        <v>627</v>
      </c>
    </row>
    <row r="27" customFormat="false" ht="22.35" hidden="false" customHeight="false" outlineLevel="0" collapsed="false">
      <c r="B27" s="20" t="s">
        <v>327</v>
      </c>
      <c r="C27" s="32" t="str">
        <f aca="true">IF(ISBLANK(Stmt_Statement_Date),"",IF(TODAY()-Stmt_Statement_Date&gt;Statement_Max_Age_Days,"Needs a look: statement is more than 12 months old","Up to date"))</f>
        <v/>
      </c>
      <c r="D27" s="22"/>
      <c r="E27" s="29" t="s">
        <v>328</v>
      </c>
    </row>
    <row r="29" customFormat="false" ht="15" hidden="false" customHeight="false" outlineLevel="0" collapsed="false">
      <c r="B29" s="9" t="s">
        <v>238</v>
      </c>
      <c r="C29" s="19" t="s">
        <v>239</v>
      </c>
      <c r="D29" s="19" t="s">
        <v>240</v>
      </c>
      <c r="E29" s="19" t="s">
        <v>241</v>
      </c>
    </row>
    <row r="30" customFormat="false" ht="17.35" hidden="false" customHeight="false" outlineLevel="0" collapsed="false">
      <c r="B30" s="17" t="s">
        <v>628</v>
      </c>
      <c r="C30" s="28" t="n">
        <f aca="false">IF(Adjust_For_Inflation="Yes",Value_Today,Grows_To)</f>
        <v>18009.4350550692</v>
      </c>
      <c r="D30" s="22" t="s">
        <v>207</v>
      </c>
      <c r="E30" s="29" t="s">
        <v>629</v>
      </c>
    </row>
    <row r="31" customFormat="false" ht="15" hidden="false" customHeight="false" outlineLevel="0" collapsed="false">
      <c r="B31" s="20" t="s">
        <v>630</v>
      </c>
      <c r="C31" s="30" t="n">
        <f aca="false">Used_Amount*(1+Growth_After_Fees)^Years</f>
        <v>18009.4350550692</v>
      </c>
      <c r="D31" s="22" t="s">
        <v>207</v>
      </c>
      <c r="E31" s="29" t="s">
        <v>631</v>
      </c>
    </row>
    <row r="32" customFormat="false" ht="15" hidden="false" customHeight="false" outlineLevel="0" collapsed="false">
      <c r="B32" s="20" t="s">
        <v>586</v>
      </c>
      <c r="C32" s="30" t="str">
        <f aca="false">IF(ISBLANK(Inflation_Choice),"Enter your inflation rate",Grows_To/(1+Inflation_Choice)^Years)</f>
        <v>Enter your inflation rate</v>
      </c>
      <c r="D32" s="22" t="s">
        <v>207</v>
      </c>
      <c r="E32" s="29" t="s">
        <v>587</v>
      </c>
    </row>
    <row r="33" customFormat="false" ht="15" hidden="false" customHeight="false" outlineLevel="0" collapsed="false">
      <c r="B33" s="20" t="s">
        <v>632</v>
      </c>
      <c r="C33" s="30" t="n">
        <f aca="false">Used_Amount*(1+Growth_After_Fees)^MAX(0,Years-Wait_Years)</f>
        <v>14802.4428491834</v>
      </c>
      <c r="D33" s="22" t="s">
        <v>207</v>
      </c>
      <c r="E33" s="29" t="s">
        <v>633</v>
      </c>
    </row>
    <row r="34" customFormat="false" ht="22.35" hidden="false" customHeight="false" outlineLevel="0" collapsed="false">
      <c r="B34" s="17" t="s">
        <v>634</v>
      </c>
      <c r="C34" s="28" t="n">
        <f aca="false">IF(Adjust_For_Inflation="Yes",IF(ISBLANK(Inflation_Choice),"Enter your inflation rate",(Grows_To-Value_Start_Later)/(1+Inflation_Choice)^Years),Grows_To-Value_Start_Later)</f>
        <v>3206.99220588572</v>
      </c>
      <c r="D34" s="22" t="s">
        <v>207</v>
      </c>
      <c r="E34" s="29" t="s">
        <v>635</v>
      </c>
    </row>
    <row r="35" customFormat="false" ht="15" hidden="false" customHeight="false" outlineLevel="0" collapsed="false">
      <c r="B35" s="20" t="s">
        <v>636</v>
      </c>
      <c r="C35" s="30" t="n">
        <f aca="false">Used_Amount*(1+Growth_Rate)^Years-Grows_To</f>
        <v>0</v>
      </c>
      <c r="D35" s="22" t="s">
        <v>207</v>
      </c>
      <c r="E35" s="29" t="s">
        <v>637</v>
      </c>
    </row>
    <row r="36" customFormat="false" ht="15" hidden="false" customHeight="false" outlineLevel="0" collapsed="false">
      <c r="B36" s="20" t="s">
        <v>638</v>
      </c>
      <c r="C36" s="50" t="n">
        <f aca="false">(1+Growth_Rate)*(1-Used_Yearly_Fees)-1</f>
        <v>0.04</v>
      </c>
      <c r="D36" s="22"/>
      <c r="E36" s="29" t="s">
        <v>639</v>
      </c>
    </row>
    <row r="37" customFormat="false" ht="15" hidden="false" customHeight="false" outlineLevel="0" collapsed="false">
      <c r="B37" s="20" t="s">
        <v>640</v>
      </c>
      <c r="C37" s="50" t="str">
        <f aca="false">IF(ISBLANK(Inflation_Choice),"Enter your inflation rate",(1+Growth_After_Fees)/(1+Inflation_Choice)-1)</f>
        <v>Enter your inflation rate</v>
      </c>
      <c r="D37" s="22"/>
      <c r="E37" s="29" t="s">
        <v>641</v>
      </c>
    </row>
    <row r="38" customFormat="false" ht="15" hidden="false" customHeight="false" outlineLevel="0" collapsed="false">
      <c r="B38" s="54" t="str">
        <f aca="false">"Before tax: deposit interest is taxed at "&amp;TEXT(DIRT,"0%")&amp;" DIRT; investment funds and life policies pay "&amp;TEXT(Exit_Tax,"0%")&amp;" exit tax on gains, also charged every "&amp;Deemed_Disposal_Years&amp;" years (deemed disposal). Pension funds grow tax-free. No tax is taken off here."</f>
        <v>Before tax: deposit interest is taxed at 33% DIRT; investment funds and life policies pay 38% exit tax on gains, also charged every 8 years (deemed disposal). Pension funds grow tax-free. No tax is taken off here.</v>
      </c>
      <c r="C38" s="54"/>
      <c r="D38" s="54"/>
      <c r="E38" s="54"/>
    </row>
    <row r="40" customFormat="false" ht="15" hidden="false" customHeight="false" outlineLevel="0" collapsed="false">
      <c r="B40" s="9" t="s">
        <v>271</v>
      </c>
      <c r="C40" s="10"/>
      <c r="D40" s="10"/>
      <c r="E40" s="10"/>
    </row>
    <row r="41" customFormat="false" ht="13.5" hidden="false" customHeight="true" outlineLevel="0" collapsed="false">
      <c r="B41" s="33" t="s">
        <v>642</v>
      </c>
      <c r="C41" s="33"/>
      <c r="D41" s="33"/>
      <c r="E41" s="33"/>
    </row>
    <row r="42" customFormat="false" ht="13.5" hidden="false" customHeight="true" outlineLevel="0" collapsed="false">
      <c r="B42" s="33" t="s">
        <v>643</v>
      </c>
      <c r="C42" s="33"/>
      <c r="D42" s="33"/>
      <c r="E42" s="33"/>
    </row>
    <row r="43" customFormat="false" ht="13.5" hidden="false" customHeight="true" outlineLevel="0" collapsed="false">
      <c r="B43" s="33" t="s">
        <v>644</v>
      </c>
      <c r="C43" s="33"/>
      <c r="D43" s="33"/>
      <c r="E43" s="33"/>
    </row>
    <row r="44" customFormat="false" ht="13.5" hidden="false" customHeight="true" outlineLevel="0" collapsed="false">
      <c r="B44" s="34" t="s">
        <v>275</v>
      </c>
      <c r="C44" s="34"/>
      <c r="D44" s="34"/>
      <c r="E44" s="34"/>
    </row>
    <row r="45" customFormat="false" ht="13.5" hidden="false" customHeight="true" outlineLevel="0" collapsed="false">
      <c r="B45" s="33" t="s">
        <v>645</v>
      </c>
      <c r="C45" s="33"/>
      <c r="D45" s="33"/>
      <c r="E45" s="33"/>
    </row>
    <row r="46" customFormat="false" ht="13.5" hidden="false" customHeight="true" outlineLevel="0" collapsed="false">
      <c r="B46" s="33" t="s">
        <v>646</v>
      </c>
      <c r="C46" s="33"/>
      <c r="D46" s="33"/>
      <c r="E46" s="33"/>
    </row>
    <row r="48" customFormat="false" ht="15" hidden="false" customHeight="false" outlineLevel="0" collapsed="false">
      <c r="B48" s="9" t="s">
        <v>280</v>
      </c>
      <c r="C48" s="10"/>
      <c r="D48" s="10"/>
      <c r="E48" s="10"/>
    </row>
    <row r="49" customFormat="false" ht="15" hidden="false" customHeight="false" outlineLevel="0" collapsed="false">
      <c r="B49" s="20" t="s">
        <v>281</v>
      </c>
      <c r="C49" s="35" t="str">
        <f aca="false">"Grow my wealth (plan kind pot)"</f>
        <v>Grow my wealth (plan kind pot)</v>
      </c>
      <c r="E49" s="36" t="s">
        <v>596</v>
      </c>
    </row>
    <row r="50" customFormat="false" ht="15" hidden="false" customHeight="false" outlineLevel="0" collapsed="false">
      <c r="B50" s="20" t="s">
        <v>597</v>
      </c>
      <c r="C50" s="37" t="str">
        <f aca="false">IF(ISBLANK(Inflation_Choice),"Choose an inflation rate first",ROUND(Value_Today,0))</f>
        <v>Choose an inflation rate first</v>
      </c>
      <c r="E50" s="36" t="s">
        <v>598</v>
      </c>
    </row>
    <row r="51" customFormat="false" ht="15" hidden="false" customHeight="false" outlineLevel="0" collapsed="false">
      <c r="B51" s="20" t="s">
        <v>287</v>
      </c>
      <c r="C51" s="38" t="n">
        <f aca="false">Years</f>
        <v>15</v>
      </c>
      <c r="E51" s="36" t="s">
        <v>568</v>
      </c>
    </row>
    <row r="52" customFormat="false" ht="15" hidden="false" customHeight="false" outlineLevel="0" collapsed="false">
      <c r="B52" s="20" t="s">
        <v>569</v>
      </c>
      <c r="C52" s="55" t="str">
        <f aca="false">IF(ISBLANK(Inflation_Choice),"Choose an inflation rate first",Inflation_Choice)</f>
        <v>Choose an inflation rate first</v>
      </c>
      <c r="E52" s="36" t="s">
        <v>570</v>
      </c>
    </row>
    <row r="53" customFormat="false" ht="13.5" hidden="false" customHeight="true" outlineLevel="0" collapsed="false">
      <c r="B53" s="39" t="s">
        <v>647</v>
      </c>
      <c r="C53" s="39"/>
      <c r="D53" s="39"/>
      <c r="E53" s="39"/>
    </row>
  </sheetData>
  <mergeCells count="10">
    <mergeCell ref="B7:E7"/>
    <mergeCell ref="B10:E10"/>
    <mergeCell ref="B38:E38"/>
    <mergeCell ref="B41:E41"/>
    <mergeCell ref="B42:E42"/>
    <mergeCell ref="B43:E43"/>
    <mergeCell ref="B44:E44"/>
    <mergeCell ref="B45:E45"/>
    <mergeCell ref="B46:E46"/>
    <mergeCell ref="B53:E53"/>
  </mergeCells>
  <dataValidations count="10">
    <dataValidation allowBlank="true" error="Please enter a date (dd/mm/yyyy)." errorStyle="stop" errorTitle="Outside the allowed range" operator="greaterThan" prompt="Unit: date. Allowed: a date (dd/mm/yyyy)." promptTitle="Statement date" showDropDown="false" showErrorMessage="true" showInputMessage="true" sqref="C13" type="date">
      <formula1>36526</formula1>
      <formula2>0</formula2>
    </dataValidation>
    <dataValidation allowBlank="true" error="Please enter 0% to 10% · steps of 0.25%." errorStyle="stop" errorTitle="Outside the allowed range" operator="between" prompt="Everyone sees this differently. Ireland's prices are rising 3.9% now (CSO HICP flash, Sep 2026), mostly because of energy. Over decades, 2%–2.5% is the usual planning range (ECB target 2%). Enter 0% if you don't want t Allowed: 0% to 10% · steps of 0.25%." promptTitle="Inflation you expect (your choic" showDropDown="false" showErrorMessage="true" showInputMessage="true" sqref="C6" type="decimal">
      <formula1>0</formula1>
      <formula2>0.1</formula2>
    </dataValidation>
    <dataValidation allowBlank="false" error="Please enter 1 to 40 · steps of 1." errorStyle="stop" errorTitle="Outside the allowed range" operator="between" prompt="Unit: years. Allowed: 1 to 40 · steps of 1." promptTitle="Years" showDropDown="false" showErrorMessage="true" showInputMessage="true" sqref="C18" type="whole">
      <formula1>1</formula1>
      <formula2>40</formula2>
    </dataValidation>
    <dataValidation allowBlank="true" error="Please enter €0 to €100,000,000." errorStyle="stop" errorTitle="Outside the allowed range" operator="between" prompt="Unit: €. Allowed: €0 to €100,000,000." promptTitle="Total value" showDropDown="false" showErrorMessage="true" showInputMessage="true" sqref="C11" type="decimal">
      <formula1>0</formula1>
      <formula2>100000000</formula2>
    </dataValidation>
    <dataValidation allowBlank="true" error="Please enter 0% to 5%." errorStyle="stop" errorTitle="Outside the allowed range" operator="between" prompt="Unit: %. Allowed: 0% to 5%." promptTitle="Annual charges % (if shown)" showDropDown="false" showErrorMessage="true" showInputMessage="true" sqref="C12" type="decimal">
      <formula1>0</formula1>
      <formula2>0.05</formula2>
    </dataValidation>
    <dataValidation allowBlank="false" error="Please enter €500 to €5,000,000 · steps of €100." errorStyle="stop" errorTitle="Outside the allowed range" operator="between" prompt="Unit: €. Allowed: €500 to €5,000,000 · steps of €100." promptTitle="Amount" showDropDown="false" showErrorMessage="true" showInputMessage="true" sqref="C16" type="decimal">
      <formula1>500</formula1>
      <formula2>5000000</formula2>
    </dataValidation>
    <dataValidation allowBlank="false" error="Please enter 0% to 8% · steps of 0.5%." errorStyle="stop" errorTitle="Outside the allowed range" operator="between" prompt="Suggested · change if you like. A typical mixed fund has grown 5%–6% a year before charges and tax over long periods, but not every year. Growth is never guaranteed.  Allowed: 0% to 8% · steps of 0.5%." promptTitle="Growth rate a year (before fees)" showDropDown="false" showErrorMessage="true" showInputMessage="true" sqref="C17" type="decimal">
      <formula1>0</formula1>
      <formula2>0.08</formula2>
    </dataValidation>
    <dataValidation allowBlank="false" error="Please enter 0% to 3% · steps of 0.05%." errorStyle="stop" errorTitle="Outside the allowed range" operator="between" prompt="Suggested · change if you like. Fund charges are often about 1% a year. Your statement shows your actual charges.  Allowed: 0% to 3% · steps of 0.05%." promptTitle="Yearly fees" showDropDown="false" showErrorMessage="true" showInputMessage="true" sqref="C19" type="decimal">
      <formula1>0</formula1>
      <formula2>0.03</formula2>
    </dataValidation>
    <dataValidation allowBlank="false" error="Please enter 1 to 10 · steps of 1." errorStyle="stop" errorTitle="Outside the allowed range" operator="between" prompt="Suggested · change if you like. How long you might put off investing, to see the cost of waiting.  Allowed: 1 to 10 · steps of 1." promptTitle="Years you might wait before inve" showDropDown="false" showErrorMessage="true" showInputMessage="true" sqref="C20" type="whole">
      <formula1>1</formula1>
      <formula2>10</formula2>
    </dataValidation>
    <dataValidation allowBlank="false" error="Please enter Yes or No." errorStyle="stop" errorTitle="Outside the allowed range" operator="between" prompt="Unit: Yes / No. Allowed: Yes or No." promptTitle="Show in today's money?" showDropDown="false" showErrorMessage="true" showInputMessage="true" sqref="C21"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G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50"/>
    <col collapsed="false" customWidth="true" hidden="false" outlineLevel="0" max="3" min="3" style="0" width="26"/>
    <col collapsed="false" customWidth="true" hidden="false" outlineLevel="0" max="4" min="4" style="0" width="24"/>
    <col collapsed="false" customWidth="true" hidden="false" outlineLevel="0" max="5" min="5" style="0" width="78"/>
    <col collapsed="false" customWidth="true" hidden="false" outlineLevel="0" max="6" min="6" style="0" width="2"/>
    <col collapsed="false" customWidth="true" hidden="false" outlineLevel="0" max="7" min="7" style="0" width="44"/>
  </cols>
  <sheetData>
    <row r="1" customFormat="false" ht="19.7" hidden="false" customHeight="false" outlineLevel="0" collapsed="false">
      <c r="B1" s="16" t="s">
        <v>648</v>
      </c>
      <c r="G1" s="2" t="s">
        <v>533</v>
      </c>
    </row>
    <row r="2" customFormat="false" ht="15" hidden="false" customHeight="false" outlineLevel="0" collapsed="false">
      <c r="B2" s="17" t="s">
        <v>649</v>
      </c>
      <c r="G2" s="2" t="s">
        <v>650</v>
      </c>
    </row>
    <row r="3" customFormat="false" ht="15" hidden="false" customHeight="false" outlineLevel="0" collapsed="false">
      <c r="B3" s="18" t="s">
        <v>651</v>
      </c>
    </row>
    <row r="5" customFormat="false" ht="15" hidden="false" customHeight="false" outlineLevel="0" collapsed="false">
      <c r="B5" s="9" t="s">
        <v>202</v>
      </c>
      <c r="C5" s="19" t="s">
        <v>203</v>
      </c>
      <c r="D5" s="19" t="s">
        <v>204</v>
      </c>
      <c r="E5" s="19" t="s">
        <v>205</v>
      </c>
    </row>
    <row r="6" customFormat="false" ht="15" hidden="false" customHeight="false" outlineLevel="0" collapsed="false">
      <c r="B6" s="20" t="s">
        <v>652</v>
      </c>
      <c r="C6" s="21" t="n">
        <v>2500</v>
      </c>
      <c r="D6" s="22" t="s">
        <v>207</v>
      </c>
      <c r="E6" s="2" t="s">
        <v>653</v>
      </c>
      <c r="G6" s="23" t="s">
        <v>654</v>
      </c>
    </row>
    <row r="7" customFormat="false" ht="15" hidden="false" customHeight="false" outlineLevel="0" collapsed="false">
      <c r="B7" s="20" t="s">
        <v>655</v>
      </c>
      <c r="C7" s="27" t="n">
        <v>6</v>
      </c>
      <c r="D7" s="22" t="s">
        <v>656</v>
      </c>
      <c r="E7" s="26" t="s">
        <v>657</v>
      </c>
      <c r="G7" s="23" t="s">
        <v>658</v>
      </c>
    </row>
    <row r="8" customFormat="false" ht="15" hidden="false" customHeight="false" outlineLevel="0" collapsed="false">
      <c r="B8" s="20" t="s">
        <v>659</v>
      </c>
      <c r="C8" s="27" t="n">
        <v>2</v>
      </c>
      <c r="D8" s="22" t="s">
        <v>226</v>
      </c>
      <c r="E8" s="26" t="s">
        <v>619</v>
      </c>
      <c r="G8" s="23" t="s">
        <v>660</v>
      </c>
    </row>
    <row r="9" customFormat="false" ht="15" hidden="false" customHeight="false" outlineLevel="0" collapsed="false">
      <c r="B9" s="20" t="s">
        <v>661</v>
      </c>
      <c r="C9" s="21" t="n">
        <v>6250</v>
      </c>
      <c r="D9" s="22" t="s">
        <v>207</v>
      </c>
      <c r="E9" s="2" t="s">
        <v>662</v>
      </c>
      <c r="G9" s="23" t="s">
        <v>663</v>
      </c>
    </row>
    <row r="11" customFormat="false" ht="15" hidden="false" customHeight="false" outlineLevel="0" collapsed="false">
      <c r="B11" s="9" t="s">
        <v>238</v>
      </c>
      <c r="C11" s="19" t="s">
        <v>239</v>
      </c>
      <c r="D11" s="19" t="s">
        <v>240</v>
      </c>
      <c r="E11" s="19" t="s">
        <v>241</v>
      </c>
    </row>
    <row r="12" customFormat="false" ht="17.35" hidden="false" customHeight="false" outlineLevel="0" collapsed="false">
      <c r="B12" s="17" t="s">
        <v>664</v>
      </c>
      <c r="C12" s="56" t="n">
        <f aca="false">Savings/Essential_Spending</f>
        <v>2.5</v>
      </c>
      <c r="D12" s="22" t="s">
        <v>656</v>
      </c>
      <c r="E12" s="29" t="s">
        <v>665</v>
      </c>
    </row>
    <row r="13" customFormat="false" ht="17.35" hidden="false" customHeight="false" outlineLevel="0" collapsed="false">
      <c r="B13" s="17" t="s">
        <v>666</v>
      </c>
      <c r="C13" s="28" t="n">
        <f aca="false">Essential_Spending*Months_Wanted</f>
        <v>15000</v>
      </c>
      <c r="D13" s="22" t="s">
        <v>207</v>
      </c>
      <c r="E13" s="29" t="s">
        <v>667</v>
      </c>
    </row>
    <row r="14" customFormat="false" ht="17.35" hidden="false" customHeight="false" outlineLevel="0" collapsed="false">
      <c r="B14" s="17" t="s">
        <v>668</v>
      </c>
      <c r="C14" s="28" t="n">
        <f aca="false">MAX(0,Target-Savings)</f>
        <v>8750</v>
      </c>
      <c r="D14" s="22" t="s">
        <v>207</v>
      </c>
      <c r="E14" s="29" t="s">
        <v>669</v>
      </c>
    </row>
    <row r="16" customFormat="false" ht="15" hidden="false" customHeight="false" outlineLevel="0" collapsed="false">
      <c r="B16" s="9" t="s">
        <v>271</v>
      </c>
      <c r="C16" s="10"/>
      <c r="D16" s="10"/>
      <c r="E16" s="10"/>
    </row>
    <row r="17" customFormat="false" ht="13.5" hidden="false" customHeight="true" outlineLevel="0" collapsed="false">
      <c r="B17" s="33" t="s">
        <v>670</v>
      </c>
      <c r="C17" s="33"/>
      <c r="D17" s="33"/>
      <c r="E17" s="33"/>
    </row>
    <row r="18" customFormat="false" ht="13.5" hidden="false" customHeight="true" outlineLevel="0" collapsed="false">
      <c r="B18" s="34" t="s">
        <v>275</v>
      </c>
      <c r="C18" s="34"/>
      <c r="D18" s="34"/>
      <c r="E18" s="34"/>
    </row>
    <row r="19" customFormat="false" ht="13.5" hidden="false" customHeight="true" outlineLevel="0" collapsed="false">
      <c r="B19" s="33" t="s">
        <v>671</v>
      </c>
      <c r="C19" s="33"/>
      <c r="D19" s="33"/>
      <c r="E19" s="33"/>
    </row>
    <row r="21" customFormat="false" ht="15" hidden="false" customHeight="false" outlineLevel="0" collapsed="false">
      <c r="B21" s="9" t="s">
        <v>280</v>
      </c>
      <c r="C21" s="10"/>
      <c r="D21" s="10"/>
      <c r="E21" s="10"/>
    </row>
    <row r="22" customFormat="false" ht="15" hidden="false" customHeight="false" outlineLevel="0" collapsed="false">
      <c r="B22" s="20" t="s">
        <v>281</v>
      </c>
      <c r="C22" s="35" t="str">
        <f aca="false">IF(Still_To_Build&gt;0,"Safety net (plan kind safety: a reserve, not a spend)","No goal (cushion already in place)")</f>
        <v>Safety net (plan kind safety: a reserve, not a spend)</v>
      </c>
      <c r="E22" s="36" t="s">
        <v>672</v>
      </c>
    </row>
    <row r="23" customFormat="false" ht="15" hidden="false" customHeight="false" outlineLevel="0" collapsed="false">
      <c r="B23" s="20" t="s">
        <v>597</v>
      </c>
      <c r="C23" s="37" t="n">
        <f aca="false">IF(Still_To_Build&gt;0,ROUND(Target,0),"—")</f>
        <v>15000</v>
      </c>
      <c r="E23" s="36" t="s">
        <v>673</v>
      </c>
    </row>
    <row r="24" customFormat="false" ht="15" hidden="false" customHeight="false" outlineLevel="0" collapsed="false">
      <c r="B24" s="20" t="s">
        <v>285</v>
      </c>
      <c r="C24" s="37" t="n">
        <f aca="false">Savings</f>
        <v>6250</v>
      </c>
      <c r="E24" s="36" t="s">
        <v>674</v>
      </c>
    </row>
    <row r="25" customFormat="false" ht="15" hidden="false" customHeight="false" outlineLevel="0" collapsed="false">
      <c r="B25" s="20" t="s">
        <v>287</v>
      </c>
      <c r="C25" s="38" t="n">
        <f aca="false">Safety_Goal_Years</f>
        <v>2</v>
      </c>
      <c r="E25" s="36" t="s">
        <v>675</v>
      </c>
    </row>
  </sheetData>
  <mergeCells count="3">
    <mergeCell ref="B17:E17"/>
    <mergeCell ref="B18:E18"/>
    <mergeCell ref="B19:E19"/>
  </mergeCells>
  <dataValidations count="4">
    <dataValidation allowBlank="false" error="Please enter €500 to €100,000 · steps of €100." errorStyle="stop" errorTitle="Outside the allowed range" operator="between" prompt="Unit: €. Allowed: €500 to €100,000 · steps of €100." promptTitle="Essential monthly spending" showDropDown="false" showErrorMessage="true" showInputMessage="true" sqref="C6" type="decimal">
      <formula1>500</formula1>
      <formula2>100000</formula2>
    </dataValidation>
    <dataValidation allowBlank="false" error="Please enter 3 to 12 · steps of 1." errorStyle="stop" errorTitle="Outside the allowed range" operator="between" prompt="Suggested · change if you like. Easy-access cash for surprises or a gap in pay. Single-income households and the self-employed usually aim higher (3 if you have two secure incomes).  Allowed: 3 to 12 · steps of 1." promptTitle="Safety net: months of essential " showDropDown="false" showErrorMessage="true" showInputMessage="true" sqref="C7" type="whole">
      <formula1>3</formula1>
      <formula2>12</formula2>
    </dataValidation>
    <dataValidation allowBlank="false" error="Please enter 1 to 10 · steps of 1." errorStyle="stop" errorTitle="Outside the allowed range" operator="between" prompt="Suggested · change if you like. How soon you want the safety net in place.  Allowed: 1 to 10 · steps of 1." promptTitle="Build the safety net within (yea" showDropDown="false" showErrorMessage="true" showInputMessage="true" sqref="C8" type="whole">
      <formula1>1</formula1>
      <formula2>10</formula2>
    </dataValidation>
    <dataValidation allowBlank="false" error="Please enter €0 to €1,000,000 · steps of €250." errorStyle="stop" errorTitle="Outside the allowed range" operator="between" prompt="Unit: €. Allowed: €0 to €1,000,000 · steps of €250." promptTitle="Easy-access savings" showDropDown="false" showErrorMessage="true" showInputMessage="true" sqref="C9" type="decimal">
      <formula1>0</formula1>
      <formula2>1000000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G7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50"/>
    <col collapsed="false" customWidth="true" hidden="false" outlineLevel="0" max="3" min="3" style="0" width="26"/>
    <col collapsed="false" customWidth="true" hidden="false" outlineLevel="0" max="4" min="4" style="0" width="24"/>
    <col collapsed="false" customWidth="true" hidden="false" outlineLevel="0" max="5" min="5" style="0" width="78"/>
    <col collapsed="false" customWidth="true" hidden="false" outlineLevel="0" max="6" min="6" style="0" width="2"/>
    <col collapsed="false" customWidth="true" hidden="false" outlineLevel="0" max="7" min="7" style="0" width="44"/>
  </cols>
  <sheetData>
    <row r="1" customFormat="false" ht="19.7" hidden="false" customHeight="false" outlineLevel="0" collapsed="false">
      <c r="B1" s="16" t="s">
        <v>676</v>
      </c>
      <c r="G1" s="2" t="s">
        <v>677</v>
      </c>
    </row>
    <row r="2" customFormat="false" ht="15" hidden="false" customHeight="false" outlineLevel="0" collapsed="false">
      <c r="B2" s="17" t="s">
        <v>678</v>
      </c>
      <c r="G2" s="2" t="s">
        <v>679</v>
      </c>
    </row>
    <row r="3" customFormat="false" ht="15" hidden="false" customHeight="false" outlineLevel="0" collapsed="false">
      <c r="B3" s="18" t="s">
        <v>680</v>
      </c>
    </row>
    <row r="5" customFormat="false" ht="15" hidden="false" customHeight="false" outlineLevel="0" collapsed="false">
      <c r="B5" s="9" t="s">
        <v>537</v>
      </c>
      <c r="C5" s="19" t="s">
        <v>203</v>
      </c>
      <c r="D5" s="19" t="s">
        <v>204</v>
      </c>
      <c r="E5" s="19" t="s">
        <v>205</v>
      </c>
    </row>
    <row r="6" customFormat="false" ht="15" hidden="false" customHeight="false" outlineLevel="0" collapsed="false">
      <c r="B6" s="20" t="s">
        <v>538</v>
      </c>
      <c r="C6" s="25"/>
      <c r="D6" s="22" t="s">
        <v>222</v>
      </c>
      <c r="E6" s="2" t="s">
        <v>539</v>
      </c>
      <c r="G6" s="23" t="s">
        <v>540</v>
      </c>
    </row>
    <row r="7" customFormat="false" ht="27.75" hidden="false" customHeight="true" outlineLevel="0" collapsed="false">
      <c r="B7" s="39" t="s">
        <v>541</v>
      </c>
      <c r="C7" s="39"/>
      <c r="D7" s="39"/>
      <c r="E7" s="39"/>
    </row>
    <row r="9" customFormat="false" ht="15" hidden="false" customHeight="false" outlineLevel="0" collapsed="false">
      <c r="B9" s="9" t="s">
        <v>293</v>
      </c>
      <c r="C9" s="10"/>
      <c r="D9" s="10"/>
      <c r="E9" s="10"/>
    </row>
    <row r="10" customFormat="false" ht="27.75" hidden="false" customHeight="true" outlineLevel="0" collapsed="false">
      <c r="B10" s="39" t="s">
        <v>681</v>
      </c>
      <c r="C10" s="39"/>
      <c r="D10" s="39"/>
      <c r="E10" s="39"/>
    </row>
    <row r="11" customFormat="false" ht="15" hidden="false" customHeight="false" outlineLevel="0" collapsed="false">
      <c r="B11" s="20" t="s">
        <v>682</v>
      </c>
      <c r="C11" s="40"/>
      <c r="D11" s="22" t="s">
        <v>207</v>
      </c>
      <c r="E11" s="2" t="s">
        <v>683</v>
      </c>
      <c r="G11" s="23" t="s">
        <v>297</v>
      </c>
    </row>
    <row r="12" customFormat="false" ht="15" hidden="false" customHeight="false" outlineLevel="0" collapsed="false">
      <c r="B12" s="20" t="s">
        <v>684</v>
      </c>
      <c r="C12" s="40"/>
      <c r="D12" s="22" t="s">
        <v>207</v>
      </c>
      <c r="E12" s="2" t="s">
        <v>303</v>
      </c>
      <c r="G12" s="23" t="s">
        <v>297</v>
      </c>
    </row>
    <row r="13" customFormat="false" ht="15" hidden="false" customHeight="false" outlineLevel="0" collapsed="false">
      <c r="B13" s="20" t="s">
        <v>685</v>
      </c>
      <c r="C13" s="40"/>
      <c r="D13" s="22" t="s">
        <v>207</v>
      </c>
      <c r="E13" s="2" t="s">
        <v>303</v>
      </c>
      <c r="G13" s="23" t="s">
        <v>297</v>
      </c>
    </row>
    <row r="14" customFormat="false" ht="15" hidden="false" customHeight="false" outlineLevel="0" collapsed="false">
      <c r="B14" s="20" t="s">
        <v>686</v>
      </c>
      <c r="C14" s="42"/>
      <c r="D14" s="22" t="s">
        <v>687</v>
      </c>
      <c r="E14" s="2" t="s">
        <v>688</v>
      </c>
      <c r="G14" s="23" t="s">
        <v>297</v>
      </c>
    </row>
    <row r="15" customFormat="false" ht="15" hidden="false" customHeight="false" outlineLevel="0" collapsed="false">
      <c r="B15" s="20" t="s">
        <v>689</v>
      </c>
      <c r="C15" s="40"/>
      <c r="D15" s="22" t="s">
        <v>207</v>
      </c>
      <c r="E15" s="2" t="s">
        <v>607</v>
      </c>
      <c r="G15" s="23" t="s">
        <v>297</v>
      </c>
    </row>
    <row r="16" customFormat="false" ht="15" hidden="false" customHeight="false" outlineLevel="0" collapsed="false">
      <c r="B16" s="20" t="s">
        <v>690</v>
      </c>
      <c r="C16" s="57"/>
      <c r="D16" s="22" t="s">
        <v>218</v>
      </c>
      <c r="E16" s="2" t="s">
        <v>219</v>
      </c>
      <c r="G16" s="23" t="s">
        <v>297</v>
      </c>
    </row>
    <row r="17" customFormat="false" ht="15" hidden="false" customHeight="false" outlineLevel="0" collapsed="false">
      <c r="B17" s="20" t="s">
        <v>608</v>
      </c>
      <c r="C17" s="41"/>
      <c r="D17" s="22" t="s">
        <v>222</v>
      </c>
      <c r="E17" s="2" t="s">
        <v>609</v>
      </c>
      <c r="G17" s="23" t="s">
        <v>297</v>
      </c>
    </row>
    <row r="18" customFormat="false" ht="15" hidden="false" customHeight="false" outlineLevel="0" collapsed="false">
      <c r="B18" s="20" t="s">
        <v>304</v>
      </c>
      <c r="C18" s="43"/>
      <c r="D18" s="22" t="s">
        <v>305</v>
      </c>
      <c r="E18" s="2" t="s">
        <v>306</v>
      </c>
      <c r="G18" s="23" t="s">
        <v>297</v>
      </c>
    </row>
    <row r="20" customFormat="false" ht="15" hidden="false" customHeight="false" outlineLevel="0" collapsed="false">
      <c r="B20" s="9" t="s">
        <v>307</v>
      </c>
      <c r="C20" s="19" t="s">
        <v>203</v>
      </c>
      <c r="D20" s="19" t="s">
        <v>204</v>
      </c>
      <c r="E20" s="19" t="s">
        <v>205</v>
      </c>
    </row>
    <row r="21" customFormat="false" ht="15" hidden="false" customHeight="false" outlineLevel="0" collapsed="false">
      <c r="B21" s="20" t="s">
        <v>691</v>
      </c>
      <c r="C21" s="27" t="n">
        <v>40</v>
      </c>
      <c r="D21" s="22" t="s">
        <v>687</v>
      </c>
      <c r="E21" s="2" t="s">
        <v>692</v>
      </c>
      <c r="G21" s="23" t="s">
        <v>693</v>
      </c>
    </row>
    <row r="22" customFormat="false" ht="15" hidden="false" customHeight="false" outlineLevel="0" collapsed="false">
      <c r="B22" s="20" t="s">
        <v>694</v>
      </c>
      <c r="C22" s="27" t="n">
        <v>65</v>
      </c>
      <c r="D22" s="22" t="s">
        <v>687</v>
      </c>
      <c r="E22" s="2" t="s">
        <v>695</v>
      </c>
      <c r="G22" s="23" t="s">
        <v>696</v>
      </c>
    </row>
    <row r="23" customFormat="false" ht="15" hidden="false" customHeight="false" outlineLevel="0" collapsed="false">
      <c r="B23" s="20" t="s">
        <v>697</v>
      </c>
      <c r="C23" s="21" t="n">
        <v>60000</v>
      </c>
      <c r="D23" s="22" t="s">
        <v>207</v>
      </c>
      <c r="E23" s="2" t="s">
        <v>698</v>
      </c>
      <c r="G23" s="23" t="s">
        <v>699</v>
      </c>
    </row>
    <row r="24" customFormat="false" ht="15" hidden="false" customHeight="false" outlineLevel="0" collapsed="false">
      <c r="B24" s="20" t="s">
        <v>700</v>
      </c>
      <c r="C24" s="21" t="n">
        <v>500</v>
      </c>
      <c r="D24" s="22" t="s">
        <v>207</v>
      </c>
      <c r="E24" s="2" t="s">
        <v>701</v>
      </c>
      <c r="G24" s="23" t="s">
        <v>702</v>
      </c>
    </row>
    <row r="25" customFormat="false" ht="15" hidden="false" customHeight="false" outlineLevel="0" collapsed="false">
      <c r="B25" s="20" t="s">
        <v>703</v>
      </c>
      <c r="C25" s="21" t="n">
        <v>40000</v>
      </c>
      <c r="D25" s="22" t="s">
        <v>207</v>
      </c>
      <c r="E25" s="2" t="s">
        <v>704</v>
      </c>
      <c r="G25" s="23" t="s">
        <v>705</v>
      </c>
    </row>
    <row r="26" customFormat="false" ht="15" hidden="false" customHeight="false" outlineLevel="0" collapsed="false">
      <c r="B26" s="20" t="s">
        <v>706</v>
      </c>
      <c r="C26" s="21" t="n">
        <f aca="false">ROUND(State_Pension_Year,0)</f>
        <v>15564</v>
      </c>
      <c r="D26" s="22" t="s">
        <v>207</v>
      </c>
      <c r="E26" s="2" t="s">
        <v>707</v>
      </c>
      <c r="G26" s="23" t="s">
        <v>708</v>
      </c>
    </row>
    <row r="27" customFormat="false" ht="15" hidden="false" customHeight="false" outlineLevel="0" collapsed="false">
      <c r="B27" s="20" t="s">
        <v>709</v>
      </c>
      <c r="C27" s="25" t="n">
        <v>0.045</v>
      </c>
      <c r="D27" s="22" t="s">
        <v>222</v>
      </c>
      <c r="E27" s="26" t="s">
        <v>710</v>
      </c>
      <c r="G27" s="23" t="s">
        <v>711</v>
      </c>
    </row>
    <row r="28" customFormat="false" ht="15" hidden="false" customHeight="false" outlineLevel="0" collapsed="false">
      <c r="B28" s="20" t="s">
        <v>712</v>
      </c>
      <c r="C28" s="25" t="n">
        <v>0.03</v>
      </c>
      <c r="D28" s="22" t="s">
        <v>222</v>
      </c>
      <c r="E28" s="26" t="s">
        <v>713</v>
      </c>
      <c r="G28" s="23" t="s">
        <v>714</v>
      </c>
    </row>
    <row r="29" customFormat="false" ht="15" hidden="false" customHeight="false" outlineLevel="0" collapsed="false">
      <c r="B29" s="20" t="s">
        <v>715</v>
      </c>
      <c r="C29" s="27" t="n">
        <v>25</v>
      </c>
      <c r="D29" s="22"/>
      <c r="E29" s="26" t="s">
        <v>716</v>
      </c>
      <c r="G29" s="23" t="s">
        <v>717</v>
      </c>
    </row>
    <row r="30" customFormat="false" ht="15" hidden="false" customHeight="false" outlineLevel="0" collapsed="false">
      <c r="B30" s="20" t="s">
        <v>718</v>
      </c>
      <c r="C30" s="25" t="n">
        <v>0.01</v>
      </c>
      <c r="D30" s="22" t="s">
        <v>222</v>
      </c>
      <c r="E30" s="26" t="s">
        <v>719</v>
      </c>
      <c r="G30" s="23" t="s">
        <v>505</v>
      </c>
    </row>
    <row r="31" customFormat="false" ht="15" hidden="false" customHeight="false" outlineLevel="0" collapsed="false">
      <c r="B31" s="20" t="s">
        <v>720</v>
      </c>
      <c r="C31" s="25" t="n">
        <v>0.25</v>
      </c>
      <c r="D31" s="22" t="s">
        <v>222</v>
      </c>
      <c r="E31" s="26" t="s">
        <v>721</v>
      </c>
      <c r="G31" s="23" t="s">
        <v>722</v>
      </c>
    </row>
    <row r="32" customFormat="false" ht="15" hidden="false" customHeight="false" outlineLevel="0" collapsed="false">
      <c r="B32" s="20" t="s">
        <v>723</v>
      </c>
      <c r="C32" s="27" t="n">
        <v>0</v>
      </c>
      <c r="D32" s="22" t="s">
        <v>226</v>
      </c>
      <c r="E32" s="2" t="s">
        <v>724</v>
      </c>
      <c r="G32" s="23" t="s">
        <v>725</v>
      </c>
    </row>
    <row r="33" customFormat="false" ht="15" hidden="false" customHeight="false" outlineLevel="0" collapsed="false">
      <c r="B33" s="20" t="s">
        <v>726</v>
      </c>
      <c r="C33" s="21" t="n">
        <v>0</v>
      </c>
      <c r="D33" s="22" t="s">
        <v>207</v>
      </c>
      <c r="E33" s="2" t="s">
        <v>374</v>
      </c>
      <c r="G33" s="23" t="s">
        <v>237</v>
      </c>
    </row>
    <row r="34" customFormat="false" ht="15" hidden="false" customHeight="false" outlineLevel="0" collapsed="false">
      <c r="B34" s="20" t="s">
        <v>727</v>
      </c>
      <c r="C34" s="21" t="n">
        <v>0</v>
      </c>
      <c r="D34" s="22" t="s">
        <v>207</v>
      </c>
      <c r="E34" s="2" t="s">
        <v>728</v>
      </c>
      <c r="G34" s="23" t="s">
        <v>237</v>
      </c>
    </row>
    <row r="36" customFormat="false" ht="15" hidden="false" customHeight="false" outlineLevel="0" collapsed="false">
      <c r="B36" s="9" t="s">
        <v>321</v>
      </c>
      <c r="C36" s="10"/>
      <c r="D36" s="10"/>
      <c r="E36" s="10"/>
    </row>
    <row r="37" customFormat="false" ht="15" hidden="false" customHeight="false" outlineLevel="0" collapsed="false">
      <c r="B37" s="20" t="s">
        <v>697</v>
      </c>
      <c r="C37" s="44" t="n">
        <f aca="false">IF(ISBLANK(Stmt_Fund_Value),Pension_Today,Stmt_Fund_Value)</f>
        <v>60000</v>
      </c>
      <c r="D37" s="45" t="str">
        <f aca="false">IF(ISBLANK(Stmt_Fund_Value),"Your figure","From your statement")</f>
        <v>Your figure</v>
      </c>
      <c r="E37" s="36" t="s">
        <v>729</v>
      </c>
    </row>
    <row r="38" customFormat="false" ht="15" hidden="false" customHeight="false" outlineLevel="0" collapsed="false">
      <c r="B38" s="20" t="s">
        <v>700</v>
      </c>
      <c r="C38" s="44" t="n">
        <f aca="false">IF(COUNT(Stmt_You_Monthly,Stmt_Employer_Monthly)=0,Monthly_Contribution,SUM(Stmt_You_Monthly,Stmt_Employer_Monthly))</f>
        <v>500</v>
      </c>
      <c r="D38" s="45" t="str">
        <f aca="false">IF(COUNT(Stmt_You_Monthly,Stmt_Employer_Monthly)=0,"Your figure","From your statement")</f>
        <v>Your figure</v>
      </c>
      <c r="E38" s="36" t="s">
        <v>730</v>
      </c>
    </row>
    <row r="39" customFormat="false" ht="15" hidden="false" customHeight="false" outlineLevel="0" collapsed="false">
      <c r="B39" s="20" t="s">
        <v>731</v>
      </c>
      <c r="C39" s="46" t="n">
        <f aca="false">IF(ISBLANK(Stmt_Charges),Growth_Rate,Growth_Rate+Typical_Pension_Charges-Stmt_Charges)</f>
        <v>0.045</v>
      </c>
      <c r="D39" s="45" t="str">
        <f aca="false">IF(ISBLANK(Stmt_Charges),"Your figure","Adjusted for your statement's charges")</f>
        <v>Your figure</v>
      </c>
      <c r="E39" s="36" t="s">
        <v>732</v>
      </c>
    </row>
    <row r="40" customFormat="false" ht="22.35" hidden="false" customHeight="false" outlineLevel="0" collapsed="false">
      <c r="B40" s="20" t="s">
        <v>733</v>
      </c>
      <c r="C40" s="32" t="str">
        <f aca="false">IF(AND(NOT(ISBLANK(Stmt_Projected_Fund)),Stmt_NRA=Retirement_Age+Retire_Later,Save_More=0),"Yes","No")</f>
        <v>No</v>
      </c>
      <c r="D40" s="22"/>
      <c r="E40" s="29" t="s">
        <v>734</v>
      </c>
    </row>
    <row r="41" customFormat="false" ht="22.35" hidden="false" customHeight="false" outlineLevel="0" collapsed="false">
      <c r="B41" s="20" t="s">
        <v>327</v>
      </c>
      <c r="C41" s="32" t="str">
        <f aca="true">IF(ISBLANK(Stmt_Statement_Date),"",IF(TODAY()-Stmt_Statement_Date&gt;Statement_Max_Age_Days,"Needs a look: statement is more than 12 months old","Up to date"))</f>
        <v/>
      </c>
      <c r="D41" s="22"/>
      <c r="E41" s="29" t="s">
        <v>328</v>
      </c>
    </row>
    <row r="43" customFormat="false" ht="15" hidden="false" customHeight="false" outlineLevel="0" collapsed="false">
      <c r="B43" s="9" t="s">
        <v>238</v>
      </c>
      <c r="C43" s="19" t="s">
        <v>239</v>
      </c>
      <c r="D43" s="19" t="s">
        <v>240</v>
      </c>
      <c r="E43" s="19" t="s">
        <v>241</v>
      </c>
    </row>
    <row r="44" customFormat="false" ht="17.35" hidden="false" customHeight="false" outlineLevel="0" collapsed="false">
      <c r="B44" s="17" t="s">
        <v>735</v>
      </c>
      <c r="C44" s="28" t="str">
        <f aca="false">IF(ISNUMBER(Fund_Today),Target_Today-Fund_Today,"Enter your inflation rate")</f>
        <v>Enter your inflation rate</v>
      </c>
      <c r="D44" s="49" t="str">
        <f aca="false">IF(ISNUMBER(Gap_Today),IF(Gap_Today&gt;0,"Gap of "&amp;TEXT(Gap_Today,"€#,##0")&amp;" in today's money","On track: no gap"),"Enter your inflation rate")</f>
        <v>Enter your inflation rate</v>
      </c>
      <c r="E44" s="29" t="s">
        <v>736</v>
      </c>
    </row>
    <row r="45" customFormat="false" ht="17.35" hidden="false" customHeight="false" outlineLevel="0" collapsed="false">
      <c r="B45" s="17" t="s">
        <v>737</v>
      </c>
      <c r="C45" s="28" t="n">
        <f aca="false">IF(Use_Statement_Projection="Yes",Stmt_Projected_Fund,Calculated_Fund)</f>
        <v>544988.678145377</v>
      </c>
      <c r="D45" s="49" t="str">
        <f aca="false">IF(Use_Statement_Projection="Yes","From your statement","Calculated")</f>
        <v>Calculated</v>
      </c>
      <c r="E45" s="29" t="s">
        <v>738</v>
      </c>
    </row>
    <row r="46" customFormat="false" ht="43.25" hidden="false" customHeight="false" outlineLevel="0" collapsed="false">
      <c r="B46" s="17" t="s">
        <v>739</v>
      </c>
      <c r="C46" s="28" t="str">
        <f aca="false">IF(AND(Use_Statement_Projection="Yes",Stmt_Projection_Today&lt;&gt;"No"),Stmt_Projected_Fund,IF(ISBLANK(Inflation_Choice),"Enter your inflation rate",Projected_Fund/(1+Inflation_Choice)^Years_To_Retirement))</f>
        <v>Enter your inflation rate</v>
      </c>
      <c r="D46" s="22" t="s">
        <v>207</v>
      </c>
      <c r="E46" s="29" t="s">
        <v>740</v>
      </c>
    </row>
    <row r="47" customFormat="false" ht="15" hidden="false" customHeight="false" outlineLevel="0" collapsed="false">
      <c r="B47" s="20" t="s">
        <v>741</v>
      </c>
      <c r="C47" s="30" t="n">
        <f aca="false">Used_Pension_Today*(1+Used_Growth_Rate)^Years_To_Retirement+Contributions_Grow_To</f>
        <v>544988.678145377</v>
      </c>
      <c r="D47" s="22" t="s">
        <v>207</v>
      </c>
      <c r="E47" s="29" t="s">
        <v>742</v>
      </c>
    </row>
    <row r="48" customFormat="false" ht="17.35" hidden="false" customHeight="false" outlineLevel="0" collapsed="false">
      <c r="B48" s="17" t="s">
        <v>743</v>
      </c>
      <c r="C48" s="28" t="n">
        <f aca="false">MAX(0,Desired_Income-Spend_Less-Other_Income)*Retire_Multiple+Bridge_Years*Other_Income</f>
        <v>626464</v>
      </c>
      <c r="D48" s="22" t="s">
        <v>207</v>
      </c>
      <c r="E48" s="29" t="s">
        <v>744</v>
      </c>
    </row>
    <row r="49" customFormat="false" ht="15" hidden="false" customHeight="false" outlineLevel="0" collapsed="false">
      <c r="B49" s="20" t="s">
        <v>745</v>
      </c>
      <c r="C49" s="52" t="n">
        <f aca="false">MAX(0,State_Pension_Age-(Retirement_Age+Retire_Later))</f>
        <v>1</v>
      </c>
      <c r="D49" s="22" t="s">
        <v>226</v>
      </c>
      <c r="E49" s="29" t="s">
        <v>746</v>
      </c>
    </row>
    <row r="50" customFormat="false" ht="15" hidden="false" customHeight="false" outlineLevel="0" collapsed="false">
      <c r="B50" s="20" t="s">
        <v>747</v>
      </c>
      <c r="C50" s="30" t="n">
        <f aca="false">MIN(Projected_Fund*Lump_Sum_Pct,Lump_Sum_Cap)</f>
        <v>136247.169536344</v>
      </c>
      <c r="D50" s="22" t="s">
        <v>207</v>
      </c>
      <c r="E50" s="29" t="s">
        <v>748</v>
      </c>
    </row>
    <row r="51" customFormat="false" ht="15" hidden="false" customHeight="false" outlineLevel="0" collapsed="false">
      <c r="B51" s="20" t="s">
        <v>749</v>
      </c>
      <c r="C51" s="30" t="n">
        <f aca="false">Lump_Sum_Rate*MAX(0,Lump_Sum-Lump_Sum_Tax_Free)</f>
        <v>0</v>
      </c>
      <c r="D51" s="22" t="s">
        <v>207</v>
      </c>
      <c r="E51" s="29" t="s">
        <v>750</v>
      </c>
    </row>
    <row r="52" customFormat="false" ht="15" hidden="false" customHeight="false" outlineLevel="0" collapsed="false">
      <c r="B52" s="20" t="s">
        <v>751</v>
      </c>
      <c r="C52" s="30" t="n">
        <f aca="false">Lump_Sum-Lump_Sum_Tax</f>
        <v>136247.169536344</v>
      </c>
      <c r="D52" s="22" t="s">
        <v>207</v>
      </c>
      <c r="E52" s="29" t="s">
        <v>752</v>
      </c>
    </row>
    <row r="53" customFormat="false" ht="15" hidden="false" customHeight="false" outlineLevel="0" collapsed="false">
      <c r="B53" s="58" t="s">
        <v>753</v>
      </c>
      <c r="C53" s="59" t="str">
        <f aca="false">IF(Retirement_Age+Retire_Later&lt;Pension_Earliest_Age,"Most pensions can't be taken before 60 (PRSA and personal pensions; occupational schemes from 50 only if you have left that job).","")</f>
        <v/>
      </c>
      <c r="D53" s="59"/>
      <c r="E53" s="59"/>
    </row>
    <row r="54" customFormat="false" ht="15" hidden="false" customHeight="false" outlineLevel="0" collapsed="false">
      <c r="B54" s="58" t="s">
        <v>753</v>
      </c>
      <c r="C54" s="59" t="str">
        <f aca="false">IF(Projected_Fund&gt;SFT_2026,"Above the Standard Fund Threshold (€2.2m in 2026, rising to €2.8m by 2029): the excess is taxed at "&amp;TEXT(SFT_Tax,"0%")&amp;".","")</f>
        <v/>
      </c>
      <c r="D54" s="59"/>
      <c r="E54" s="59"/>
    </row>
    <row r="55" customFormat="false" ht="15" hidden="false" customHeight="false" outlineLevel="0" collapsed="false">
      <c r="B55" s="20" t="s">
        <v>754</v>
      </c>
      <c r="C55" s="52" t="n">
        <f aca="false">MAX(1,Retirement_Age+Retire_Later-Age)</f>
        <v>25</v>
      </c>
      <c r="D55" s="22" t="s">
        <v>226</v>
      </c>
      <c r="E55" s="29" t="s">
        <v>755</v>
      </c>
    </row>
    <row r="56" customFormat="false" ht="15" hidden="false" customHeight="false" outlineLevel="0" collapsed="false">
      <c r="B56" s="20" t="s">
        <v>756</v>
      </c>
      <c r="C56" s="30" t="n">
        <f aca="false">Used_Monthly_Contribution+Save_More</f>
        <v>500</v>
      </c>
      <c r="D56" s="22" t="s">
        <v>207</v>
      </c>
      <c r="E56" s="29" t="s">
        <v>757</v>
      </c>
    </row>
    <row r="57" customFormat="false" ht="22.35" hidden="false" customHeight="false" outlineLevel="0" collapsed="false">
      <c r="B57" s="20" t="s">
        <v>758</v>
      </c>
      <c r="C57" s="30" t="n">
        <f aca="false">IF(Used_Growth_Rate=Wage,12*Contribution*Years_To_Retirement*(1+Used_Growth_Rate)^(Years_To_Retirement-1),12*Contribution*((1+Used_Growth_Rate)^Years_To_Retirement-(1+Wage)^Years_To_Retirement)/(Used_Growth_Rate-Wage))</f>
        <v>364662.610753151</v>
      </c>
      <c r="D57" s="22" t="s">
        <v>207</v>
      </c>
      <c r="E57" s="29" t="s">
        <v>759</v>
      </c>
    </row>
    <row r="59" customFormat="false" ht="15" hidden="false" customHeight="false" outlineLevel="0" collapsed="false">
      <c r="B59" s="9" t="s">
        <v>271</v>
      </c>
      <c r="C59" s="10"/>
      <c r="D59" s="10"/>
      <c r="E59" s="10"/>
    </row>
    <row r="60" customFormat="false" ht="27.75" hidden="false" customHeight="true" outlineLevel="0" collapsed="false">
      <c r="B60" s="33" t="s">
        <v>760</v>
      </c>
      <c r="C60" s="33"/>
      <c r="D60" s="33"/>
      <c r="E60" s="33"/>
    </row>
    <row r="61" customFormat="false" ht="27.75" hidden="false" customHeight="true" outlineLevel="0" collapsed="false">
      <c r="B61" s="33" t="s">
        <v>761</v>
      </c>
      <c r="C61" s="33"/>
      <c r="D61" s="33"/>
      <c r="E61" s="33"/>
    </row>
    <row r="62" customFormat="false" ht="27.75" hidden="false" customHeight="true" outlineLevel="0" collapsed="false">
      <c r="B62" s="33" t="s">
        <v>762</v>
      </c>
      <c r="C62" s="33"/>
      <c r="D62" s="33"/>
      <c r="E62" s="33"/>
    </row>
    <row r="63" customFormat="false" ht="27.75" hidden="false" customHeight="true" outlineLevel="0" collapsed="false">
      <c r="B63" s="33" t="s">
        <v>763</v>
      </c>
      <c r="C63" s="33"/>
      <c r="D63" s="33"/>
      <c r="E63" s="33"/>
    </row>
    <row r="64" customFormat="false" ht="13.5" hidden="false" customHeight="true" outlineLevel="0" collapsed="false">
      <c r="B64" s="34" t="s">
        <v>275</v>
      </c>
      <c r="C64" s="34"/>
      <c r="D64" s="34"/>
      <c r="E64" s="34"/>
    </row>
    <row r="65" customFormat="false" ht="13.5" hidden="false" customHeight="true" outlineLevel="0" collapsed="false">
      <c r="B65" s="33" t="s">
        <v>764</v>
      </c>
      <c r="C65" s="33"/>
      <c r="D65" s="33"/>
      <c r="E65" s="33"/>
    </row>
    <row r="66" customFormat="false" ht="27.75" hidden="false" customHeight="true" outlineLevel="0" collapsed="false">
      <c r="B66" s="33" t="s">
        <v>765</v>
      </c>
      <c r="C66" s="33"/>
      <c r="D66" s="33"/>
      <c r="E66" s="33"/>
    </row>
    <row r="67" customFormat="false" ht="13.5" hidden="false" customHeight="true" outlineLevel="0" collapsed="false">
      <c r="B67" s="33" t="s">
        <v>766</v>
      </c>
      <c r="C67" s="33"/>
      <c r="D67" s="33"/>
      <c r="E67" s="33"/>
    </row>
    <row r="69" customFormat="false" ht="15" hidden="false" customHeight="false" outlineLevel="0" collapsed="false">
      <c r="B69" s="9" t="s">
        <v>280</v>
      </c>
      <c r="C69" s="10"/>
      <c r="D69" s="10"/>
      <c r="E69" s="10"/>
    </row>
    <row r="70" customFormat="false" ht="15" hidden="false" customHeight="false" outlineLevel="0" collapsed="false">
      <c r="B70" s="20" t="s">
        <v>281</v>
      </c>
      <c r="C70" s="35" t="str">
        <f aca="false">"Update your retirement goal (no new goal)"</f>
        <v>Update your retirement goal (no new goal)</v>
      </c>
      <c r="E70" s="36" t="s">
        <v>767</v>
      </c>
    </row>
    <row r="71" customFormat="false" ht="15" hidden="false" customHeight="false" outlineLevel="0" collapsed="false">
      <c r="B71" s="20" t="s">
        <v>768</v>
      </c>
      <c r="C71" s="37" t="n">
        <f aca="false">Desired_Income-Spend_Less</f>
        <v>40000</v>
      </c>
      <c r="E71" s="36" t="s">
        <v>769</v>
      </c>
    </row>
    <row r="72" customFormat="false" ht="15" hidden="false" customHeight="false" outlineLevel="0" collapsed="false">
      <c r="B72" s="20" t="s">
        <v>770</v>
      </c>
      <c r="C72" s="38" t="n">
        <f aca="false">Retirement_Age+Retire_Later</f>
        <v>65</v>
      </c>
      <c r="E72" s="36" t="s">
        <v>771</v>
      </c>
    </row>
    <row r="73" customFormat="false" ht="15" hidden="false" customHeight="false" outlineLevel="0" collapsed="false">
      <c r="B73" s="20" t="s">
        <v>569</v>
      </c>
      <c r="C73" s="55" t="str">
        <f aca="false">IF(ISBLANK(Inflation_Choice),"Choose an inflation rate first",Inflation_Choice)</f>
        <v>Choose an inflation rate first</v>
      </c>
      <c r="E73" s="36" t="s">
        <v>570</v>
      </c>
    </row>
    <row r="74" customFormat="false" ht="13.5" hidden="false" customHeight="true" outlineLevel="0" collapsed="false">
      <c r="B74" s="39" t="s">
        <v>772</v>
      </c>
      <c r="C74" s="39"/>
      <c r="D74" s="39"/>
      <c r="E74" s="39"/>
    </row>
  </sheetData>
  <mergeCells count="13">
    <mergeCell ref="B7:E7"/>
    <mergeCell ref="B10:E10"/>
    <mergeCell ref="C53:E53"/>
    <mergeCell ref="C54:E54"/>
    <mergeCell ref="B60:E60"/>
    <mergeCell ref="B61:E61"/>
    <mergeCell ref="B62:E62"/>
    <mergeCell ref="B63:E63"/>
    <mergeCell ref="B64:E64"/>
    <mergeCell ref="B65:E65"/>
    <mergeCell ref="B66:E66"/>
    <mergeCell ref="B67:E67"/>
    <mergeCell ref="B74:E74"/>
  </mergeCells>
  <dataValidations count="23">
    <dataValidation allowBlank="true" error="Please enter a date (dd/mm/yyyy)." errorStyle="stop" errorTitle="Outside the allowed range" operator="greaterThan" prompt="Unit: date. Allowed: a date (dd/mm/yyyy)." promptTitle="Statement date" showDropDown="false" showErrorMessage="true" showInputMessage="true" sqref="C18" type="date">
      <formula1>36526</formula1>
      <formula2>0</formula2>
    </dataValidation>
    <dataValidation allowBlank="true" error="Please enter 0% to 10% · steps of 0.25%." errorStyle="stop" errorTitle="Outside the allowed range" operator="between" prompt="Everyone sees this differently. Ireland's prices are rising 3.9% now (CSO HICP flash, Sep 2026), mostly because of energy. Over decades, 2%–2.5% is the usual planning range (ECB target 2%). Enter 0% if you don't want t Allowed: 0% to 10% · steps of 0.25%." promptTitle="Inflation you expect (your choic" showDropDown="false" showErrorMessage="true" showInputMessage="true" sqref="C6" type="decimal">
      <formula1>0</formula1>
      <formula2>0.1</formula2>
    </dataValidation>
    <dataValidation allowBlank="true" error="Please enter 0% to 5%." errorStyle="stop" errorTitle="Outside the allowed range" operator="between" prompt="Unit: %. Allowed: 0% to 5%." promptTitle="Annual charges % (if shown)" showDropDown="false" showErrorMessage="true" showInputMessage="true" sqref="C17" type="decimal">
      <formula1>0</formula1>
      <formula2>0.05</formula2>
    </dataValidation>
    <dataValidation allowBlank="false" error="Please enter 0% to 2.5% · steps of 0.05%." errorStyle="stop" errorTitle="Outside the allowed range" operator="between" prompt="Suggested · change if you like. Your pension statement shows your actual charges. We use them when you add it.  Allowed: 0% to 2.5% · steps of 0.05%." promptTitle="Typical pension charges (if your" showDropDown="false" showErrorMessage="true" showInputMessage="true" sqref="C30" type="decimal">
      <formula1>0</formula1>
      <formula2>0.025</formula2>
    </dataValidation>
    <dataValidation allowBlank="true" error="Please enter €0 to €100,000,000." errorStyle="stop" errorTitle="Outside the allowed range" operator="between" prompt="Unit: €. Allowed: €0 to €100,000,000." promptTitle="Projected fund at retirement (if" showDropDown="false" showErrorMessage="true" showInputMessage="true" sqref="C15" type="decimal">
      <formula1>0</formula1>
      <formula2>100000000</formula2>
    </dataValidation>
    <dataValidation allowBlank="true" error="Please enter €0 to €50,000,000." errorStyle="stop" errorTitle="Outside the allowed range" operator="between" prompt="Unit: €. Allowed: €0 to €50,000,000." promptTitle="Fund value today" showDropDown="false" showErrorMessage="true" showInputMessage="true" sqref="C11" type="decimal">
      <formula1>0</formula1>
      <formula2>50000000</formula2>
    </dataValidation>
    <dataValidation allowBlank="true" error="Please enter €0 to €100,000." errorStyle="stop" errorTitle="Outside the allowed range" operator="between" prompt="Unit: €. Allowed: €0 to €100,000." promptTitle="Your monthly contribution" showDropDown="false" showErrorMessage="true" showInputMessage="true" sqref="C12" type="decimal">
      <formula1>0</formula1>
      <formula2>100000</formula2>
    </dataValidation>
    <dataValidation allowBlank="true" error="Please enter €0 to €100,000." errorStyle="stop" errorTitle="Outside the allowed range" operator="between" prompt="Unit: €. Allowed: €0 to €100,000." promptTitle="Employer monthly contribution" showDropDown="false" showErrorMessage="true" showInputMessage="true" sqref="C13" type="decimal">
      <formula1>0</formula1>
      <formula2>100000</formula2>
    </dataValidation>
    <dataValidation allowBlank="true" error="Please enter 50 to 75." errorStyle="stop" errorTitle="Outside the allowed range" operator="between" prompt="Unit: age. Allowed: 50 to 75." promptTitle="Normal retirement age" showDropDown="false" showErrorMessage="true" showInputMessage="true" sqref="C14" type="whole">
      <formula1>50</formula1>
      <formula2>75</formula2>
    </dataValidation>
    <dataValidation allowBlank="true" error="Please enter Yes or No." errorStyle="stop" errorTitle="Outside the allowed range" operator="between" prompt="Unit: Yes / No. Allowed: Yes or No." promptTitle="Projection is in today's money? " showDropDown="false" showErrorMessage="true" showInputMessage="true" sqref="C16" type="list">
      <formula1>"Yes,No"</formula1>
      <formula2>0</formula2>
    </dataValidation>
    <dataValidation allowBlank="false" error="Please enter 20 to 70 · steps of 1." errorStyle="stop" errorTitle="Outside the allowed range" operator="between" prompt="Unit: age. Allowed: 20 to 70 · steps of 1." promptTitle="Your age" showDropDown="false" showErrorMessage="true" showInputMessage="true" sqref="C21" type="whole">
      <formula1>20</formula1>
      <formula2>70</formula2>
    </dataValidation>
    <dataValidation allowBlank="false" error="Please enter 50 to 75 · steps of 1." errorStyle="stop" errorTitle="Outside the allowed range" operator="between" prompt="Unit: age. Allowed: 50 to 75 · steps of 1." promptTitle="Target retirement age" showDropDown="false" showErrorMessage="true" showInputMessage="true" sqref="C22" type="whole">
      <formula1>50</formula1>
      <formula2>75</formula2>
    </dataValidation>
    <dataValidation allowBlank="false" error="Please enter €0 to €15,000,000 · steps of €1,000." errorStyle="stop" errorTitle="Outside the allowed range" operator="between" prompt="Unit: €. Allowed: €0 to €15,000,000 · steps of €1,000." promptTitle="Pension value today" showDropDown="false" showErrorMessage="true" showInputMessage="true" sqref="C23" type="decimal">
      <formula1>0</formula1>
      <formula2>15000000</formula2>
    </dataValidation>
    <dataValidation allowBlank="false" error="Please enter €0 to €50,000 · steps of €10." errorStyle="stop" errorTitle="Outside the allowed range" operator="between" prompt="Unit: €. Allowed: €0 to €50,000 · steps of €10." promptTitle="Monthly contributions (you + emp" showDropDown="false" showErrorMessage="true" showInputMessage="true" sqref="C24" type="decimal">
      <formula1>0</formula1>
      <formula2>50000</formula2>
    </dataValidation>
    <dataValidation allowBlank="false" error="Please enter €10,000 to €1,500,000 · steps of €1,000." errorStyle="stop" errorTitle="Outside the allowed range" operator="between" prompt="Unit: €. Allowed: €10,000 to €1,500,000 · steps of €1,000." promptTitle="Desired yearly income in retirem" showDropDown="false" showErrorMessage="true" showInputMessage="true" sqref="C25" type="decimal">
      <formula1>10000</formula1>
      <formula2>1500000</formula2>
    </dataValidation>
    <dataValidation allowBlank="false" error="Please enter €0 to €500,000 · steps of €500." errorStyle="stop" errorTitle="Outside the allowed range" operator="between" prompt="Unit: €. Allowed: €0 to €500,000 · steps of €500." promptTitle="Other yearly income from 66, e.g" showDropDown="false" showErrorMessage="true" showInputMessage="true" sqref="C26" type="decimal">
      <formula1>0</formula1>
      <formula2>500000</formula2>
    </dataValidation>
    <dataValidation allowBlank="false" error="Please enter 1% to 7% · steps of 0.25%." errorStyle="stop" errorTitle="Outside the allowed range" operator="between" prompt="Suggested · change if you like. Pension growth is tax-free inside the fund. Suggested 4.5% a year after charges while working (Cautious 4.0%).  Allowed: 1% to 7% · steps of 0.25%." promptTitle="Pension growth after charges a y" showDropDown="false" showErrorMessage="true" showInputMessage="true" sqref="C27" type="decimal">
      <formula1>0.01</formula1>
      <formula2>0.07</formula2>
    </dataValidation>
    <dataValidation allowBlank="false" error="Please enter 0% to 6% · steps of 0.25%." errorStyle="stop" errorTitle="Outside the allowed range" operator="between" prompt="Suggested · change if you like. Irish pay has grown about 3%–4% a year recently. Pick lower if your pay is fixed or you expect to work part-time.  Allowed: 0% to 6% · steps of 0.25%." promptTitle="Pay rises a year (contributions " showDropDown="false" showErrorMessage="true" showInputMessage="true" sqref="C28" type="decimal">
      <formula1>0</formula1>
      <formula2>0.06</formula2>
    </dataValidation>
    <dataValidation allowBlank="false" error="Please enter 20 to 33 · steps of 1." errorStyle="stop" errorTitle="Outside the allowed range" operator="between" prompt="Suggested · change if you like. 25 times the yearly income you need is a common rule of thumb (about 4% a year). Retiring early or planning to 95 needs more.  Allowed: 20 to 33 · steps of 1." promptTitle="Retirement savings target: × the" showDropDown="false" showErrorMessage="true" showInputMessage="true" sqref="C29" type="whole">
      <formula1>20</formula1>
      <formula2>33</formula2>
    </dataValidation>
    <dataValidation allowBlank="false" error="Please enter 0% to 25% · steps of 1%." errorStyle="stop" errorTitle="Outside the allowed range" operator="between" prompt="Suggested · change if you like. Up to €200,000 is tax-free and the next €300,000 is taxed at 20%. Your adviser can compare it with leaving it invested.  Allowed: 0% to 25% · steps of 1%." promptTitle="Tax-free lump sum you plan to ta" showDropDown="false" showErrorMessage="true" showInputMessage="true" sqref="C31" type="decimal">
      <formula1>0</formula1>
      <formula2>0.25</formula2>
    </dataValidation>
    <dataValidation allowBlank="false" error="Please enter 0 to 5 · steps of 1." errorStyle="stop" errorTitle="Outside the allowed range" operator="between" prompt="Unit: years. Allowed: 0 to 5 · steps of 1." promptTitle="What if: retire later by" showDropDown="false" showErrorMessage="true" showInputMessage="true" sqref="C32" type="whole">
      <formula1>0</formula1>
      <formula2>5</formula2>
    </dataValidation>
    <dataValidation allowBlank="false" error="Please enter €0 to €15,000 · steps of €50." errorStyle="stop" errorTitle="Outside the allowed range" operator="between" prompt="Unit: €. Allowed: €0 to €15,000 · steps of €50." promptTitle="What if: save more each month" showDropDown="false" showErrorMessage="true" showInputMessage="true" sqref="C33" type="decimal">
      <formula1>0</formula1>
      <formula2>15000</formula2>
    </dataValidation>
    <dataValidation allowBlank="false" error="Please enter €0 to €200,000 · steps of €500." errorStyle="stop" errorTitle="Outside the allowed range" operator="between" prompt="Unit: €. Allowed: €0 to €200,000 · steps of €500." promptTitle="What if: spend less in retiremen" showDropDown="false" showErrorMessage="true" showInputMessage="true" sqref="C34" type="decimal">
      <formula1>0</formula1>
      <formula2>200000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G4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50"/>
    <col collapsed="false" customWidth="true" hidden="false" outlineLevel="0" max="3" min="3" style="0" width="26"/>
    <col collapsed="false" customWidth="true" hidden="false" outlineLevel="0" max="4" min="4" style="0" width="24"/>
    <col collapsed="false" customWidth="true" hidden="false" outlineLevel="0" max="5" min="5" style="0" width="78"/>
    <col collapsed="false" customWidth="true" hidden="false" outlineLevel="0" max="6" min="6" style="0" width="2"/>
    <col collapsed="false" customWidth="true" hidden="false" outlineLevel="0" max="7" min="7" style="0" width="44"/>
  </cols>
  <sheetData>
    <row r="1" customFormat="false" ht="19.7" hidden="false" customHeight="false" outlineLevel="0" collapsed="false">
      <c r="B1" s="16" t="s">
        <v>773</v>
      </c>
      <c r="G1" s="2" t="s">
        <v>677</v>
      </c>
    </row>
    <row r="2" customFormat="false" ht="15" hidden="false" customHeight="false" outlineLevel="0" collapsed="false">
      <c r="B2" s="17" t="s">
        <v>774</v>
      </c>
      <c r="G2" s="2" t="s">
        <v>775</v>
      </c>
    </row>
    <row r="3" customFormat="false" ht="15" hidden="false" customHeight="false" outlineLevel="0" collapsed="false">
      <c r="B3" s="18" t="s">
        <v>776</v>
      </c>
    </row>
    <row r="5" customFormat="false" ht="15" hidden="false" customHeight="false" outlineLevel="0" collapsed="false">
      <c r="B5" s="9" t="s">
        <v>537</v>
      </c>
      <c r="C5" s="19" t="s">
        <v>203</v>
      </c>
      <c r="D5" s="19" t="s">
        <v>204</v>
      </c>
      <c r="E5" s="19" t="s">
        <v>205</v>
      </c>
    </row>
    <row r="6" customFormat="false" ht="15" hidden="false" customHeight="false" outlineLevel="0" collapsed="false">
      <c r="B6" s="20" t="s">
        <v>538</v>
      </c>
      <c r="C6" s="25"/>
      <c r="D6" s="22" t="s">
        <v>222</v>
      </c>
      <c r="E6" s="2" t="s">
        <v>539</v>
      </c>
      <c r="G6" s="23" t="s">
        <v>540</v>
      </c>
    </row>
    <row r="7" customFormat="false" ht="27.75" hidden="false" customHeight="true" outlineLevel="0" collapsed="false">
      <c r="B7" s="39" t="s">
        <v>541</v>
      </c>
      <c r="C7" s="39"/>
      <c r="D7" s="39"/>
      <c r="E7" s="39"/>
    </row>
    <row r="9" customFormat="false" ht="15" hidden="false" customHeight="false" outlineLevel="0" collapsed="false">
      <c r="B9" s="9" t="s">
        <v>293</v>
      </c>
      <c r="C9" s="10"/>
      <c r="D9" s="10"/>
      <c r="E9" s="10"/>
    </row>
    <row r="10" customFormat="false" ht="27.75" hidden="false" customHeight="true" outlineLevel="0" collapsed="false">
      <c r="B10" s="39" t="s">
        <v>777</v>
      </c>
      <c r="C10" s="39"/>
      <c r="D10" s="39"/>
      <c r="E10" s="39"/>
    </row>
    <row r="11" customFormat="false" ht="15" hidden="false" customHeight="false" outlineLevel="0" collapsed="false">
      <c r="B11" s="20" t="s">
        <v>608</v>
      </c>
      <c r="C11" s="41"/>
      <c r="D11" s="22" t="s">
        <v>222</v>
      </c>
      <c r="E11" s="2" t="s">
        <v>609</v>
      </c>
      <c r="G11" s="23" t="s">
        <v>297</v>
      </c>
    </row>
    <row r="12" customFormat="false" ht="15" hidden="false" customHeight="false" outlineLevel="0" collapsed="false">
      <c r="B12" s="20" t="s">
        <v>304</v>
      </c>
      <c r="C12" s="43"/>
      <c r="D12" s="22" t="s">
        <v>305</v>
      </c>
      <c r="E12" s="2" t="s">
        <v>306</v>
      </c>
      <c r="G12" s="23" t="s">
        <v>297</v>
      </c>
    </row>
    <row r="14" customFormat="false" ht="15" hidden="false" customHeight="false" outlineLevel="0" collapsed="false">
      <c r="B14" s="9" t="s">
        <v>307</v>
      </c>
      <c r="C14" s="19" t="s">
        <v>203</v>
      </c>
      <c r="D14" s="19" t="s">
        <v>204</v>
      </c>
      <c r="E14" s="19" t="s">
        <v>205</v>
      </c>
    </row>
    <row r="15" customFormat="false" ht="15" hidden="false" customHeight="false" outlineLevel="0" collapsed="false">
      <c r="B15" s="20" t="s">
        <v>778</v>
      </c>
      <c r="C15" s="21" t="n">
        <v>60000</v>
      </c>
      <c r="D15" s="22" t="s">
        <v>207</v>
      </c>
      <c r="E15" s="2" t="s">
        <v>208</v>
      </c>
      <c r="G15" s="23" t="s">
        <v>209</v>
      </c>
    </row>
    <row r="16" customFormat="false" ht="15" hidden="false" customHeight="false" outlineLevel="0" collapsed="false">
      <c r="B16" s="20" t="s">
        <v>779</v>
      </c>
      <c r="C16" s="25" t="n">
        <v>0.02</v>
      </c>
      <c r="D16" s="22" t="s">
        <v>222</v>
      </c>
      <c r="E16" s="2" t="s">
        <v>780</v>
      </c>
      <c r="G16" s="23" t="s">
        <v>781</v>
      </c>
    </row>
    <row r="17" customFormat="false" ht="15" hidden="false" customHeight="false" outlineLevel="0" collapsed="false">
      <c r="B17" s="20" t="s">
        <v>754</v>
      </c>
      <c r="C17" s="27" t="n">
        <v>25</v>
      </c>
      <c r="D17" s="22" t="s">
        <v>226</v>
      </c>
      <c r="E17" s="2" t="s">
        <v>782</v>
      </c>
      <c r="G17" s="23" t="s">
        <v>783</v>
      </c>
    </row>
    <row r="18" customFormat="false" ht="15" hidden="false" customHeight="false" outlineLevel="0" collapsed="false">
      <c r="B18" s="20" t="s">
        <v>784</v>
      </c>
      <c r="C18" s="25" t="n">
        <v>0.045</v>
      </c>
      <c r="D18" s="22" t="s">
        <v>222</v>
      </c>
      <c r="E18" s="26" t="s">
        <v>785</v>
      </c>
      <c r="G18" s="23" t="s">
        <v>786</v>
      </c>
    </row>
    <row r="19" customFormat="false" ht="15" hidden="false" customHeight="false" outlineLevel="0" collapsed="false">
      <c r="B19" s="20" t="s">
        <v>718</v>
      </c>
      <c r="C19" s="25" t="n">
        <v>0.01</v>
      </c>
      <c r="D19" s="22" t="s">
        <v>222</v>
      </c>
      <c r="E19" s="26" t="s">
        <v>719</v>
      </c>
      <c r="G19" s="23" t="s">
        <v>505</v>
      </c>
    </row>
    <row r="20" customFormat="false" ht="15" hidden="false" customHeight="false" outlineLevel="0" collapsed="false">
      <c r="B20" s="20" t="s">
        <v>787</v>
      </c>
      <c r="C20" s="60" t="n">
        <f aca="false">TE_Marginal_Rate</f>
        <v>0.4</v>
      </c>
      <c r="D20" s="22" t="s">
        <v>788</v>
      </c>
      <c r="E20" s="2" t="s">
        <v>789</v>
      </c>
      <c r="G20" s="23" t="s">
        <v>790</v>
      </c>
    </row>
    <row r="21" customFormat="false" ht="15" hidden="false" customHeight="false" outlineLevel="0" collapsed="false">
      <c r="B21" s="20" t="s">
        <v>791</v>
      </c>
      <c r="C21" s="27" t="n">
        <v>40</v>
      </c>
      <c r="D21" s="22" t="s">
        <v>687</v>
      </c>
      <c r="E21" s="2" t="s">
        <v>792</v>
      </c>
      <c r="G21" s="23" t="s">
        <v>693</v>
      </c>
    </row>
    <row r="22" customFormat="false" ht="15" hidden="false" customHeight="false" outlineLevel="0" collapsed="false">
      <c r="B22" s="20" t="s">
        <v>793</v>
      </c>
      <c r="C22" s="21" t="n">
        <v>0</v>
      </c>
      <c r="D22" s="22" t="s">
        <v>207</v>
      </c>
      <c r="E22" s="2" t="s">
        <v>794</v>
      </c>
      <c r="G22" s="23" t="s">
        <v>795</v>
      </c>
    </row>
    <row r="24" customFormat="false" ht="15" hidden="false" customHeight="false" outlineLevel="0" collapsed="false">
      <c r="B24" s="9" t="s">
        <v>321</v>
      </c>
      <c r="C24" s="10"/>
      <c r="D24" s="10"/>
      <c r="E24" s="10"/>
    </row>
    <row r="25" customFormat="false" ht="15" hidden="false" customHeight="false" outlineLevel="0" collapsed="false">
      <c r="B25" s="20" t="s">
        <v>796</v>
      </c>
      <c r="C25" s="46" t="n">
        <f aca="false">IF(ISBLANK(Stmt_Charges),Growth_Rate,Growth_Rate+Typical_Pension_Charges-Stmt_Charges)</f>
        <v>0.045</v>
      </c>
      <c r="D25" s="45" t="str">
        <f aca="false">IF(ISBLANK(Stmt_Charges),"Your figure","Adjusted for your statement's charges")</f>
        <v>Your figure</v>
      </c>
      <c r="E25" s="36" t="s">
        <v>732</v>
      </c>
    </row>
    <row r="26" customFormat="false" ht="22.35" hidden="false" customHeight="false" outlineLevel="0" collapsed="false">
      <c r="B26" s="20" t="s">
        <v>327</v>
      </c>
      <c r="C26" s="32" t="str">
        <f aca="true">IF(ISBLANK(Stmt_Statement_Date),"",IF(TODAY()-Stmt_Statement_Date&gt;Statement_Max_Age_Days,"Needs a look: statement is more than 12 months old","Up to date"))</f>
        <v/>
      </c>
      <c r="D26" s="22"/>
      <c r="E26" s="29" t="s">
        <v>328</v>
      </c>
    </row>
    <row r="28" customFormat="false" ht="15" hidden="false" customHeight="false" outlineLevel="0" collapsed="false">
      <c r="B28" s="9" t="s">
        <v>238</v>
      </c>
      <c r="C28" s="19" t="s">
        <v>239</v>
      </c>
      <c r="D28" s="19" t="s">
        <v>240</v>
      </c>
      <c r="E28" s="19" t="s">
        <v>241</v>
      </c>
    </row>
    <row r="29" customFormat="false" ht="17.35" hidden="false" customHeight="false" outlineLevel="0" collapsed="false">
      <c r="B29" s="17" t="s">
        <v>797</v>
      </c>
      <c r="C29" s="28" t="n">
        <f aca="false">FV((1+Used_Growth_Rate)^(1/12)-1,Years*12,-Extra_Per_Month)</f>
        <v>54572.4754132493</v>
      </c>
      <c r="D29" s="22" t="s">
        <v>207</v>
      </c>
      <c r="E29" s="29" t="s">
        <v>798</v>
      </c>
    </row>
    <row r="30" customFormat="false" ht="17.35" hidden="false" customHeight="false" outlineLevel="0" collapsed="false">
      <c r="B30" s="17" t="s">
        <v>586</v>
      </c>
      <c r="C30" s="28" t="str">
        <f aca="false">IF(ISBLANK(Inflation_Choice),"Enter your inflation rate",Grows_To/(1+Inflation_Choice)^Years)</f>
        <v>Enter your inflation rate</v>
      </c>
      <c r="D30" s="22" t="s">
        <v>207</v>
      </c>
      <c r="E30" s="29" t="s">
        <v>587</v>
      </c>
    </row>
    <row r="31" customFormat="false" ht="15" hidden="false" customHeight="false" outlineLevel="0" collapsed="false">
      <c r="B31" s="20" t="s">
        <v>799</v>
      </c>
      <c r="C31" s="30" t="n">
        <f aca="false">Salary*Increase_Pct/12</f>
        <v>100</v>
      </c>
      <c r="D31" s="22" t="s">
        <v>207</v>
      </c>
      <c r="E31" s="29" t="s">
        <v>800</v>
      </c>
    </row>
    <row r="32" customFormat="false" ht="15" hidden="false" customHeight="false" outlineLevel="0" collapsed="false">
      <c r="B32" s="20" t="s">
        <v>801</v>
      </c>
      <c r="C32" s="30" t="n">
        <f aca="false">Extra_Per_Month-Relief_Per_Month</f>
        <v>60</v>
      </c>
      <c r="D32" s="22" t="s">
        <v>207</v>
      </c>
      <c r="E32" s="29" t="s">
        <v>802</v>
      </c>
    </row>
    <row r="33" customFormat="false" ht="15" hidden="false" customHeight="false" outlineLevel="0" collapsed="false">
      <c r="B33" s="20" t="s">
        <v>803</v>
      </c>
      <c r="C33" s="30" t="n">
        <f aca="false">LOOKUP(Age,Relief_Age_From,Relief_Age_Pct)*MIN(Salary,Relief_Earnings_Cap)</f>
        <v>15000</v>
      </c>
      <c r="D33" s="22" t="s">
        <v>207</v>
      </c>
      <c r="E33" s="29" t="s">
        <v>804</v>
      </c>
    </row>
    <row r="34" customFormat="false" ht="15" hidden="false" customHeight="false" outlineLevel="0" collapsed="false">
      <c r="B34" s="20" t="s">
        <v>805</v>
      </c>
      <c r="C34" s="30" t="n">
        <f aca="false">MIN(Extra_Per_Month*12,MAX(0,Relief_Limit_Year-Existing_Pension_Year))</f>
        <v>1200</v>
      </c>
      <c r="D34" s="22" t="s">
        <v>207</v>
      </c>
      <c r="E34" s="29" t="s">
        <v>806</v>
      </c>
    </row>
    <row r="35" customFormat="false" ht="15" hidden="false" customHeight="false" outlineLevel="0" collapsed="false">
      <c r="B35" s="20" t="s">
        <v>807</v>
      </c>
      <c r="C35" s="30" t="n">
        <f aca="false">Relieved_Year*Tax_Rate/12</f>
        <v>40</v>
      </c>
      <c r="D35" s="22" t="s">
        <v>207</v>
      </c>
      <c r="E35" s="29" t="s">
        <v>808</v>
      </c>
    </row>
    <row r="37" customFormat="false" ht="15" hidden="false" customHeight="false" outlineLevel="0" collapsed="false">
      <c r="B37" s="9" t="s">
        <v>271</v>
      </c>
      <c r="C37" s="10"/>
      <c r="D37" s="10"/>
      <c r="E37" s="10"/>
    </row>
    <row r="38" customFormat="false" ht="13.5" hidden="false" customHeight="true" outlineLevel="0" collapsed="false">
      <c r="B38" s="33" t="s">
        <v>809</v>
      </c>
      <c r="C38" s="33"/>
      <c r="D38" s="33"/>
      <c r="E38" s="33"/>
    </row>
    <row r="39" customFormat="false" ht="13.5" hidden="false" customHeight="true" outlineLevel="0" collapsed="false">
      <c r="B39" s="33" t="s">
        <v>810</v>
      </c>
      <c r="C39" s="33"/>
      <c r="D39" s="33"/>
      <c r="E39" s="33"/>
    </row>
    <row r="40" customFormat="false" ht="13.5" hidden="false" customHeight="true" outlineLevel="0" collapsed="false">
      <c r="B40" s="34" t="s">
        <v>275</v>
      </c>
      <c r="C40" s="34"/>
      <c r="D40" s="34"/>
      <c r="E40" s="34"/>
    </row>
    <row r="41" customFormat="false" ht="13.5" hidden="false" customHeight="true" outlineLevel="0" collapsed="false">
      <c r="B41" s="33" t="s">
        <v>811</v>
      </c>
      <c r="C41" s="33"/>
      <c r="D41" s="33"/>
      <c r="E41" s="33"/>
    </row>
    <row r="42" customFormat="false" ht="13.5" hidden="false" customHeight="true" outlineLevel="0" collapsed="false">
      <c r="B42" s="33" t="s">
        <v>812</v>
      </c>
      <c r="C42" s="33"/>
      <c r="D42" s="33"/>
      <c r="E42" s="33"/>
    </row>
    <row r="44" customFormat="false" ht="15" hidden="false" customHeight="false" outlineLevel="0" collapsed="false">
      <c r="B44" s="9" t="s">
        <v>280</v>
      </c>
      <c r="C44" s="10"/>
      <c r="D44" s="10"/>
      <c r="E44" s="10"/>
    </row>
    <row r="45" customFormat="false" ht="15" hidden="false" customHeight="false" outlineLevel="0" collapsed="false">
      <c r="B45" s="20" t="s">
        <v>281</v>
      </c>
      <c r="C45" s="35" t="str">
        <f aca="false">"No goal: raise the plan's pension contribution instead"</f>
        <v>No goal: raise the plan's pension contribution instead</v>
      </c>
      <c r="E45" s="36" t="s">
        <v>813</v>
      </c>
    </row>
    <row r="46" customFormat="false" ht="15" hidden="false" customHeight="false" outlineLevel="0" collapsed="false">
      <c r="B46" s="20" t="s">
        <v>814</v>
      </c>
      <c r="C46" s="37" t="n">
        <f aca="false">Extra_Per_Month</f>
        <v>100</v>
      </c>
      <c r="E46" s="36" t="s">
        <v>815</v>
      </c>
    </row>
    <row r="47" customFormat="false" ht="13.5" hidden="false" customHeight="true" outlineLevel="0" collapsed="false">
      <c r="B47" s="39" t="s">
        <v>816</v>
      </c>
      <c r="C47" s="39"/>
      <c r="D47" s="39"/>
      <c r="E47" s="39"/>
    </row>
  </sheetData>
  <mergeCells count="8">
    <mergeCell ref="B7:E7"/>
    <mergeCell ref="B10:E10"/>
    <mergeCell ref="B38:E38"/>
    <mergeCell ref="B39:E39"/>
    <mergeCell ref="B40:E40"/>
    <mergeCell ref="B41:E41"/>
    <mergeCell ref="B42:E42"/>
    <mergeCell ref="B47:E47"/>
  </mergeCells>
  <dataValidations count="11">
    <dataValidation allowBlank="true" error="Please enter a date (dd/mm/yyyy)." errorStyle="stop" errorTitle="Outside the allowed range" operator="greaterThan" prompt="Unit: date. Allowed: a date (dd/mm/yyyy)." promptTitle="Statement date" showDropDown="false" showErrorMessage="true" showInputMessage="true" sqref="C12" type="date">
      <formula1>36526</formula1>
      <formula2>0</formula2>
    </dataValidation>
    <dataValidation allowBlank="true" error="Please enter 0% to 10% · steps of 0.25%." errorStyle="stop" errorTitle="Outside the allowed range" operator="between" prompt="Everyone sees this differently. Ireland's prices are rising 3.9% now (CSO HICP flash, Sep 2026), mostly because of energy. Over decades, 2%–2.5% is the usual planning range (ECB target 2%). Enter 0% if you don't want t Allowed: 0% to 10% · steps of 0.25%." promptTitle="Inflation you expect (your choic" showDropDown="false" showErrorMessage="true" showInputMessage="true" sqref="C6" type="decimal">
      <formula1>0</formula1>
      <formula2>0.1</formula2>
    </dataValidation>
    <dataValidation allowBlank="true" error="Please enter 0% to 5%." errorStyle="stop" errorTitle="Outside the allowed range" operator="between" prompt="Unit: %. Allowed: 0% to 5%." promptTitle="Annual charges % (if shown)" showDropDown="false" showErrorMessage="true" showInputMessage="true" sqref="C11" type="decimal">
      <formula1>0</formula1>
      <formula2>0.05</formula2>
    </dataValidation>
    <dataValidation allowBlank="false" error="Please enter €15,000 to €2,500,000 · steps of €1,000." errorStyle="stop" errorTitle="Outside the allowed range" operator="between" prompt="Unit: €. Allowed: €15,000 to €2,500,000 · steps of €1,000." promptTitle="Salary" showDropDown="false" showErrorMessage="true" showInputMessage="true" sqref="C15" type="decimal">
      <formula1>15000</formula1>
      <formula2>2500000</formula2>
    </dataValidation>
    <dataValidation allowBlank="false" error="Please enter 0.5% to 10% · steps of 0.5%." errorStyle="stop" errorTitle="Outside the allowed range" operator="between" prompt="Unit: %. Allowed: 0.5% to 10% · steps of 0.5%." promptTitle="Increase contributions by (% of " showDropDown="false" showErrorMessage="true" showInputMessage="true" sqref="C16" type="decimal">
      <formula1>0.005</formula1>
      <formula2>0.1</formula2>
    </dataValidation>
    <dataValidation allowBlank="false" error="Please enter 1 to 45 · steps of 1." errorStyle="stop" errorTitle="Outside the allowed range" operator="between" prompt="Unit: years. Allowed: 1 to 45 · steps of 1." promptTitle="Years to retirement" showDropDown="false" showErrorMessage="true" showInputMessage="true" sqref="C17" type="whole">
      <formula1>1</formula1>
      <formula2>45</formula2>
    </dataValidation>
    <dataValidation allowBlank="false" error="Please enter 1% to 7% · steps of 0.5%." errorStyle="stop" errorTitle="Outside the allowed range" operator="between" prompt="Suggested · change if you like. Pension growth is tax-free inside the fund. Suggested 4.5% a year after charges while working (Cautious 4.0%).  Allowed: 1% to 7% · steps of 0.5%." promptTitle="Growth assumption a year" showDropDown="false" showErrorMessage="true" showInputMessage="true" sqref="C18" type="decimal">
      <formula1>0.01</formula1>
      <formula2>0.07</formula2>
    </dataValidation>
    <dataValidation allowBlank="false" error="Please enter 0% to 2.5% · steps of 0.05%." errorStyle="stop" errorTitle="Outside the allowed range" operator="between" prompt="Suggested · change if you like. Your pension statement shows your actual charges. We use them when you add it.  Allowed: 0% to 2.5% · steps of 0.05%." promptTitle="Typical pension charges (if your" showDropDown="false" showErrorMessage="true" showInputMessage="true" sqref="C19" type="decimal">
      <formula1>0</formula1>
      <formula2>0.025</formula2>
    </dataValidation>
    <dataValidation allowBlank="false" error="Please enter 20% or 40%." errorStyle="stop" errorTitle="Outside the allowed range" operator="between" prompt="Unit: 20% or 40%. Allowed: 20% or 40%." promptTitle="Your tax rate (0.2 = 20%, 0.4 = " showDropDown="false" showErrorMessage="true" showInputMessage="true" sqref="C20" type="list">
      <formula1>"0.2,0.4"</formula1>
      <formula2>0</formula2>
    </dataValidation>
    <dataValidation allowBlank="false" error="Please enter 18 to 75 · steps of 1." errorStyle="stop" errorTitle="Outside the allowed range" operator="between" prompt="Unit: age. Allowed: 18 to 75 · steps of 1." promptTitle="Your age (for the pension relief" showDropDown="false" showErrorMessage="true" showInputMessage="true" sqref="C21" type="whole">
      <formula1>18</formula1>
      <formula2>75</formula2>
    </dataValidation>
    <dataValidation allowBlank="false" error="Please enter €0 to €1,000,000 · steps of €100." errorStyle="stop" errorTitle="Outside the allowed range" operator="between" prompt="Unit: €. Allowed: €0 to €1,000,000 · steps of €100." promptTitle="What you pay in yourself now, a " showDropDown="false" showErrorMessage="true" showInputMessage="true" sqref="C22" type="decimal">
      <formula1>0</formula1>
      <formula2>1000000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G4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50"/>
    <col collapsed="false" customWidth="true" hidden="false" outlineLevel="0" max="3" min="3" style="0" width="26"/>
    <col collapsed="false" customWidth="true" hidden="false" outlineLevel="0" max="4" min="4" style="0" width="24"/>
    <col collapsed="false" customWidth="true" hidden="false" outlineLevel="0" max="5" min="5" style="0" width="78"/>
    <col collapsed="false" customWidth="true" hidden="false" outlineLevel="0" max="6" min="6" style="0" width="2"/>
    <col collapsed="false" customWidth="true" hidden="false" outlineLevel="0" max="7" min="7" style="0" width="44"/>
  </cols>
  <sheetData>
    <row r="1" customFormat="false" ht="19.7" hidden="false" customHeight="false" outlineLevel="0" collapsed="false">
      <c r="B1" s="16" t="s">
        <v>817</v>
      </c>
      <c r="G1" s="2" t="s">
        <v>677</v>
      </c>
    </row>
    <row r="2" customFormat="false" ht="15" hidden="false" customHeight="false" outlineLevel="0" collapsed="false">
      <c r="B2" s="17" t="s">
        <v>818</v>
      </c>
      <c r="G2" s="2" t="s">
        <v>819</v>
      </c>
    </row>
    <row r="3" customFormat="false" ht="15" hidden="false" customHeight="false" outlineLevel="0" collapsed="false">
      <c r="B3" s="18" t="s">
        <v>820</v>
      </c>
    </row>
    <row r="5" customFormat="false" ht="15" hidden="false" customHeight="false" outlineLevel="0" collapsed="false">
      <c r="B5" s="9" t="s">
        <v>537</v>
      </c>
      <c r="C5" s="19" t="s">
        <v>203</v>
      </c>
      <c r="D5" s="19" t="s">
        <v>204</v>
      </c>
      <c r="E5" s="19" t="s">
        <v>205</v>
      </c>
    </row>
    <row r="6" customFormat="false" ht="15" hidden="false" customHeight="false" outlineLevel="0" collapsed="false">
      <c r="B6" s="20" t="s">
        <v>538</v>
      </c>
      <c r="C6" s="25"/>
      <c r="D6" s="22" t="s">
        <v>222</v>
      </c>
      <c r="E6" s="2" t="s">
        <v>539</v>
      </c>
      <c r="G6" s="23" t="s">
        <v>540</v>
      </c>
    </row>
    <row r="7" customFormat="false" ht="27.75" hidden="false" customHeight="true" outlineLevel="0" collapsed="false">
      <c r="B7" s="39" t="s">
        <v>541</v>
      </c>
      <c r="C7" s="39"/>
      <c r="D7" s="39"/>
      <c r="E7" s="39"/>
    </row>
    <row r="9" customFormat="false" ht="15" hidden="false" customHeight="false" outlineLevel="0" collapsed="false">
      <c r="B9" s="9" t="s">
        <v>293</v>
      </c>
      <c r="C9" s="10"/>
      <c r="D9" s="10"/>
      <c r="E9" s="10"/>
    </row>
    <row r="10" customFormat="false" ht="27.75" hidden="false" customHeight="true" outlineLevel="0" collapsed="false">
      <c r="B10" s="39" t="s">
        <v>821</v>
      </c>
      <c r="C10" s="39"/>
      <c r="D10" s="39"/>
      <c r="E10" s="39"/>
    </row>
    <row r="11" customFormat="false" ht="15" hidden="false" customHeight="false" outlineLevel="0" collapsed="false">
      <c r="B11" s="20" t="s">
        <v>608</v>
      </c>
      <c r="C11" s="41"/>
      <c r="D11" s="22" t="s">
        <v>222</v>
      </c>
      <c r="E11" s="2" t="s">
        <v>609</v>
      </c>
      <c r="G11" s="23" t="s">
        <v>297</v>
      </c>
    </row>
    <row r="12" customFormat="false" ht="15" hidden="false" customHeight="false" outlineLevel="0" collapsed="false">
      <c r="B12" s="20" t="s">
        <v>304</v>
      </c>
      <c r="C12" s="43"/>
      <c r="D12" s="22" t="s">
        <v>305</v>
      </c>
      <c r="E12" s="2" t="s">
        <v>306</v>
      </c>
      <c r="G12" s="23" t="s">
        <v>297</v>
      </c>
    </row>
    <row r="14" customFormat="false" ht="15" hidden="false" customHeight="false" outlineLevel="0" collapsed="false">
      <c r="B14" s="9" t="s">
        <v>307</v>
      </c>
      <c r="C14" s="19" t="s">
        <v>203</v>
      </c>
      <c r="D14" s="19" t="s">
        <v>204</v>
      </c>
      <c r="E14" s="19" t="s">
        <v>205</v>
      </c>
    </row>
    <row r="15" customFormat="false" ht="15" hidden="false" customHeight="false" outlineLevel="0" collapsed="false">
      <c r="B15" s="20" t="s">
        <v>822</v>
      </c>
      <c r="C15" s="21" t="n">
        <v>200</v>
      </c>
      <c r="D15" s="22" t="s">
        <v>207</v>
      </c>
      <c r="E15" s="2" t="s">
        <v>823</v>
      </c>
      <c r="G15" s="23" t="s">
        <v>407</v>
      </c>
    </row>
    <row r="16" customFormat="false" ht="15" hidden="false" customHeight="false" outlineLevel="0" collapsed="false">
      <c r="B16" s="20" t="s">
        <v>824</v>
      </c>
      <c r="C16" s="21" t="n">
        <v>60000</v>
      </c>
      <c r="D16" s="22" t="s">
        <v>207</v>
      </c>
      <c r="E16" s="2" t="s">
        <v>208</v>
      </c>
      <c r="G16" s="23" t="s">
        <v>209</v>
      </c>
    </row>
    <row r="17" customFormat="false" ht="15" hidden="false" customHeight="false" outlineLevel="0" collapsed="false">
      <c r="B17" s="20" t="s">
        <v>754</v>
      </c>
      <c r="C17" s="27" t="n">
        <v>15</v>
      </c>
      <c r="D17" s="22" t="s">
        <v>226</v>
      </c>
      <c r="E17" s="2" t="s">
        <v>582</v>
      </c>
      <c r="G17" s="23" t="s">
        <v>825</v>
      </c>
    </row>
    <row r="18" customFormat="false" ht="15" hidden="false" customHeight="false" outlineLevel="0" collapsed="false">
      <c r="B18" s="20" t="s">
        <v>784</v>
      </c>
      <c r="C18" s="25" t="n">
        <v>0.045</v>
      </c>
      <c r="D18" s="22" t="s">
        <v>222</v>
      </c>
      <c r="E18" s="26" t="s">
        <v>785</v>
      </c>
      <c r="G18" s="23" t="s">
        <v>786</v>
      </c>
    </row>
    <row r="19" customFormat="false" ht="15" hidden="false" customHeight="false" outlineLevel="0" collapsed="false">
      <c r="B19" s="20" t="s">
        <v>718</v>
      </c>
      <c r="C19" s="25" t="n">
        <v>0.01</v>
      </c>
      <c r="D19" s="22" t="s">
        <v>222</v>
      </c>
      <c r="E19" s="26" t="s">
        <v>719</v>
      </c>
      <c r="G19" s="23" t="s">
        <v>505</v>
      </c>
    </row>
    <row r="20" customFormat="false" ht="15" hidden="false" customHeight="false" outlineLevel="0" collapsed="false">
      <c r="B20" s="20" t="s">
        <v>787</v>
      </c>
      <c r="C20" s="60" t="n">
        <f aca="false">TE_Marginal_Rate</f>
        <v>0.4</v>
      </c>
      <c r="D20" s="22" t="s">
        <v>788</v>
      </c>
      <c r="E20" s="2" t="s">
        <v>789</v>
      </c>
      <c r="G20" s="23" t="s">
        <v>790</v>
      </c>
    </row>
    <row r="21" customFormat="false" ht="15" hidden="false" customHeight="false" outlineLevel="0" collapsed="false">
      <c r="B21" s="20" t="s">
        <v>791</v>
      </c>
      <c r="C21" s="27" t="n">
        <v>40</v>
      </c>
      <c r="D21" s="22" t="s">
        <v>687</v>
      </c>
      <c r="E21" s="2" t="s">
        <v>792</v>
      </c>
      <c r="G21" s="23" t="s">
        <v>693</v>
      </c>
    </row>
    <row r="22" customFormat="false" ht="15" hidden="false" customHeight="false" outlineLevel="0" collapsed="false">
      <c r="B22" s="20" t="s">
        <v>793</v>
      </c>
      <c r="C22" s="21" t="n">
        <v>0</v>
      </c>
      <c r="D22" s="22" t="s">
        <v>207</v>
      </c>
      <c r="E22" s="2" t="s">
        <v>794</v>
      </c>
      <c r="G22" s="23" t="s">
        <v>795</v>
      </c>
    </row>
    <row r="24" customFormat="false" ht="15" hidden="false" customHeight="false" outlineLevel="0" collapsed="false">
      <c r="B24" s="9" t="s">
        <v>321</v>
      </c>
      <c r="C24" s="10"/>
      <c r="D24" s="10"/>
      <c r="E24" s="10"/>
    </row>
    <row r="25" customFormat="false" ht="15" hidden="false" customHeight="false" outlineLevel="0" collapsed="false">
      <c r="B25" s="20" t="s">
        <v>796</v>
      </c>
      <c r="C25" s="46" t="n">
        <f aca="false">IF(ISBLANK(Stmt_Charges),Growth_Rate,Growth_Rate+Typical_Pension_Charges-Stmt_Charges)</f>
        <v>0.045</v>
      </c>
      <c r="D25" s="45" t="str">
        <f aca="false">IF(ISBLANK(Stmt_Charges),"Your figure","Adjusted for your statement's charges")</f>
        <v>Your figure</v>
      </c>
      <c r="E25" s="36" t="s">
        <v>732</v>
      </c>
    </row>
    <row r="26" customFormat="false" ht="22.35" hidden="false" customHeight="false" outlineLevel="0" collapsed="false">
      <c r="B26" s="20" t="s">
        <v>327</v>
      </c>
      <c r="C26" s="32" t="str">
        <f aca="true">IF(ISBLANK(Stmt_Statement_Date),"",IF(TODAY()-Stmt_Statement_Date&gt;Statement_Max_Age_Days,"Needs a look: statement is more than 12 months old","Up to date"))</f>
        <v/>
      </c>
      <c r="D26" s="22"/>
      <c r="E26" s="29" t="s">
        <v>328</v>
      </c>
    </row>
    <row r="28" customFormat="false" ht="15" hidden="false" customHeight="false" outlineLevel="0" collapsed="false">
      <c r="B28" s="9" t="s">
        <v>238</v>
      </c>
      <c r="C28" s="19" t="s">
        <v>239</v>
      </c>
      <c r="D28" s="19" t="s">
        <v>240</v>
      </c>
      <c r="E28" s="19" t="s">
        <v>241</v>
      </c>
    </row>
    <row r="29" customFormat="false" ht="17.35" hidden="false" customHeight="false" outlineLevel="0" collapsed="false">
      <c r="B29" s="17" t="s">
        <v>826</v>
      </c>
      <c r="C29" s="28" t="n">
        <f aca="false">FV((1+Used_Growth_Rate)^(1/12)-1,Years*12,-AVC_Per_Month)</f>
        <v>50902.3647855043</v>
      </c>
      <c r="D29" s="22" t="s">
        <v>207</v>
      </c>
      <c r="E29" s="29" t="s">
        <v>827</v>
      </c>
    </row>
    <row r="30" customFormat="false" ht="17.35" hidden="false" customHeight="false" outlineLevel="0" collapsed="false">
      <c r="B30" s="17" t="s">
        <v>586</v>
      </c>
      <c r="C30" s="28" t="str">
        <f aca="false">IF(ISBLANK(Inflation_Choice),"Enter your inflation rate",Grows_To/(1+Inflation_Choice)^Years)</f>
        <v>Enter your inflation rate</v>
      </c>
      <c r="D30" s="22" t="s">
        <v>207</v>
      </c>
      <c r="E30" s="29" t="s">
        <v>587</v>
      </c>
    </row>
    <row r="31" customFormat="false" ht="15" hidden="false" customHeight="false" outlineLevel="0" collapsed="false">
      <c r="B31" s="20" t="s">
        <v>588</v>
      </c>
      <c r="C31" s="30" t="n">
        <f aca="false">AVC_Per_Month*12*Years</f>
        <v>36000</v>
      </c>
      <c r="D31" s="22" t="s">
        <v>207</v>
      </c>
      <c r="E31" s="29" t="s">
        <v>828</v>
      </c>
    </row>
    <row r="32" customFormat="false" ht="15" hidden="false" customHeight="false" outlineLevel="0" collapsed="false">
      <c r="B32" s="20" t="s">
        <v>829</v>
      </c>
      <c r="C32" s="30" t="n">
        <f aca="false">Net_Cost_Per_Month*12*Years</f>
        <v>21600</v>
      </c>
      <c r="D32" s="22" t="s">
        <v>207</v>
      </c>
      <c r="E32" s="29" t="s">
        <v>830</v>
      </c>
    </row>
    <row r="33" customFormat="false" ht="15" hidden="false" customHeight="false" outlineLevel="0" collapsed="false">
      <c r="B33" s="20" t="s">
        <v>831</v>
      </c>
      <c r="C33" s="30" t="n">
        <f aca="false">AVC_Per_Month-Relief_Per_Month</f>
        <v>120</v>
      </c>
      <c r="D33" s="22" t="s">
        <v>207</v>
      </c>
      <c r="E33" s="29" t="s">
        <v>832</v>
      </c>
    </row>
    <row r="34" customFormat="false" ht="15" hidden="false" customHeight="false" outlineLevel="0" collapsed="false">
      <c r="B34" s="20" t="s">
        <v>803</v>
      </c>
      <c r="C34" s="30" t="n">
        <f aca="false">LOOKUP(Age,Relief_Age_From,Relief_Age_Pct)*MIN(Salary,Relief_Earnings_Cap)</f>
        <v>15000</v>
      </c>
      <c r="D34" s="22" t="s">
        <v>207</v>
      </c>
      <c r="E34" s="29" t="s">
        <v>804</v>
      </c>
    </row>
    <row r="35" customFormat="false" ht="15" hidden="false" customHeight="false" outlineLevel="0" collapsed="false">
      <c r="B35" s="20" t="s">
        <v>833</v>
      </c>
      <c r="C35" s="30" t="n">
        <f aca="false">MIN(AVC_Per_Month*12,MAX(0,Relief_Limit_Year-Existing_Pension_Year))</f>
        <v>2400</v>
      </c>
      <c r="D35" s="22" t="s">
        <v>207</v>
      </c>
      <c r="E35" s="29" t="s">
        <v>834</v>
      </c>
    </row>
    <row r="36" customFormat="false" ht="15" hidden="false" customHeight="false" outlineLevel="0" collapsed="false">
      <c r="B36" s="20" t="s">
        <v>807</v>
      </c>
      <c r="C36" s="30" t="n">
        <f aca="false">Relieved_Year*Tax_Rate/12</f>
        <v>80</v>
      </c>
      <c r="D36" s="22" t="s">
        <v>207</v>
      </c>
      <c r="E36" s="29" t="s">
        <v>808</v>
      </c>
    </row>
    <row r="38" customFormat="false" ht="15" hidden="false" customHeight="false" outlineLevel="0" collapsed="false">
      <c r="B38" s="9" t="s">
        <v>271</v>
      </c>
      <c r="C38" s="10"/>
      <c r="D38" s="10"/>
      <c r="E38" s="10"/>
    </row>
    <row r="39" customFormat="false" ht="27.75" hidden="false" customHeight="true" outlineLevel="0" collapsed="false">
      <c r="B39" s="33" t="s">
        <v>835</v>
      </c>
      <c r="C39" s="33"/>
      <c r="D39" s="33"/>
      <c r="E39" s="33"/>
    </row>
    <row r="40" customFormat="false" ht="13.5" hidden="false" customHeight="true" outlineLevel="0" collapsed="false">
      <c r="B40" s="34" t="s">
        <v>275</v>
      </c>
      <c r="C40" s="34"/>
      <c r="D40" s="34"/>
      <c r="E40" s="34"/>
    </row>
    <row r="41" customFormat="false" ht="13.5" hidden="false" customHeight="true" outlineLevel="0" collapsed="false">
      <c r="B41" s="33" t="s">
        <v>811</v>
      </c>
      <c r="C41" s="33"/>
      <c r="D41" s="33"/>
      <c r="E41" s="33"/>
    </row>
    <row r="42" customFormat="false" ht="13.5" hidden="false" customHeight="true" outlineLevel="0" collapsed="false">
      <c r="B42" s="33" t="s">
        <v>836</v>
      </c>
      <c r="C42" s="33"/>
      <c r="D42" s="33"/>
      <c r="E42" s="33"/>
    </row>
    <row r="44" customFormat="false" ht="15" hidden="false" customHeight="false" outlineLevel="0" collapsed="false">
      <c r="B44" s="9" t="s">
        <v>280</v>
      </c>
      <c r="C44" s="10"/>
      <c r="D44" s="10"/>
      <c r="E44" s="10"/>
    </row>
    <row r="45" customFormat="false" ht="15" hidden="false" customHeight="false" outlineLevel="0" collapsed="false">
      <c r="B45" s="20" t="s">
        <v>281</v>
      </c>
      <c r="C45" s="35" t="str">
        <f aca="false">"No goal: raise the plan's pension contribution instead"</f>
        <v>No goal: raise the plan's pension contribution instead</v>
      </c>
      <c r="E45" s="36" t="s">
        <v>813</v>
      </c>
    </row>
    <row r="46" customFormat="false" ht="15" hidden="false" customHeight="false" outlineLevel="0" collapsed="false">
      <c r="B46" s="20" t="s">
        <v>814</v>
      </c>
      <c r="C46" s="37" t="n">
        <f aca="false">AVC_Per_Month</f>
        <v>200</v>
      </c>
      <c r="E46" s="36" t="s">
        <v>837</v>
      </c>
    </row>
  </sheetData>
  <mergeCells count="6">
    <mergeCell ref="B7:E7"/>
    <mergeCell ref="B10:E10"/>
    <mergeCell ref="B39:E39"/>
    <mergeCell ref="B40:E40"/>
    <mergeCell ref="B41:E41"/>
    <mergeCell ref="B42:E42"/>
  </mergeCells>
  <dataValidations count="11">
    <dataValidation allowBlank="true" error="Please enter a date (dd/mm/yyyy)." errorStyle="stop" errorTitle="Outside the allowed range" operator="greaterThan" prompt="Unit: date. Allowed: a date (dd/mm/yyyy)." promptTitle="Statement date" showDropDown="false" showErrorMessage="true" showInputMessage="true" sqref="C12" type="date">
      <formula1>36526</formula1>
      <formula2>0</formula2>
    </dataValidation>
    <dataValidation allowBlank="true" error="Please enter 0% to 10% · steps of 0.25%." errorStyle="stop" errorTitle="Outside the allowed range" operator="between" prompt="Everyone sees this differently. Ireland's prices are rising 3.9% now (CSO HICP flash, Sep 2026), mostly because of energy. Over decades, 2%–2.5% is the usual planning range (ECB target 2%). Enter 0% if you don't want t Allowed: 0% to 10% · steps of 0.25%." promptTitle="Inflation you expect (your choic" showDropDown="false" showErrorMessage="true" showInputMessage="true" sqref="C6" type="decimal">
      <formula1>0</formula1>
      <formula2>0.1</formula2>
    </dataValidation>
    <dataValidation allowBlank="true" error="Please enter 0% to 5%." errorStyle="stop" errorTitle="Outside the allowed range" operator="between" prompt="Unit: %. Allowed: 0% to 5%." promptTitle="Annual charges % (if shown)" showDropDown="false" showErrorMessage="true" showInputMessage="true" sqref="C11" type="decimal">
      <formula1>0</formula1>
      <formula2>0.05</formula2>
    </dataValidation>
    <dataValidation allowBlank="false" error="Please enter 1% to 7% · steps of 0.5%." errorStyle="stop" errorTitle="Outside the allowed range" operator="between" prompt="Suggested · change if you like. Pension growth is tax-free inside the fund. Suggested 4.5% a year after charges while working (Cautious 4.0%).  Allowed: 1% to 7% · steps of 0.5%." promptTitle="Growth assumption a year" showDropDown="false" showErrorMessage="true" showInputMessage="true" sqref="C18" type="decimal">
      <formula1>0.01</formula1>
      <formula2>0.07</formula2>
    </dataValidation>
    <dataValidation allowBlank="false" error="Please enter 0% to 2.5% · steps of 0.05%." errorStyle="stop" errorTitle="Outside the allowed range" operator="between" prompt="Suggested · change if you like. Your pension statement shows your actual charges. We use them when you add it.  Allowed: 0% to 2.5% · steps of 0.05%." promptTitle="Typical pension charges (if your" showDropDown="false" showErrorMessage="true" showInputMessage="true" sqref="C19" type="decimal">
      <formula1>0</formula1>
      <formula2>0.025</formula2>
    </dataValidation>
    <dataValidation allowBlank="false" error="Please enter 18 to 75 · steps of 1." errorStyle="stop" errorTitle="Outside the allowed range" operator="between" prompt="Unit: age. Allowed: 18 to 75 · steps of 1." promptTitle="Your age (for the pension relief" showDropDown="false" showErrorMessage="true" showInputMessage="true" sqref="C21" type="whole">
      <formula1>18</formula1>
      <formula2>75</formula2>
    </dataValidation>
    <dataValidation allowBlank="false" error="Please enter €0 to €1,000,000 · steps of €100." errorStyle="stop" errorTitle="Outside the allowed range" operator="between" prompt="Unit: €. Allowed: €0 to €1,000,000 · steps of €100." promptTitle="What you pay in yourself now, a " showDropDown="false" showErrorMessage="true" showInputMessage="true" sqref="C22" type="decimal">
      <formula1>0</formula1>
      <formula2>1000000</formula2>
    </dataValidation>
    <dataValidation allowBlank="false" error="Please enter €25 to €20,000 · steps of €25." errorStyle="stop" errorTitle="Outside the allowed range" operator="between" prompt="Unit: €. Allowed: €25 to €20,000 · steps of €25." promptTitle="AVC per month" showDropDown="false" showErrorMessage="true" showInputMessage="true" sqref="C15" type="decimal">
      <formula1>25</formula1>
      <formula2>20000</formula2>
    </dataValidation>
    <dataValidation allowBlank="false" error="Please enter €15,000 to €2,500,000 · steps of €1,000." errorStyle="stop" errorTitle="Outside the allowed range" operator="between" prompt="Unit: €. Allowed: €15,000 to €2,500,000 · steps of €1,000." promptTitle="Salary (for the relief limit)" showDropDown="false" showErrorMessage="true" showInputMessage="true" sqref="C16" type="decimal">
      <formula1>15000</formula1>
      <formula2>2500000</formula2>
    </dataValidation>
    <dataValidation allowBlank="false" error="Please enter 1 to 40 · steps of 1." errorStyle="stop" errorTitle="Outside the allowed range" operator="between" prompt="Unit: years. Allowed: 1 to 40 · steps of 1." promptTitle="Years to retirement" showDropDown="false" showErrorMessage="true" showInputMessage="true" sqref="C17" type="whole">
      <formula1>1</formula1>
      <formula2>40</formula2>
    </dataValidation>
    <dataValidation allowBlank="false" error="Please enter 20% or 40%." errorStyle="stop" errorTitle="Outside the allowed range" operator="between" prompt="Unit: 20% or 40%. Allowed: 20% or 40%." promptTitle="Your tax rate (0.2 = 20%, 0.4 = " showDropDown="false" showErrorMessage="true" showInputMessage="true" sqref="C20" type="list">
      <formula1>"0.2,0.4"</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G10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50"/>
    <col collapsed="false" customWidth="true" hidden="false" outlineLevel="0" max="3" min="3" style="0" width="26"/>
    <col collapsed="false" customWidth="true" hidden="false" outlineLevel="0" max="4" min="4" style="0" width="24"/>
    <col collapsed="false" customWidth="true" hidden="false" outlineLevel="0" max="5" min="5" style="0" width="78"/>
    <col collapsed="false" customWidth="true" hidden="false" outlineLevel="0" max="6" min="6" style="0" width="2"/>
    <col collapsed="false" customWidth="true" hidden="false" outlineLevel="0" max="7" min="7" style="0" width="44"/>
  </cols>
  <sheetData>
    <row r="1" customFormat="false" ht="19.7" hidden="false" customHeight="false" outlineLevel="0" collapsed="false">
      <c r="B1" s="16" t="s">
        <v>838</v>
      </c>
      <c r="G1" s="2" t="s">
        <v>677</v>
      </c>
    </row>
    <row r="2" customFormat="false" ht="15" hidden="false" customHeight="false" outlineLevel="0" collapsed="false">
      <c r="B2" s="17" t="s">
        <v>839</v>
      </c>
      <c r="G2" s="2" t="s">
        <v>840</v>
      </c>
    </row>
    <row r="3" customFormat="false" ht="15" hidden="false" customHeight="false" outlineLevel="0" collapsed="false">
      <c r="B3" s="18" t="s">
        <v>841</v>
      </c>
    </row>
    <row r="5" customFormat="false" ht="15" hidden="false" customHeight="false" outlineLevel="0" collapsed="false">
      <c r="B5" s="9" t="s">
        <v>537</v>
      </c>
      <c r="C5" s="19" t="s">
        <v>203</v>
      </c>
      <c r="D5" s="19" t="s">
        <v>204</v>
      </c>
      <c r="E5" s="19" t="s">
        <v>205</v>
      </c>
    </row>
    <row r="6" customFormat="false" ht="15" hidden="false" customHeight="false" outlineLevel="0" collapsed="false">
      <c r="B6" s="20" t="s">
        <v>538</v>
      </c>
      <c r="C6" s="25"/>
      <c r="D6" s="22" t="s">
        <v>222</v>
      </c>
      <c r="E6" s="2" t="s">
        <v>539</v>
      </c>
      <c r="G6" s="23" t="s">
        <v>540</v>
      </c>
    </row>
    <row r="7" customFormat="false" ht="27.75" hidden="false" customHeight="true" outlineLevel="0" collapsed="false">
      <c r="B7" s="39" t="s">
        <v>541</v>
      </c>
      <c r="C7" s="39"/>
      <c r="D7" s="39"/>
      <c r="E7" s="39"/>
    </row>
    <row r="9" customFormat="false" ht="15" hidden="false" customHeight="false" outlineLevel="0" collapsed="false">
      <c r="B9" s="9" t="s">
        <v>293</v>
      </c>
      <c r="C9" s="10"/>
      <c r="D9" s="10"/>
      <c r="E9" s="10"/>
    </row>
    <row r="10" customFormat="false" ht="27.75" hidden="false" customHeight="true" outlineLevel="0" collapsed="false">
      <c r="B10" s="39" t="s">
        <v>842</v>
      </c>
      <c r="C10" s="39"/>
      <c r="D10" s="39"/>
      <c r="E10" s="39"/>
    </row>
    <row r="11" customFormat="false" ht="15" hidden="false" customHeight="false" outlineLevel="0" collapsed="false">
      <c r="B11" s="20" t="s">
        <v>689</v>
      </c>
      <c r="C11" s="40"/>
      <c r="D11" s="22" t="s">
        <v>207</v>
      </c>
      <c r="E11" s="2" t="s">
        <v>607</v>
      </c>
      <c r="G11" s="23" t="s">
        <v>297</v>
      </c>
    </row>
    <row r="12" customFormat="false" ht="15" hidden="false" customHeight="false" outlineLevel="0" collapsed="false">
      <c r="B12" s="20" t="s">
        <v>682</v>
      </c>
      <c r="C12" s="40"/>
      <c r="D12" s="22" t="s">
        <v>207</v>
      </c>
      <c r="E12" s="2" t="s">
        <v>683</v>
      </c>
      <c r="G12" s="23" t="s">
        <v>297</v>
      </c>
    </row>
    <row r="13" customFormat="false" ht="15" hidden="false" customHeight="false" outlineLevel="0" collapsed="false">
      <c r="B13" s="20" t="s">
        <v>304</v>
      </c>
      <c r="C13" s="43"/>
      <c r="D13" s="22" t="s">
        <v>305</v>
      </c>
      <c r="E13" s="2" t="s">
        <v>306</v>
      </c>
      <c r="G13" s="23" t="s">
        <v>297</v>
      </c>
    </row>
    <row r="15" customFormat="false" ht="15" hidden="false" customHeight="false" outlineLevel="0" collapsed="false">
      <c r="B15" s="9" t="s">
        <v>307</v>
      </c>
      <c r="C15" s="19" t="s">
        <v>203</v>
      </c>
      <c r="D15" s="19" t="s">
        <v>204</v>
      </c>
      <c r="E15" s="19" t="s">
        <v>205</v>
      </c>
    </row>
    <row r="16" customFormat="false" ht="15" hidden="false" customHeight="false" outlineLevel="0" collapsed="false">
      <c r="B16" s="20" t="s">
        <v>843</v>
      </c>
      <c r="C16" s="21" t="n">
        <v>400000</v>
      </c>
      <c r="D16" s="22" t="s">
        <v>207</v>
      </c>
      <c r="E16" s="2" t="s">
        <v>844</v>
      </c>
      <c r="G16" s="23" t="s">
        <v>845</v>
      </c>
    </row>
    <row r="17" customFormat="false" ht="15" hidden="false" customHeight="false" outlineLevel="0" collapsed="false">
      <c r="B17" s="20" t="s">
        <v>846</v>
      </c>
      <c r="C17" s="21" t="n">
        <v>24000</v>
      </c>
      <c r="D17" s="22" t="s">
        <v>207</v>
      </c>
      <c r="E17" s="2" t="s">
        <v>847</v>
      </c>
      <c r="G17" s="23" t="s">
        <v>848</v>
      </c>
    </row>
    <row r="18" customFormat="false" ht="15" hidden="false" customHeight="false" outlineLevel="0" collapsed="false">
      <c r="B18" s="20" t="s">
        <v>849</v>
      </c>
      <c r="C18" s="25" t="n">
        <v>0.0315</v>
      </c>
      <c r="D18" s="22" t="s">
        <v>222</v>
      </c>
      <c r="E18" s="26" t="s">
        <v>850</v>
      </c>
      <c r="G18" s="23" t="s">
        <v>851</v>
      </c>
    </row>
    <row r="19" customFormat="false" ht="15" hidden="false" customHeight="false" outlineLevel="0" collapsed="false">
      <c r="B19" s="20" t="s">
        <v>852</v>
      </c>
      <c r="C19" s="24" t="s">
        <v>853</v>
      </c>
      <c r="D19" s="22"/>
      <c r="E19" s="26" t="s">
        <v>854</v>
      </c>
      <c r="G19" s="23" t="s">
        <v>855</v>
      </c>
    </row>
    <row r="20" customFormat="false" ht="15" hidden="false" customHeight="false" outlineLevel="0" collapsed="false">
      <c r="B20" s="20" t="s">
        <v>856</v>
      </c>
      <c r="C20" s="27" t="n">
        <v>66</v>
      </c>
      <c r="D20" s="22" t="s">
        <v>687</v>
      </c>
      <c r="E20" s="2" t="s">
        <v>857</v>
      </c>
      <c r="G20" s="23" t="s">
        <v>858</v>
      </c>
    </row>
    <row r="21" customFormat="false" ht="15" hidden="false" customHeight="false" outlineLevel="0" collapsed="false">
      <c r="B21" s="20" t="s">
        <v>859</v>
      </c>
      <c r="C21" s="27" t="n">
        <v>90</v>
      </c>
      <c r="D21" s="22" t="s">
        <v>687</v>
      </c>
      <c r="E21" s="26" t="s">
        <v>860</v>
      </c>
      <c r="G21" s="23" t="s">
        <v>861</v>
      </c>
    </row>
    <row r="23" customFormat="false" ht="15" hidden="false" customHeight="false" outlineLevel="0" collapsed="false">
      <c r="B23" s="9" t="s">
        <v>321</v>
      </c>
      <c r="C23" s="10"/>
      <c r="D23" s="10"/>
      <c r="E23" s="10"/>
    </row>
    <row r="24" customFormat="false" ht="15" hidden="false" customHeight="false" outlineLevel="0" collapsed="false">
      <c r="B24" s="20" t="s">
        <v>843</v>
      </c>
      <c r="C24" s="44" t="n">
        <f aca="false">IF(NOT(ISBLANK(Stmt_Projected_Fund)),Stmt_Projected_Fund,IF(NOT(ISBLANK(Stmt_Fund_Value)),Stmt_Fund_Value,Retirement_Savings))</f>
        <v>400000</v>
      </c>
      <c r="D24" s="45" t="str">
        <f aca="false">IF(NOT(ISBLANK(Stmt_Projected_Fund)),"From your statement (projected fund)",IF(NOT(ISBLANK(Stmt_Fund_Value)),"From your statement (fund value today)","Your figure"))</f>
        <v>Your figure</v>
      </c>
      <c r="E24" s="36" t="s">
        <v>862</v>
      </c>
    </row>
    <row r="25" customFormat="false" ht="22.35" hidden="false" customHeight="false" outlineLevel="0" collapsed="false">
      <c r="B25" s="20" t="s">
        <v>327</v>
      </c>
      <c r="C25" s="32" t="str">
        <f aca="true">IF(ISBLANK(Stmt_Statement_Date),"",IF(TODAY()-Stmt_Statement_Date&gt;Statement_Max_Age_Days,"Needs a look: statement is more than 12 months old","Up to date"))</f>
        <v/>
      </c>
      <c r="D25" s="22"/>
      <c r="E25" s="29" t="s">
        <v>328</v>
      </c>
    </row>
    <row r="27" customFormat="false" ht="15" hidden="false" customHeight="false" outlineLevel="0" collapsed="false">
      <c r="B27" s="9" t="s">
        <v>238</v>
      </c>
      <c r="C27" s="19" t="s">
        <v>239</v>
      </c>
      <c r="D27" s="19" t="s">
        <v>240</v>
      </c>
      <c r="E27" s="19" t="s">
        <v>241</v>
      </c>
    </row>
    <row r="28" customFormat="false" ht="17.35" hidden="false" customHeight="false" outlineLevel="0" collapsed="false">
      <c r="B28" s="17" t="s">
        <v>863</v>
      </c>
      <c r="C28" s="48" t="str">
        <f aca="false">IF(ISBLANK(Inflation_Choice),"Enter your inflation rate",SUM(W_paid))</f>
        <v>Enter your inflation rate</v>
      </c>
      <c r="D28" s="49" t="str">
        <f aca="false">IF(ISNUMBER(Years_Lasting),IF(Years_Lasting&gt;=Cap_Years,Cap_Years&amp;"+ years",Years_Lasting&amp;IF(Years_Lasting=1," year"," years")),"Enter your inflation rate")</f>
        <v>Enter your inflation rate</v>
      </c>
      <c r="E28" s="29" t="s">
        <v>864</v>
      </c>
    </row>
    <row r="29" customFormat="false" ht="17.35" hidden="false" customHeight="false" outlineLevel="0" collapsed="false">
      <c r="B29" s="17" t="s">
        <v>865</v>
      </c>
      <c r="C29" s="48" t="str">
        <f aca="false">IF(ISNUMBER(Years_Lasting),Age_At_Start+Years_Lasting,"Enter your inflation rate")</f>
        <v>Enter your inflation rate</v>
      </c>
      <c r="D29" s="49" t="str">
        <f aca="false">IF(ISNUMBER(Years_Lasting),IF(Years_Lasting&gt;=Cap_Years,"Beyond age "&amp;(Age_At_Start+Cap_Years),IF(Age_At_Start+Years_Lasting&gt;=Plan_To_Age,"Lasts to your plan age ("&amp;Plan_To_Age&amp;")","Runs out "&amp;(Plan_To_Age-Age_At_Start-Years_Lasting)&amp;" years before your plan age")),"Enter your inflation rate")</f>
        <v>Enter your inflation rate</v>
      </c>
      <c r="E29" s="29" t="s">
        <v>866</v>
      </c>
    </row>
    <row r="30" customFormat="false" ht="15" hidden="false" customHeight="false" outlineLevel="0" collapsed="false">
      <c r="B30" s="20" t="s">
        <v>867</v>
      </c>
      <c r="C30" s="61" t="n">
        <f aca="false">Yearly_Withdrawal/Used_Retirement_Savings</f>
        <v>0.06</v>
      </c>
      <c r="D30" s="22" t="s">
        <v>222</v>
      </c>
      <c r="E30" s="29" t="s">
        <v>868</v>
      </c>
    </row>
    <row r="31" customFormat="false" ht="15" hidden="false" customHeight="false" outlineLevel="0" collapsed="false">
      <c r="B31" s="9" t="s">
        <v>869</v>
      </c>
      <c r="C31" s="10"/>
      <c r="D31" s="10"/>
      <c r="E31" s="10"/>
    </row>
    <row r="32" customFormat="false" ht="27.75" hidden="false" customHeight="true" outlineLevel="0" collapsed="false">
      <c r="B32" s="62" t="s">
        <v>870</v>
      </c>
      <c r="C32" s="62" t="s">
        <v>871</v>
      </c>
      <c r="D32" s="62" t="s">
        <v>872</v>
      </c>
      <c r="E32" s="62" t="s">
        <v>873</v>
      </c>
      <c r="F32" s="62" t="s">
        <v>874</v>
      </c>
    </row>
    <row r="33" customFormat="false" ht="15" hidden="false" customHeight="false" outlineLevel="0" collapsed="false">
      <c r="B33" s="63" t="n">
        <v>1</v>
      </c>
      <c r="C33" s="64" t="n">
        <f aca="false">Yearly_Withdrawal</f>
        <v>24000</v>
      </c>
      <c r="D33" s="64" t="n">
        <f aca="false">Used_Retirement_Savings</f>
        <v>400000</v>
      </c>
      <c r="E33" s="63" t="n">
        <f aca="false">IF(Withdrawal_Timing="Start of year",IF(D33&gt;=C33,1,0),IF(D33*(1+Growth_Rate)&gt;=C33,1,0))</f>
        <v>1</v>
      </c>
      <c r="F33" s="64" t="n">
        <f aca="false">IF(E33=1,IF(Withdrawal_Timing="Start of year",(D33-C33)*(1+Growth_Rate),D33*(1+Growth_Rate)-C33),0)</f>
        <v>387844</v>
      </c>
    </row>
    <row r="34" customFormat="false" ht="15" hidden="false" customHeight="false" outlineLevel="0" collapsed="false">
      <c r="B34" s="63" t="n">
        <v>2</v>
      </c>
      <c r="C34" s="64" t="n">
        <f aca="false">C33*(1+Inflation_Choice)</f>
        <v>24000</v>
      </c>
      <c r="D34" s="64" t="n">
        <f aca="false">F33</f>
        <v>387844</v>
      </c>
      <c r="E34" s="63" t="n">
        <f aca="false">IF(Withdrawal_Timing="Start of year",IF(D34&gt;=C34,1,0),IF(D34*(1+Growth_Rate)&gt;=C34,1,0))</f>
        <v>1</v>
      </c>
      <c r="F34" s="64" t="n">
        <f aca="false">IF(E34=1,IF(Withdrawal_Timing="Start of year",(D34-C34)*(1+Growth_Rate),D34*(1+Growth_Rate)-C34),0)</f>
        <v>375305.086</v>
      </c>
    </row>
    <row r="35" customFormat="false" ht="15" hidden="false" customHeight="false" outlineLevel="0" collapsed="false">
      <c r="B35" s="63" t="n">
        <v>3</v>
      </c>
      <c r="C35" s="64" t="n">
        <f aca="false">C34*(1+Inflation_Choice)</f>
        <v>24000</v>
      </c>
      <c r="D35" s="64" t="n">
        <f aca="false">F34</f>
        <v>375305.086</v>
      </c>
      <c r="E35" s="63" t="n">
        <f aca="false">IF(Withdrawal_Timing="Start of year",IF(D35&gt;=C35,1,0),IF(D35*(1+Growth_Rate)&gt;=C35,1,0))</f>
        <v>1</v>
      </c>
      <c r="F35" s="64" t="n">
        <f aca="false">IF(E35=1,IF(Withdrawal_Timing="Start of year",(D35-C35)*(1+Growth_Rate),D35*(1+Growth_Rate)-C35),0)</f>
        <v>362371.196209</v>
      </c>
    </row>
    <row r="36" customFormat="false" ht="15" hidden="false" customHeight="false" outlineLevel="0" collapsed="false">
      <c r="B36" s="63" t="n">
        <v>4</v>
      </c>
      <c r="C36" s="64" t="n">
        <f aca="false">C35*(1+Inflation_Choice)</f>
        <v>24000</v>
      </c>
      <c r="D36" s="64" t="n">
        <f aca="false">F35</f>
        <v>362371.196209</v>
      </c>
      <c r="E36" s="63" t="n">
        <f aca="false">IF(Withdrawal_Timing="Start of year",IF(D36&gt;=C36,1,0),IF(D36*(1+Growth_Rate)&gt;=C36,1,0))</f>
        <v>1</v>
      </c>
      <c r="F36" s="64" t="n">
        <f aca="false">IF(E36=1,IF(Withdrawal_Timing="Start of year",(D36-C36)*(1+Growth_Rate),D36*(1+Growth_Rate)-C36),0)</f>
        <v>349029.888889584</v>
      </c>
    </row>
    <row r="37" customFormat="false" ht="15" hidden="false" customHeight="false" outlineLevel="0" collapsed="false">
      <c r="B37" s="63" t="n">
        <v>5</v>
      </c>
      <c r="C37" s="64" t="n">
        <f aca="false">C36*(1+Inflation_Choice)</f>
        <v>24000</v>
      </c>
      <c r="D37" s="64" t="n">
        <f aca="false">F36</f>
        <v>349029.888889584</v>
      </c>
      <c r="E37" s="63" t="n">
        <f aca="false">IF(Withdrawal_Timing="Start of year",IF(D37&gt;=C37,1,0),IF(D37*(1+Growth_Rate)&gt;=C37,1,0))</f>
        <v>1</v>
      </c>
      <c r="F37" s="64" t="n">
        <f aca="false">IF(E37=1,IF(Withdrawal_Timing="Start of year",(D37-C37)*(1+Growth_Rate),D37*(1+Growth_Rate)-C37),0)</f>
        <v>335268.330389606</v>
      </c>
    </row>
    <row r="38" customFormat="false" ht="15" hidden="false" customHeight="false" outlineLevel="0" collapsed="false">
      <c r="B38" s="63" t="n">
        <v>6</v>
      </c>
      <c r="C38" s="64" t="n">
        <f aca="false">C37*(1+Inflation_Choice)</f>
        <v>24000</v>
      </c>
      <c r="D38" s="64" t="n">
        <f aca="false">F37</f>
        <v>335268.330389606</v>
      </c>
      <c r="E38" s="63" t="n">
        <f aca="false">IF(Withdrawal_Timing="Start of year",IF(D38&gt;=C38,1,0),IF(D38*(1+Growth_Rate)&gt;=C38,1,0))</f>
        <v>1</v>
      </c>
      <c r="F38" s="64" t="n">
        <f aca="false">IF(E38=1,IF(Withdrawal_Timing="Start of year",(D38-C38)*(1+Growth_Rate),D38*(1+Growth_Rate)-C38),0)</f>
        <v>321073.282796878</v>
      </c>
    </row>
    <row r="39" customFormat="false" ht="15" hidden="false" customHeight="false" outlineLevel="0" collapsed="false">
      <c r="B39" s="63" t="n">
        <v>7</v>
      </c>
      <c r="C39" s="64" t="n">
        <f aca="false">C38*(1+Inflation_Choice)</f>
        <v>24000</v>
      </c>
      <c r="D39" s="64" t="n">
        <f aca="false">F38</f>
        <v>321073.282796878</v>
      </c>
      <c r="E39" s="63" t="n">
        <f aca="false">IF(Withdrawal_Timing="Start of year",IF(D39&gt;=C39,1,0),IF(D39*(1+Growth_Rate)&gt;=C39,1,0))</f>
        <v>1</v>
      </c>
      <c r="F39" s="64" t="n">
        <f aca="false">IF(E39=1,IF(Withdrawal_Timing="Start of year",(D39-C39)*(1+Growth_Rate),D39*(1+Growth_Rate)-C39),0)</f>
        <v>306431.09120498</v>
      </c>
    </row>
    <row r="40" customFormat="false" ht="15" hidden="false" customHeight="false" outlineLevel="0" collapsed="false">
      <c r="B40" s="63" t="n">
        <v>8</v>
      </c>
      <c r="C40" s="64" t="n">
        <f aca="false">C39*(1+Inflation_Choice)</f>
        <v>24000</v>
      </c>
      <c r="D40" s="64" t="n">
        <f aca="false">F39</f>
        <v>306431.09120498</v>
      </c>
      <c r="E40" s="63" t="n">
        <f aca="false">IF(Withdrawal_Timing="Start of year",IF(D40&gt;=C40,1,0),IF(D40*(1+Growth_Rate)&gt;=C40,1,0))</f>
        <v>1</v>
      </c>
      <c r="F40" s="64" t="n">
        <f aca="false">IF(E40=1,IF(Withdrawal_Timing="Start of year",(D40-C40)*(1+Growth_Rate),D40*(1+Growth_Rate)-C40),0)</f>
        <v>291327.670577937</v>
      </c>
    </row>
    <row r="41" customFormat="false" ht="15" hidden="false" customHeight="false" outlineLevel="0" collapsed="false">
      <c r="B41" s="63" t="n">
        <v>9</v>
      </c>
      <c r="C41" s="64" t="n">
        <f aca="false">C40*(1+Inflation_Choice)</f>
        <v>24000</v>
      </c>
      <c r="D41" s="64" t="n">
        <f aca="false">F40</f>
        <v>291327.670577937</v>
      </c>
      <c r="E41" s="63" t="n">
        <f aca="false">IF(Withdrawal_Timing="Start of year",IF(D41&gt;=C41,1,0),IF(D41*(1+Growth_Rate)&gt;=C41,1,0))</f>
        <v>1</v>
      </c>
      <c r="F41" s="64" t="n">
        <f aca="false">IF(E41=1,IF(Withdrawal_Timing="Start of year",(D41-C41)*(1+Growth_Rate),D41*(1+Growth_Rate)-C41),0)</f>
        <v>275748.492201142</v>
      </c>
    </row>
    <row r="42" customFormat="false" ht="15" hidden="false" customHeight="false" outlineLevel="0" collapsed="false">
      <c r="B42" s="63" t="n">
        <v>10</v>
      </c>
      <c r="C42" s="64" t="n">
        <f aca="false">C41*(1+Inflation_Choice)</f>
        <v>24000</v>
      </c>
      <c r="D42" s="64" t="n">
        <f aca="false">F41</f>
        <v>275748.492201142</v>
      </c>
      <c r="E42" s="63" t="n">
        <f aca="false">IF(Withdrawal_Timing="Start of year",IF(D42&gt;=C42,1,0),IF(D42*(1+Growth_Rate)&gt;=C42,1,0))</f>
        <v>1</v>
      </c>
      <c r="F42" s="64" t="n">
        <f aca="false">IF(E42=1,IF(Withdrawal_Timing="Start of year",(D42-C42)*(1+Growth_Rate),D42*(1+Growth_Rate)-C42),0)</f>
        <v>259678.569705478</v>
      </c>
    </row>
    <row r="43" customFormat="false" ht="15" hidden="false" customHeight="false" outlineLevel="0" collapsed="false">
      <c r="B43" s="63" t="n">
        <v>11</v>
      </c>
      <c r="C43" s="64" t="n">
        <f aca="false">C42*(1+Inflation_Choice)</f>
        <v>24000</v>
      </c>
      <c r="D43" s="64" t="n">
        <f aca="false">F42</f>
        <v>259678.569705478</v>
      </c>
      <c r="E43" s="63" t="n">
        <f aca="false">IF(Withdrawal_Timing="Start of year",IF(D43&gt;=C43,1,0),IF(D43*(1+Growth_Rate)&gt;=C43,1,0))</f>
        <v>1</v>
      </c>
      <c r="F43" s="64" t="n">
        <f aca="false">IF(E43=1,IF(Withdrawal_Timing="Start of year",(D43-C43)*(1+Growth_Rate),D43*(1+Growth_Rate)-C43),0)</f>
        <v>243102.4446512</v>
      </c>
    </row>
    <row r="44" customFormat="false" ht="15" hidden="false" customHeight="false" outlineLevel="0" collapsed="false">
      <c r="B44" s="63" t="n">
        <v>12</v>
      </c>
      <c r="C44" s="64" t="n">
        <f aca="false">C43*(1+Inflation_Choice)</f>
        <v>24000</v>
      </c>
      <c r="D44" s="64" t="n">
        <f aca="false">F43</f>
        <v>243102.4446512</v>
      </c>
      <c r="E44" s="63" t="n">
        <f aca="false">IF(Withdrawal_Timing="Start of year",IF(D44&gt;=C44,1,0),IF(D44*(1+Growth_Rate)&gt;=C44,1,0))</f>
        <v>1</v>
      </c>
      <c r="F44" s="64" t="n">
        <f aca="false">IF(E44=1,IF(Withdrawal_Timing="Start of year",(D44-C44)*(1+Growth_Rate),D44*(1+Growth_Rate)-C44),0)</f>
        <v>226004.171657713</v>
      </c>
    </row>
    <row r="45" customFormat="false" ht="15" hidden="false" customHeight="false" outlineLevel="0" collapsed="false">
      <c r="B45" s="63" t="n">
        <v>13</v>
      </c>
      <c r="C45" s="64" t="n">
        <f aca="false">C44*(1+Inflation_Choice)</f>
        <v>24000</v>
      </c>
      <c r="D45" s="64" t="n">
        <f aca="false">F44</f>
        <v>226004.171657713</v>
      </c>
      <c r="E45" s="63" t="n">
        <f aca="false">IF(Withdrawal_Timing="Start of year",IF(D45&gt;=C45,1,0),IF(D45*(1+Growth_Rate)&gt;=C45,1,0))</f>
        <v>1</v>
      </c>
      <c r="F45" s="64" t="n">
        <f aca="false">IF(E45=1,IF(Withdrawal_Timing="Start of year",(D45-C45)*(1+Growth_Rate),D45*(1+Growth_Rate)-C45),0)</f>
        <v>208367.303064931</v>
      </c>
    </row>
    <row r="46" customFormat="false" ht="15" hidden="false" customHeight="false" outlineLevel="0" collapsed="false">
      <c r="B46" s="63" t="n">
        <v>14</v>
      </c>
      <c r="C46" s="64" t="n">
        <f aca="false">C45*(1+Inflation_Choice)</f>
        <v>24000</v>
      </c>
      <c r="D46" s="64" t="n">
        <f aca="false">F45</f>
        <v>208367.303064931</v>
      </c>
      <c r="E46" s="63" t="n">
        <f aca="false">IF(Withdrawal_Timing="Start of year",IF(D46&gt;=C46,1,0),IF(D46*(1+Growth_Rate)&gt;=C46,1,0))</f>
        <v>1</v>
      </c>
      <c r="F46" s="64" t="n">
        <f aca="false">IF(E46=1,IF(Withdrawal_Timing="Start of year",(D46-C46)*(1+Growth_Rate),D46*(1+Growth_Rate)-C46),0)</f>
        <v>190174.873111476</v>
      </c>
    </row>
    <row r="47" customFormat="false" ht="15" hidden="false" customHeight="false" outlineLevel="0" collapsed="false">
      <c r="B47" s="63" t="n">
        <v>15</v>
      </c>
      <c r="C47" s="64" t="n">
        <f aca="false">C46*(1+Inflation_Choice)</f>
        <v>24000</v>
      </c>
      <c r="D47" s="64" t="n">
        <f aca="false">F46</f>
        <v>190174.873111476</v>
      </c>
      <c r="E47" s="63" t="n">
        <f aca="false">IF(Withdrawal_Timing="Start of year",IF(D47&gt;=C47,1,0),IF(D47*(1+Growth_Rate)&gt;=C47,1,0))</f>
        <v>1</v>
      </c>
      <c r="F47" s="64" t="n">
        <f aca="false">IF(E47=1,IF(Withdrawal_Timing="Start of year",(D47-C47)*(1+Growth_Rate),D47*(1+Growth_Rate)-C47),0)</f>
        <v>171409.381614488</v>
      </c>
    </row>
    <row r="48" customFormat="false" ht="15" hidden="false" customHeight="false" outlineLevel="0" collapsed="false">
      <c r="B48" s="63" t="n">
        <v>16</v>
      </c>
      <c r="C48" s="64" t="n">
        <f aca="false">C47*(1+Inflation_Choice)</f>
        <v>24000</v>
      </c>
      <c r="D48" s="64" t="n">
        <f aca="false">F47</f>
        <v>171409.381614488</v>
      </c>
      <c r="E48" s="63" t="n">
        <f aca="false">IF(Withdrawal_Timing="Start of year",IF(D48&gt;=C48,1,0),IF(D48*(1+Growth_Rate)&gt;=C48,1,0))</f>
        <v>1</v>
      </c>
      <c r="F48" s="64" t="n">
        <f aca="false">IF(E48=1,IF(Withdrawal_Timing="Start of year",(D48-C48)*(1+Growth_Rate),D48*(1+Growth_Rate)-C48),0)</f>
        <v>152052.777135344</v>
      </c>
    </row>
    <row r="49" customFormat="false" ht="15" hidden="false" customHeight="false" outlineLevel="0" collapsed="false">
      <c r="B49" s="63" t="n">
        <v>17</v>
      </c>
      <c r="C49" s="64" t="n">
        <f aca="false">C48*(1+Inflation_Choice)</f>
        <v>24000</v>
      </c>
      <c r="D49" s="64" t="n">
        <f aca="false">F48</f>
        <v>152052.777135344</v>
      </c>
      <c r="E49" s="63" t="n">
        <f aca="false">IF(Withdrawal_Timing="Start of year",IF(D49&gt;=C49,1,0),IF(D49*(1+Growth_Rate)&gt;=C49,1,0))</f>
        <v>1</v>
      </c>
      <c r="F49" s="64" t="n">
        <f aca="false">IF(E49=1,IF(Withdrawal_Timing="Start of year",(D49-C49)*(1+Growth_Rate),D49*(1+Growth_Rate)-C49),0)</f>
        <v>132086.439615108</v>
      </c>
    </row>
    <row r="50" customFormat="false" ht="15" hidden="false" customHeight="false" outlineLevel="0" collapsed="false">
      <c r="B50" s="63" t="n">
        <v>18</v>
      </c>
      <c r="C50" s="64" t="n">
        <f aca="false">C49*(1+Inflation_Choice)</f>
        <v>24000</v>
      </c>
      <c r="D50" s="64" t="n">
        <f aca="false">F49</f>
        <v>132086.439615108</v>
      </c>
      <c r="E50" s="63" t="n">
        <f aca="false">IF(Withdrawal_Timing="Start of year",IF(D50&gt;=C50,1,0),IF(D50*(1+Growth_Rate)&gt;=C50,1,0))</f>
        <v>1</v>
      </c>
      <c r="F50" s="64" t="n">
        <f aca="false">IF(E50=1,IF(Withdrawal_Timing="Start of year",(D50-C50)*(1+Growth_Rate),D50*(1+Growth_Rate)-C50),0)</f>
        <v>111491.162462984</v>
      </c>
    </row>
    <row r="51" customFormat="false" ht="15" hidden="false" customHeight="false" outlineLevel="0" collapsed="false">
      <c r="B51" s="63" t="n">
        <v>19</v>
      </c>
      <c r="C51" s="64" t="n">
        <f aca="false">C50*(1+Inflation_Choice)</f>
        <v>24000</v>
      </c>
      <c r="D51" s="64" t="n">
        <f aca="false">F50</f>
        <v>111491.162462984</v>
      </c>
      <c r="E51" s="63" t="n">
        <f aca="false">IF(Withdrawal_Timing="Start of year",IF(D51&gt;=C51,1,0),IF(D51*(1+Growth_Rate)&gt;=C51,1,0))</f>
        <v>1</v>
      </c>
      <c r="F51" s="64" t="n">
        <f aca="false">IF(E51=1,IF(Withdrawal_Timing="Start of year",(D51-C51)*(1+Growth_Rate),D51*(1+Growth_Rate)-C51),0)</f>
        <v>90247.1340805675</v>
      </c>
    </row>
    <row r="52" customFormat="false" ht="15" hidden="false" customHeight="false" outlineLevel="0" collapsed="false">
      <c r="B52" s="63" t="n">
        <v>20</v>
      </c>
      <c r="C52" s="64" t="n">
        <f aca="false">C51*(1+Inflation_Choice)</f>
        <v>24000</v>
      </c>
      <c r="D52" s="64" t="n">
        <f aca="false">F51</f>
        <v>90247.1340805675</v>
      </c>
      <c r="E52" s="63" t="n">
        <f aca="false">IF(Withdrawal_Timing="Start of year",IF(D52&gt;=C52,1,0),IF(D52*(1+Growth_Rate)&gt;=C52,1,0))</f>
        <v>1</v>
      </c>
      <c r="F52" s="64" t="n">
        <f aca="false">IF(E52=1,IF(Withdrawal_Timing="Start of year",(D52-C52)*(1+Growth_Rate),D52*(1+Growth_Rate)-C52),0)</f>
        <v>68333.9188041054</v>
      </c>
    </row>
    <row r="53" customFormat="false" ht="15" hidden="false" customHeight="false" outlineLevel="0" collapsed="false">
      <c r="B53" s="63" t="n">
        <v>21</v>
      </c>
      <c r="C53" s="64" t="n">
        <f aca="false">C52*(1+Inflation_Choice)</f>
        <v>24000</v>
      </c>
      <c r="D53" s="64" t="n">
        <f aca="false">F52</f>
        <v>68333.9188041054</v>
      </c>
      <c r="E53" s="63" t="n">
        <f aca="false">IF(Withdrawal_Timing="Start of year",IF(D53&gt;=C53,1,0),IF(D53*(1+Growth_Rate)&gt;=C53,1,0))</f>
        <v>1</v>
      </c>
      <c r="F53" s="64" t="n">
        <f aca="false">IF(E53=1,IF(Withdrawal_Timing="Start of year",(D53-C53)*(1+Growth_Rate),D53*(1+Growth_Rate)-C53),0)</f>
        <v>45730.4372464347</v>
      </c>
    </row>
    <row r="54" customFormat="false" ht="15" hidden="false" customHeight="false" outlineLevel="0" collapsed="false">
      <c r="B54" s="63" t="n">
        <v>22</v>
      </c>
      <c r="C54" s="64" t="n">
        <f aca="false">C53*(1+Inflation_Choice)</f>
        <v>24000</v>
      </c>
      <c r="D54" s="64" t="n">
        <f aca="false">F53</f>
        <v>45730.4372464347</v>
      </c>
      <c r="E54" s="63" t="n">
        <f aca="false">IF(Withdrawal_Timing="Start of year",IF(D54&gt;=C54,1,0),IF(D54*(1+Growth_Rate)&gt;=C54,1,0))</f>
        <v>1</v>
      </c>
      <c r="F54" s="64" t="n">
        <f aca="false">IF(E54=1,IF(Withdrawal_Timing="Start of year",(D54-C54)*(1+Growth_Rate),D54*(1+Growth_Rate)-C54),0)</f>
        <v>22414.9460196974</v>
      </c>
    </row>
    <row r="55" customFormat="false" ht="15" hidden="false" customHeight="false" outlineLevel="0" collapsed="false">
      <c r="B55" s="63" t="n">
        <v>23</v>
      </c>
      <c r="C55" s="64" t="n">
        <f aca="false">C54*(1+Inflation_Choice)</f>
        <v>24000</v>
      </c>
      <c r="D55" s="64" t="n">
        <f aca="false">F54</f>
        <v>22414.9460196974</v>
      </c>
      <c r="E55" s="63" t="n">
        <f aca="false">IF(Withdrawal_Timing="Start of year",IF(D55&gt;=C55,1,0),IF(D55*(1+Growth_Rate)&gt;=C55,1,0))</f>
        <v>0</v>
      </c>
      <c r="F55" s="64" t="n">
        <f aca="false">IF(E55=1,IF(Withdrawal_Timing="Start of year",(D55-C55)*(1+Growth_Rate),D55*(1+Growth_Rate)-C55),0)</f>
        <v>0</v>
      </c>
    </row>
    <row r="56" customFormat="false" ht="15" hidden="false" customHeight="false" outlineLevel="0" collapsed="false">
      <c r="B56" s="63" t="n">
        <v>24</v>
      </c>
      <c r="C56" s="64" t="n">
        <f aca="false">C55*(1+Inflation_Choice)</f>
        <v>24000</v>
      </c>
      <c r="D56" s="64" t="n">
        <f aca="false">F55</f>
        <v>0</v>
      </c>
      <c r="E56" s="63" t="n">
        <f aca="false">IF(Withdrawal_Timing="Start of year",IF(D56&gt;=C56,1,0),IF(D56*(1+Growth_Rate)&gt;=C56,1,0))</f>
        <v>0</v>
      </c>
      <c r="F56" s="64" t="n">
        <f aca="false">IF(E56=1,IF(Withdrawal_Timing="Start of year",(D56-C56)*(1+Growth_Rate),D56*(1+Growth_Rate)-C56),0)</f>
        <v>0</v>
      </c>
    </row>
    <row r="57" customFormat="false" ht="15" hidden="false" customHeight="false" outlineLevel="0" collapsed="false">
      <c r="B57" s="63" t="n">
        <v>25</v>
      </c>
      <c r="C57" s="64" t="n">
        <f aca="false">C56*(1+Inflation_Choice)</f>
        <v>24000</v>
      </c>
      <c r="D57" s="64" t="n">
        <f aca="false">F56</f>
        <v>0</v>
      </c>
      <c r="E57" s="63" t="n">
        <f aca="false">IF(Withdrawal_Timing="Start of year",IF(D57&gt;=C57,1,0),IF(D57*(1+Growth_Rate)&gt;=C57,1,0))</f>
        <v>0</v>
      </c>
      <c r="F57" s="64" t="n">
        <f aca="false">IF(E57=1,IF(Withdrawal_Timing="Start of year",(D57-C57)*(1+Growth_Rate),D57*(1+Growth_Rate)-C57),0)</f>
        <v>0</v>
      </c>
    </row>
    <row r="58" customFormat="false" ht="15" hidden="false" customHeight="false" outlineLevel="0" collapsed="false">
      <c r="B58" s="63" t="n">
        <v>26</v>
      </c>
      <c r="C58" s="64" t="n">
        <f aca="false">C57*(1+Inflation_Choice)</f>
        <v>24000</v>
      </c>
      <c r="D58" s="64" t="n">
        <f aca="false">F57</f>
        <v>0</v>
      </c>
      <c r="E58" s="63" t="n">
        <f aca="false">IF(Withdrawal_Timing="Start of year",IF(D58&gt;=C58,1,0),IF(D58*(1+Growth_Rate)&gt;=C58,1,0))</f>
        <v>0</v>
      </c>
      <c r="F58" s="64" t="n">
        <f aca="false">IF(E58=1,IF(Withdrawal_Timing="Start of year",(D58-C58)*(1+Growth_Rate),D58*(1+Growth_Rate)-C58),0)</f>
        <v>0</v>
      </c>
    </row>
    <row r="59" customFormat="false" ht="15" hidden="false" customHeight="false" outlineLevel="0" collapsed="false">
      <c r="B59" s="63" t="n">
        <v>27</v>
      </c>
      <c r="C59" s="64" t="n">
        <f aca="false">C58*(1+Inflation_Choice)</f>
        <v>24000</v>
      </c>
      <c r="D59" s="64" t="n">
        <f aca="false">F58</f>
        <v>0</v>
      </c>
      <c r="E59" s="63" t="n">
        <f aca="false">IF(Withdrawal_Timing="Start of year",IF(D59&gt;=C59,1,0),IF(D59*(1+Growth_Rate)&gt;=C59,1,0))</f>
        <v>0</v>
      </c>
      <c r="F59" s="64" t="n">
        <f aca="false">IF(E59=1,IF(Withdrawal_Timing="Start of year",(D59-C59)*(1+Growth_Rate),D59*(1+Growth_Rate)-C59),0)</f>
        <v>0</v>
      </c>
    </row>
    <row r="60" customFormat="false" ht="15" hidden="false" customHeight="false" outlineLevel="0" collapsed="false">
      <c r="B60" s="63" t="n">
        <v>28</v>
      </c>
      <c r="C60" s="64" t="n">
        <f aca="false">C59*(1+Inflation_Choice)</f>
        <v>24000</v>
      </c>
      <c r="D60" s="64" t="n">
        <f aca="false">F59</f>
        <v>0</v>
      </c>
      <c r="E60" s="63" t="n">
        <f aca="false">IF(Withdrawal_Timing="Start of year",IF(D60&gt;=C60,1,0),IF(D60*(1+Growth_Rate)&gt;=C60,1,0))</f>
        <v>0</v>
      </c>
      <c r="F60" s="64" t="n">
        <f aca="false">IF(E60=1,IF(Withdrawal_Timing="Start of year",(D60-C60)*(1+Growth_Rate),D60*(1+Growth_Rate)-C60),0)</f>
        <v>0</v>
      </c>
    </row>
    <row r="61" customFormat="false" ht="15" hidden="false" customHeight="false" outlineLevel="0" collapsed="false">
      <c r="B61" s="63" t="n">
        <v>29</v>
      </c>
      <c r="C61" s="64" t="n">
        <f aca="false">C60*(1+Inflation_Choice)</f>
        <v>24000</v>
      </c>
      <c r="D61" s="64" t="n">
        <f aca="false">F60</f>
        <v>0</v>
      </c>
      <c r="E61" s="63" t="n">
        <f aca="false">IF(Withdrawal_Timing="Start of year",IF(D61&gt;=C61,1,0),IF(D61*(1+Growth_Rate)&gt;=C61,1,0))</f>
        <v>0</v>
      </c>
      <c r="F61" s="64" t="n">
        <f aca="false">IF(E61=1,IF(Withdrawal_Timing="Start of year",(D61-C61)*(1+Growth_Rate),D61*(1+Growth_Rate)-C61),0)</f>
        <v>0</v>
      </c>
    </row>
    <row r="62" customFormat="false" ht="15" hidden="false" customHeight="false" outlineLevel="0" collapsed="false">
      <c r="B62" s="63" t="n">
        <v>30</v>
      </c>
      <c r="C62" s="64" t="n">
        <f aca="false">C61*(1+Inflation_Choice)</f>
        <v>24000</v>
      </c>
      <c r="D62" s="64" t="n">
        <f aca="false">F61</f>
        <v>0</v>
      </c>
      <c r="E62" s="63" t="n">
        <f aca="false">IF(Withdrawal_Timing="Start of year",IF(D62&gt;=C62,1,0),IF(D62*(1+Growth_Rate)&gt;=C62,1,0))</f>
        <v>0</v>
      </c>
      <c r="F62" s="64" t="n">
        <f aca="false">IF(E62=1,IF(Withdrawal_Timing="Start of year",(D62-C62)*(1+Growth_Rate),D62*(1+Growth_Rate)-C62),0)</f>
        <v>0</v>
      </c>
    </row>
    <row r="63" customFormat="false" ht="15" hidden="false" customHeight="false" outlineLevel="0" collapsed="false">
      <c r="B63" s="63" t="n">
        <v>31</v>
      </c>
      <c r="C63" s="64" t="n">
        <f aca="false">C62*(1+Inflation_Choice)</f>
        <v>24000</v>
      </c>
      <c r="D63" s="64" t="n">
        <f aca="false">F62</f>
        <v>0</v>
      </c>
      <c r="E63" s="63" t="n">
        <f aca="false">IF(Withdrawal_Timing="Start of year",IF(D63&gt;=C63,1,0),IF(D63*(1+Growth_Rate)&gt;=C63,1,0))</f>
        <v>0</v>
      </c>
      <c r="F63" s="64" t="n">
        <f aca="false">IF(E63=1,IF(Withdrawal_Timing="Start of year",(D63-C63)*(1+Growth_Rate),D63*(1+Growth_Rate)-C63),0)</f>
        <v>0</v>
      </c>
    </row>
    <row r="64" customFormat="false" ht="15" hidden="false" customHeight="false" outlineLevel="0" collapsed="false">
      <c r="B64" s="63" t="n">
        <v>32</v>
      </c>
      <c r="C64" s="64" t="n">
        <f aca="false">C63*(1+Inflation_Choice)</f>
        <v>24000</v>
      </c>
      <c r="D64" s="64" t="n">
        <f aca="false">F63</f>
        <v>0</v>
      </c>
      <c r="E64" s="63" t="n">
        <f aca="false">IF(Withdrawal_Timing="Start of year",IF(D64&gt;=C64,1,0),IF(D64*(1+Growth_Rate)&gt;=C64,1,0))</f>
        <v>0</v>
      </c>
      <c r="F64" s="64" t="n">
        <f aca="false">IF(E64=1,IF(Withdrawal_Timing="Start of year",(D64-C64)*(1+Growth_Rate),D64*(1+Growth_Rate)-C64),0)</f>
        <v>0</v>
      </c>
    </row>
    <row r="65" customFormat="false" ht="15" hidden="false" customHeight="false" outlineLevel="0" collapsed="false">
      <c r="B65" s="63" t="n">
        <v>33</v>
      </c>
      <c r="C65" s="64" t="n">
        <f aca="false">C64*(1+Inflation_Choice)</f>
        <v>24000</v>
      </c>
      <c r="D65" s="64" t="n">
        <f aca="false">F64</f>
        <v>0</v>
      </c>
      <c r="E65" s="63" t="n">
        <f aca="false">IF(Withdrawal_Timing="Start of year",IF(D65&gt;=C65,1,0),IF(D65*(1+Growth_Rate)&gt;=C65,1,0))</f>
        <v>0</v>
      </c>
      <c r="F65" s="64" t="n">
        <f aca="false">IF(E65=1,IF(Withdrawal_Timing="Start of year",(D65-C65)*(1+Growth_Rate),D65*(1+Growth_Rate)-C65),0)</f>
        <v>0</v>
      </c>
    </row>
    <row r="66" customFormat="false" ht="15" hidden="false" customHeight="false" outlineLevel="0" collapsed="false">
      <c r="B66" s="63" t="n">
        <v>34</v>
      </c>
      <c r="C66" s="64" t="n">
        <f aca="false">C65*(1+Inflation_Choice)</f>
        <v>24000</v>
      </c>
      <c r="D66" s="64" t="n">
        <f aca="false">F65</f>
        <v>0</v>
      </c>
      <c r="E66" s="63" t="n">
        <f aca="false">IF(Withdrawal_Timing="Start of year",IF(D66&gt;=C66,1,0),IF(D66*(1+Growth_Rate)&gt;=C66,1,0))</f>
        <v>0</v>
      </c>
      <c r="F66" s="64" t="n">
        <f aca="false">IF(E66=1,IF(Withdrawal_Timing="Start of year",(D66-C66)*(1+Growth_Rate),D66*(1+Growth_Rate)-C66),0)</f>
        <v>0</v>
      </c>
    </row>
    <row r="67" customFormat="false" ht="15" hidden="false" customHeight="false" outlineLevel="0" collapsed="false">
      <c r="B67" s="63" t="n">
        <v>35</v>
      </c>
      <c r="C67" s="64" t="n">
        <f aca="false">C66*(1+Inflation_Choice)</f>
        <v>24000</v>
      </c>
      <c r="D67" s="64" t="n">
        <f aca="false">F66</f>
        <v>0</v>
      </c>
      <c r="E67" s="63" t="n">
        <f aca="false">IF(Withdrawal_Timing="Start of year",IF(D67&gt;=C67,1,0),IF(D67*(1+Growth_Rate)&gt;=C67,1,0))</f>
        <v>0</v>
      </c>
      <c r="F67" s="64" t="n">
        <f aca="false">IF(E67=1,IF(Withdrawal_Timing="Start of year",(D67-C67)*(1+Growth_Rate),D67*(1+Growth_Rate)-C67),0)</f>
        <v>0</v>
      </c>
    </row>
    <row r="68" customFormat="false" ht="15" hidden="false" customHeight="false" outlineLevel="0" collapsed="false">
      <c r="B68" s="63" t="n">
        <v>36</v>
      </c>
      <c r="C68" s="64" t="n">
        <f aca="false">C67*(1+Inflation_Choice)</f>
        <v>24000</v>
      </c>
      <c r="D68" s="64" t="n">
        <f aca="false">F67</f>
        <v>0</v>
      </c>
      <c r="E68" s="63" t="n">
        <f aca="false">IF(Withdrawal_Timing="Start of year",IF(D68&gt;=C68,1,0),IF(D68*(1+Growth_Rate)&gt;=C68,1,0))</f>
        <v>0</v>
      </c>
      <c r="F68" s="64" t="n">
        <f aca="false">IF(E68=1,IF(Withdrawal_Timing="Start of year",(D68-C68)*(1+Growth_Rate),D68*(1+Growth_Rate)-C68),0)</f>
        <v>0</v>
      </c>
    </row>
    <row r="69" customFormat="false" ht="15" hidden="false" customHeight="false" outlineLevel="0" collapsed="false">
      <c r="B69" s="63" t="n">
        <v>37</v>
      </c>
      <c r="C69" s="64" t="n">
        <f aca="false">C68*(1+Inflation_Choice)</f>
        <v>24000</v>
      </c>
      <c r="D69" s="64" t="n">
        <f aca="false">F68</f>
        <v>0</v>
      </c>
      <c r="E69" s="63" t="n">
        <f aca="false">IF(Withdrawal_Timing="Start of year",IF(D69&gt;=C69,1,0),IF(D69*(1+Growth_Rate)&gt;=C69,1,0))</f>
        <v>0</v>
      </c>
      <c r="F69" s="64" t="n">
        <f aca="false">IF(E69=1,IF(Withdrawal_Timing="Start of year",(D69-C69)*(1+Growth_Rate),D69*(1+Growth_Rate)-C69),0)</f>
        <v>0</v>
      </c>
    </row>
    <row r="70" customFormat="false" ht="15" hidden="false" customHeight="false" outlineLevel="0" collapsed="false">
      <c r="B70" s="63" t="n">
        <v>38</v>
      </c>
      <c r="C70" s="64" t="n">
        <f aca="false">C69*(1+Inflation_Choice)</f>
        <v>24000</v>
      </c>
      <c r="D70" s="64" t="n">
        <f aca="false">F69</f>
        <v>0</v>
      </c>
      <c r="E70" s="63" t="n">
        <f aca="false">IF(Withdrawal_Timing="Start of year",IF(D70&gt;=C70,1,0),IF(D70*(1+Growth_Rate)&gt;=C70,1,0))</f>
        <v>0</v>
      </c>
      <c r="F70" s="64" t="n">
        <f aca="false">IF(E70=1,IF(Withdrawal_Timing="Start of year",(D70-C70)*(1+Growth_Rate),D70*(1+Growth_Rate)-C70),0)</f>
        <v>0</v>
      </c>
    </row>
    <row r="71" customFormat="false" ht="15" hidden="false" customHeight="false" outlineLevel="0" collapsed="false">
      <c r="B71" s="63" t="n">
        <v>39</v>
      </c>
      <c r="C71" s="64" t="n">
        <f aca="false">C70*(1+Inflation_Choice)</f>
        <v>24000</v>
      </c>
      <c r="D71" s="64" t="n">
        <f aca="false">F70</f>
        <v>0</v>
      </c>
      <c r="E71" s="63" t="n">
        <f aca="false">IF(Withdrawal_Timing="Start of year",IF(D71&gt;=C71,1,0),IF(D71*(1+Growth_Rate)&gt;=C71,1,0))</f>
        <v>0</v>
      </c>
      <c r="F71" s="64" t="n">
        <f aca="false">IF(E71=1,IF(Withdrawal_Timing="Start of year",(D71-C71)*(1+Growth_Rate),D71*(1+Growth_Rate)-C71),0)</f>
        <v>0</v>
      </c>
    </row>
    <row r="72" customFormat="false" ht="15" hidden="false" customHeight="false" outlineLevel="0" collapsed="false">
      <c r="B72" s="63" t="n">
        <v>40</v>
      </c>
      <c r="C72" s="64" t="n">
        <f aca="false">C71*(1+Inflation_Choice)</f>
        <v>24000</v>
      </c>
      <c r="D72" s="64" t="n">
        <f aca="false">F71</f>
        <v>0</v>
      </c>
      <c r="E72" s="63" t="n">
        <f aca="false">IF(Withdrawal_Timing="Start of year",IF(D72&gt;=C72,1,0),IF(D72*(1+Growth_Rate)&gt;=C72,1,0))</f>
        <v>0</v>
      </c>
      <c r="F72" s="64" t="n">
        <f aca="false">IF(E72=1,IF(Withdrawal_Timing="Start of year",(D72-C72)*(1+Growth_Rate),D72*(1+Growth_Rate)-C72),0)</f>
        <v>0</v>
      </c>
    </row>
    <row r="73" customFormat="false" ht="15" hidden="false" customHeight="false" outlineLevel="0" collapsed="false">
      <c r="B73" s="63" t="n">
        <v>41</v>
      </c>
      <c r="C73" s="64" t="n">
        <f aca="false">C72*(1+Inflation_Choice)</f>
        <v>24000</v>
      </c>
      <c r="D73" s="64" t="n">
        <f aca="false">F72</f>
        <v>0</v>
      </c>
      <c r="E73" s="63" t="n">
        <f aca="false">IF(Withdrawal_Timing="Start of year",IF(D73&gt;=C73,1,0),IF(D73*(1+Growth_Rate)&gt;=C73,1,0))</f>
        <v>0</v>
      </c>
      <c r="F73" s="64" t="n">
        <f aca="false">IF(E73=1,IF(Withdrawal_Timing="Start of year",(D73-C73)*(1+Growth_Rate),D73*(1+Growth_Rate)-C73),0)</f>
        <v>0</v>
      </c>
    </row>
    <row r="74" customFormat="false" ht="15" hidden="false" customHeight="false" outlineLevel="0" collapsed="false">
      <c r="B74" s="63" t="n">
        <v>42</v>
      </c>
      <c r="C74" s="64" t="n">
        <f aca="false">C73*(1+Inflation_Choice)</f>
        <v>24000</v>
      </c>
      <c r="D74" s="64" t="n">
        <f aca="false">F73</f>
        <v>0</v>
      </c>
      <c r="E74" s="63" t="n">
        <f aca="false">IF(Withdrawal_Timing="Start of year",IF(D74&gt;=C74,1,0),IF(D74*(1+Growth_Rate)&gt;=C74,1,0))</f>
        <v>0</v>
      </c>
      <c r="F74" s="64" t="n">
        <f aca="false">IF(E74=1,IF(Withdrawal_Timing="Start of year",(D74-C74)*(1+Growth_Rate),D74*(1+Growth_Rate)-C74),0)</f>
        <v>0</v>
      </c>
    </row>
    <row r="75" customFormat="false" ht="15" hidden="false" customHeight="false" outlineLevel="0" collapsed="false">
      <c r="B75" s="63" t="n">
        <v>43</v>
      </c>
      <c r="C75" s="64" t="n">
        <f aca="false">C74*(1+Inflation_Choice)</f>
        <v>24000</v>
      </c>
      <c r="D75" s="64" t="n">
        <f aca="false">F74</f>
        <v>0</v>
      </c>
      <c r="E75" s="63" t="n">
        <f aca="false">IF(Withdrawal_Timing="Start of year",IF(D75&gt;=C75,1,0),IF(D75*(1+Growth_Rate)&gt;=C75,1,0))</f>
        <v>0</v>
      </c>
      <c r="F75" s="64" t="n">
        <f aca="false">IF(E75=1,IF(Withdrawal_Timing="Start of year",(D75-C75)*(1+Growth_Rate),D75*(1+Growth_Rate)-C75),0)</f>
        <v>0</v>
      </c>
    </row>
    <row r="76" customFormat="false" ht="15" hidden="false" customHeight="false" outlineLevel="0" collapsed="false">
      <c r="B76" s="63" t="n">
        <v>44</v>
      </c>
      <c r="C76" s="64" t="n">
        <f aca="false">C75*(1+Inflation_Choice)</f>
        <v>24000</v>
      </c>
      <c r="D76" s="64" t="n">
        <f aca="false">F75</f>
        <v>0</v>
      </c>
      <c r="E76" s="63" t="n">
        <f aca="false">IF(Withdrawal_Timing="Start of year",IF(D76&gt;=C76,1,0),IF(D76*(1+Growth_Rate)&gt;=C76,1,0))</f>
        <v>0</v>
      </c>
      <c r="F76" s="64" t="n">
        <f aca="false">IF(E76=1,IF(Withdrawal_Timing="Start of year",(D76-C76)*(1+Growth_Rate),D76*(1+Growth_Rate)-C76),0)</f>
        <v>0</v>
      </c>
    </row>
    <row r="77" customFormat="false" ht="15" hidden="false" customHeight="false" outlineLevel="0" collapsed="false">
      <c r="B77" s="63" t="n">
        <v>45</v>
      </c>
      <c r="C77" s="64" t="n">
        <f aca="false">C76*(1+Inflation_Choice)</f>
        <v>24000</v>
      </c>
      <c r="D77" s="64" t="n">
        <f aca="false">F76</f>
        <v>0</v>
      </c>
      <c r="E77" s="63" t="n">
        <f aca="false">IF(Withdrawal_Timing="Start of year",IF(D77&gt;=C77,1,0),IF(D77*(1+Growth_Rate)&gt;=C77,1,0))</f>
        <v>0</v>
      </c>
      <c r="F77" s="64" t="n">
        <f aca="false">IF(E77=1,IF(Withdrawal_Timing="Start of year",(D77-C77)*(1+Growth_Rate),D77*(1+Growth_Rate)-C77),0)</f>
        <v>0</v>
      </c>
    </row>
    <row r="78" customFormat="false" ht="15" hidden="false" customHeight="false" outlineLevel="0" collapsed="false">
      <c r="B78" s="63" t="n">
        <v>46</v>
      </c>
      <c r="C78" s="64" t="n">
        <f aca="false">C77*(1+Inflation_Choice)</f>
        <v>24000</v>
      </c>
      <c r="D78" s="64" t="n">
        <f aca="false">F77</f>
        <v>0</v>
      </c>
      <c r="E78" s="63" t="n">
        <f aca="false">IF(Withdrawal_Timing="Start of year",IF(D78&gt;=C78,1,0),IF(D78*(1+Growth_Rate)&gt;=C78,1,0))</f>
        <v>0</v>
      </c>
      <c r="F78" s="64" t="n">
        <f aca="false">IF(E78=1,IF(Withdrawal_Timing="Start of year",(D78-C78)*(1+Growth_Rate),D78*(1+Growth_Rate)-C78),0)</f>
        <v>0</v>
      </c>
    </row>
    <row r="79" customFormat="false" ht="15" hidden="false" customHeight="false" outlineLevel="0" collapsed="false">
      <c r="B79" s="63" t="n">
        <v>47</v>
      </c>
      <c r="C79" s="64" t="n">
        <f aca="false">C78*(1+Inflation_Choice)</f>
        <v>24000</v>
      </c>
      <c r="D79" s="64" t="n">
        <f aca="false">F78</f>
        <v>0</v>
      </c>
      <c r="E79" s="63" t="n">
        <f aca="false">IF(Withdrawal_Timing="Start of year",IF(D79&gt;=C79,1,0),IF(D79*(1+Growth_Rate)&gt;=C79,1,0))</f>
        <v>0</v>
      </c>
      <c r="F79" s="64" t="n">
        <f aca="false">IF(E79=1,IF(Withdrawal_Timing="Start of year",(D79-C79)*(1+Growth_Rate),D79*(1+Growth_Rate)-C79),0)</f>
        <v>0</v>
      </c>
    </row>
    <row r="80" customFormat="false" ht="15" hidden="false" customHeight="false" outlineLevel="0" collapsed="false">
      <c r="B80" s="63" t="n">
        <v>48</v>
      </c>
      <c r="C80" s="64" t="n">
        <f aca="false">C79*(1+Inflation_Choice)</f>
        <v>24000</v>
      </c>
      <c r="D80" s="64" t="n">
        <f aca="false">F79</f>
        <v>0</v>
      </c>
      <c r="E80" s="63" t="n">
        <f aca="false">IF(Withdrawal_Timing="Start of year",IF(D80&gt;=C80,1,0),IF(D80*(1+Growth_Rate)&gt;=C80,1,0))</f>
        <v>0</v>
      </c>
      <c r="F80" s="64" t="n">
        <f aca="false">IF(E80=1,IF(Withdrawal_Timing="Start of year",(D80-C80)*(1+Growth_Rate),D80*(1+Growth_Rate)-C80),0)</f>
        <v>0</v>
      </c>
    </row>
    <row r="81" customFormat="false" ht="15" hidden="false" customHeight="false" outlineLevel="0" collapsed="false">
      <c r="B81" s="63" t="n">
        <v>49</v>
      </c>
      <c r="C81" s="64" t="n">
        <f aca="false">C80*(1+Inflation_Choice)</f>
        <v>24000</v>
      </c>
      <c r="D81" s="64" t="n">
        <f aca="false">F80</f>
        <v>0</v>
      </c>
      <c r="E81" s="63" t="n">
        <f aca="false">IF(Withdrawal_Timing="Start of year",IF(D81&gt;=C81,1,0),IF(D81*(1+Growth_Rate)&gt;=C81,1,0))</f>
        <v>0</v>
      </c>
      <c r="F81" s="64" t="n">
        <f aca="false">IF(E81=1,IF(Withdrawal_Timing="Start of year",(D81-C81)*(1+Growth_Rate),D81*(1+Growth_Rate)-C81),0)</f>
        <v>0</v>
      </c>
    </row>
    <row r="82" customFormat="false" ht="15" hidden="false" customHeight="false" outlineLevel="0" collapsed="false">
      <c r="B82" s="63" t="n">
        <v>50</v>
      </c>
      <c r="C82" s="64" t="n">
        <f aca="false">C81*(1+Inflation_Choice)</f>
        <v>24000</v>
      </c>
      <c r="D82" s="64" t="n">
        <f aca="false">F81</f>
        <v>0</v>
      </c>
      <c r="E82" s="63" t="n">
        <f aca="false">IF(Withdrawal_Timing="Start of year",IF(D82&gt;=C82,1,0),IF(D82*(1+Growth_Rate)&gt;=C82,1,0))</f>
        <v>0</v>
      </c>
      <c r="F82" s="64" t="n">
        <f aca="false">IF(E82=1,IF(Withdrawal_Timing="Start of year",(D82-C82)*(1+Growth_Rate),D82*(1+Growth_Rate)-C82),0)</f>
        <v>0</v>
      </c>
    </row>
    <row r="83" customFormat="false" ht="15" hidden="false" customHeight="false" outlineLevel="0" collapsed="false">
      <c r="B83" s="63" t="n">
        <v>51</v>
      </c>
      <c r="C83" s="64" t="n">
        <f aca="false">C82*(1+Inflation_Choice)</f>
        <v>24000</v>
      </c>
      <c r="D83" s="64" t="n">
        <f aca="false">F82</f>
        <v>0</v>
      </c>
      <c r="E83" s="63" t="n">
        <f aca="false">IF(Withdrawal_Timing="Start of year",IF(D83&gt;=C83,1,0),IF(D83*(1+Growth_Rate)&gt;=C83,1,0))</f>
        <v>0</v>
      </c>
      <c r="F83" s="64" t="n">
        <f aca="false">IF(E83=1,IF(Withdrawal_Timing="Start of year",(D83-C83)*(1+Growth_Rate),D83*(1+Growth_Rate)-C83),0)</f>
        <v>0</v>
      </c>
    </row>
    <row r="84" customFormat="false" ht="15" hidden="false" customHeight="false" outlineLevel="0" collapsed="false">
      <c r="B84" s="63" t="n">
        <v>52</v>
      </c>
      <c r="C84" s="64" t="n">
        <f aca="false">C83*(1+Inflation_Choice)</f>
        <v>24000</v>
      </c>
      <c r="D84" s="64" t="n">
        <f aca="false">F83</f>
        <v>0</v>
      </c>
      <c r="E84" s="63" t="n">
        <f aca="false">IF(Withdrawal_Timing="Start of year",IF(D84&gt;=C84,1,0),IF(D84*(1+Growth_Rate)&gt;=C84,1,0))</f>
        <v>0</v>
      </c>
      <c r="F84" s="64" t="n">
        <f aca="false">IF(E84=1,IF(Withdrawal_Timing="Start of year",(D84-C84)*(1+Growth_Rate),D84*(1+Growth_Rate)-C84),0)</f>
        <v>0</v>
      </c>
    </row>
    <row r="85" customFormat="false" ht="15" hidden="false" customHeight="false" outlineLevel="0" collapsed="false">
      <c r="B85" s="63" t="n">
        <v>53</v>
      </c>
      <c r="C85" s="64" t="n">
        <f aca="false">C84*(1+Inflation_Choice)</f>
        <v>24000</v>
      </c>
      <c r="D85" s="64" t="n">
        <f aca="false">F84</f>
        <v>0</v>
      </c>
      <c r="E85" s="63" t="n">
        <f aca="false">IF(Withdrawal_Timing="Start of year",IF(D85&gt;=C85,1,0),IF(D85*(1+Growth_Rate)&gt;=C85,1,0))</f>
        <v>0</v>
      </c>
      <c r="F85" s="64" t="n">
        <f aca="false">IF(E85=1,IF(Withdrawal_Timing="Start of year",(D85-C85)*(1+Growth_Rate),D85*(1+Growth_Rate)-C85),0)</f>
        <v>0</v>
      </c>
    </row>
    <row r="86" customFormat="false" ht="15" hidden="false" customHeight="false" outlineLevel="0" collapsed="false">
      <c r="B86" s="63" t="n">
        <v>54</v>
      </c>
      <c r="C86" s="64" t="n">
        <f aca="false">C85*(1+Inflation_Choice)</f>
        <v>24000</v>
      </c>
      <c r="D86" s="64" t="n">
        <f aca="false">F85</f>
        <v>0</v>
      </c>
      <c r="E86" s="63" t="n">
        <f aca="false">IF(Withdrawal_Timing="Start of year",IF(D86&gt;=C86,1,0),IF(D86*(1+Growth_Rate)&gt;=C86,1,0))</f>
        <v>0</v>
      </c>
      <c r="F86" s="64" t="n">
        <f aca="false">IF(E86=1,IF(Withdrawal_Timing="Start of year",(D86-C86)*(1+Growth_Rate),D86*(1+Growth_Rate)-C86),0)</f>
        <v>0</v>
      </c>
    </row>
    <row r="87" customFormat="false" ht="15" hidden="false" customHeight="false" outlineLevel="0" collapsed="false">
      <c r="B87" s="63" t="n">
        <v>55</v>
      </c>
      <c r="C87" s="64" t="n">
        <f aca="false">C86*(1+Inflation_Choice)</f>
        <v>24000</v>
      </c>
      <c r="D87" s="64" t="n">
        <f aca="false">F86</f>
        <v>0</v>
      </c>
      <c r="E87" s="63" t="n">
        <f aca="false">IF(Withdrawal_Timing="Start of year",IF(D87&gt;=C87,1,0),IF(D87*(1+Growth_Rate)&gt;=C87,1,0))</f>
        <v>0</v>
      </c>
      <c r="F87" s="64" t="n">
        <f aca="false">IF(E87=1,IF(Withdrawal_Timing="Start of year",(D87-C87)*(1+Growth_Rate),D87*(1+Growth_Rate)-C87),0)</f>
        <v>0</v>
      </c>
    </row>
    <row r="88" customFormat="false" ht="15" hidden="false" customHeight="false" outlineLevel="0" collapsed="false">
      <c r="B88" s="63" t="n">
        <v>56</v>
      </c>
      <c r="C88" s="64" t="n">
        <f aca="false">C87*(1+Inflation_Choice)</f>
        <v>24000</v>
      </c>
      <c r="D88" s="64" t="n">
        <f aca="false">F87</f>
        <v>0</v>
      </c>
      <c r="E88" s="63" t="n">
        <f aca="false">IF(Withdrawal_Timing="Start of year",IF(D88&gt;=C88,1,0),IF(D88*(1+Growth_Rate)&gt;=C88,1,0))</f>
        <v>0</v>
      </c>
      <c r="F88" s="64" t="n">
        <f aca="false">IF(E88=1,IF(Withdrawal_Timing="Start of year",(D88-C88)*(1+Growth_Rate),D88*(1+Growth_Rate)-C88),0)</f>
        <v>0</v>
      </c>
    </row>
    <row r="89" customFormat="false" ht="15" hidden="false" customHeight="false" outlineLevel="0" collapsed="false">
      <c r="B89" s="63" t="n">
        <v>57</v>
      </c>
      <c r="C89" s="64" t="n">
        <f aca="false">C88*(1+Inflation_Choice)</f>
        <v>24000</v>
      </c>
      <c r="D89" s="64" t="n">
        <f aca="false">F88</f>
        <v>0</v>
      </c>
      <c r="E89" s="63" t="n">
        <f aca="false">IF(Withdrawal_Timing="Start of year",IF(D89&gt;=C89,1,0),IF(D89*(1+Growth_Rate)&gt;=C89,1,0))</f>
        <v>0</v>
      </c>
      <c r="F89" s="64" t="n">
        <f aca="false">IF(E89=1,IF(Withdrawal_Timing="Start of year",(D89-C89)*(1+Growth_Rate),D89*(1+Growth_Rate)-C89),0)</f>
        <v>0</v>
      </c>
    </row>
    <row r="90" customFormat="false" ht="15" hidden="false" customHeight="false" outlineLevel="0" collapsed="false">
      <c r="B90" s="63" t="n">
        <v>58</v>
      </c>
      <c r="C90" s="64" t="n">
        <f aca="false">C89*(1+Inflation_Choice)</f>
        <v>24000</v>
      </c>
      <c r="D90" s="64" t="n">
        <f aca="false">F89</f>
        <v>0</v>
      </c>
      <c r="E90" s="63" t="n">
        <f aca="false">IF(Withdrawal_Timing="Start of year",IF(D90&gt;=C90,1,0),IF(D90*(1+Growth_Rate)&gt;=C90,1,0))</f>
        <v>0</v>
      </c>
      <c r="F90" s="64" t="n">
        <f aca="false">IF(E90=1,IF(Withdrawal_Timing="Start of year",(D90-C90)*(1+Growth_Rate),D90*(1+Growth_Rate)-C90),0)</f>
        <v>0</v>
      </c>
    </row>
    <row r="91" customFormat="false" ht="15" hidden="false" customHeight="false" outlineLevel="0" collapsed="false">
      <c r="B91" s="63" t="n">
        <v>59</v>
      </c>
      <c r="C91" s="64" t="n">
        <f aca="false">C90*(1+Inflation_Choice)</f>
        <v>24000</v>
      </c>
      <c r="D91" s="64" t="n">
        <f aca="false">F90</f>
        <v>0</v>
      </c>
      <c r="E91" s="63" t="n">
        <f aca="false">IF(Withdrawal_Timing="Start of year",IF(D91&gt;=C91,1,0),IF(D91*(1+Growth_Rate)&gt;=C91,1,0))</f>
        <v>0</v>
      </c>
      <c r="F91" s="64" t="n">
        <f aca="false">IF(E91=1,IF(Withdrawal_Timing="Start of year",(D91-C91)*(1+Growth_Rate),D91*(1+Growth_Rate)-C91),0)</f>
        <v>0</v>
      </c>
    </row>
    <row r="92" customFormat="false" ht="15" hidden="false" customHeight="false" outlineLevel="0" collapsed="false">
      <c r="B92" s="63" t="n">
        <v>60</v>
      </c>
      <c r="C92" s="64" t="n">
        <f aca="false">C91*(1+Inflation_Choice)</f>
        <v>24000</v>
      </c>
      <c r="D92" s="64" t="n">
        <f aca="false">F91</f>
        <v>0</v>
      </c>
      <c r="E92" s="63" t="n">
        <f aca="false">IF(Withdrawal_Timing="Start of year",IF(D92&gt;=C92,1,0),IF(D92*(1+Growth_Rate)&gt;=C92,1,0))</f>
        <v>0</v>
      </c>
      <c r="F92" s="64" t="n">
        <f aca="false">IF(E92=1,IF(Withdrawal_Timing="Start of year",(D92-C92)*(1+Growth_Rate),D92*(1+Growth_Rate)-C92),0)</f>
        <v>0</v>
      </c>
    </row>
    <row r="95" customFormat="false" ht="15" hidden="false" customHeight="false" outlineLevel="0" collapsed="false">
      <c r="B95" s="9" t="s">
        <v>271</v>
      </c>
      <c r="C95" s="10"/>
      <c r="D95" s="10"/>
      <c r="E95" s="10"/>
    </row>
    <row r="96" customFormat="false" ht="27.75" hidden="false" customHeight="true" outlineLevel="0" collapsed="false">
      <c r="B96" s="33" t="s">
        <v>875</v>
      </c>
      <c r="C96" s="33"/>
      <c r="D96" s="33"/>
      <c r="E96" s="33"/>
    </row>
    <row r="97" customFormat="false" ht="13.5" hidden="false" customHeight="true" outlineLevel="0" collapsed="false">
      <c r="B97" s="33" t="s">
        <v>876</v>
      </c>
      <c r="C97" s="33"/>
      <c r="D97" s="33"/>
      <c r="E97" s="33"/>
    </row>
    <row r="98" customFormat="false" ht="13.5" hidden="false" customHeight="true" outlineLevel="0" collapsed="false">
      <c r="B98" s="34" t="s">
        <v>275</v>
      </c>
      <c r="C98" s="34"/>
      <c r="D98" s="34"/>
      <c r="E98" s="34"/>
    </row>
    <row r="99" customFormat="false" ht="13.5" hidden="false" customHeight="true" outlineLevel="0" collapsed="false">
      <c r="B99" s="33" t="s">
        <v>877</v>
      </c>
      <c r="C99" s="33"/>
      <c r="D99" s="33"/>
      <c r="E99" s="33"/>
    </row>
    <row r="100" customFormat="false" ht="13.5" hidden="false" customHeight="true" outlineLevel="0" collapsed="false">
      <c r="B100" s="33" t="s">
        <v>878</v>
      </c>
      <c r="C100" s="33"/>
      <c r="D100" s="33"/>
      <c r="E100" s="33"/>
    </row>
    <row r="101" customFormat="false" ht="13.5" hidden="false" customHeight="true" outlineLevel="0" collapsed="false">
      <c r="B101" s="33" t="s">
        <v>879</v>
      </c>
      <c r="C101" s="33"/>
      <c r="D101" s="33"/>
      <c r="E101" s="33"/>
    </row>
    <row r="103" customFormat="false" ht="15" hidden="false" customHeight="false" outlineLevel="0" collapsed="false">
      <c r="B103" s="9" t="s">
        <v>280</v>
      </c>
      <c r="C103" s="10"/>
      <c r="D103" s="10"/>
      <c r="E103" s="10"/>
    </row>
    <row r="104" customFormat="false" ht="15" hidden="false" customHeight="false" outlineLevel="0" collapsed="false">
      <c r="B104" s="20" t="s">
        <v>281</v>
      </c>
      <c r="C104" s="35" t="str">
        <f aca="false">"No goal"</f>
        <v>No goal</v>
      </c>
      <c r="E104" s="36" t="s">
        <v>461</v>
      </c>
    </row>
  </sheetData>
  <mergeCells count="8">
    <mergeCell ref="B7:E7"/>
    <mergeCell ref="B10:E10"/>
    <mergeCell ref="B96:E96"/>
    <mergeCell ref="B97:E97"/>
    <mergeCell ref="B98:E98"/>
    <mergeCell ref="B99:E99"/>
    <mergeCell ref="B100:E100"/>
    <mergeCell ref="B101:E101"/>
  </mergeCells>
  <dataValidations count="10">
    <dataValidation allowBlank="true" error="Please enter a date (dd/mm/yyyy)." errorStyle="stop" errorTitle="Outside the allowed range" operator="greaterThan" prompt="Unit: date. Allowed: a date (dd/mm/yyyy)." promptTitle="Statement date" showDropDown="false" showErrorMessage="true" showInputMessage="true" sqref="C13" type="date">
      <formula1>36526</formula1>
      <formula2>0</formula2>
    </dataValidation>
    <dataValidation allowBlank="true" error="Please enter 0% to 10% · steps of 0.25%." errorStyle="stop" errorTitle="Outside the allowed range" operator="between" prompt="Everyone sees this differently. Ireland's prices are rising 3.9% now (CSO HICP flash, Sep 2026), mostly because of energy. Over decades, 2%–2.5% is the usual planning range (ECB target 2%). Enter 0% if you don't want t Allowed: 0% to 10% · steps of 0.25%." promptTitle="Inflation you expect (your choic" showDropDown="false" showErrorMessage="true" showInputMessage="true" sqref="C6" type="decimal">
      <formula1>0</formula1>
      <formula2>0.1</formula2>
    </dataValidation>
    <dataValidation allowBlank="true" error="Please enter €0 to €100,000,000." errorStyle="stop" errorTitle="Outside the allowed range" operator="between" prompt="Unit: €. Allowed: €0 to €100,000,000." promptTitle="Projected fund at retirement (if" showDropDown="false" showErrorMessage="true" showInputMessage="true" sqref="C11" type="decimal">
      <formula1>0</formula1>
      <formula2>100000000</formula2>
    </dataValidation>
    <dataValidation allowBlank="true" error="Please enter €0 to €50,000,000." errorStyle="stop" errorTitle="Outside the allowed range" operator="between" prompt="Unit: €. Allowed: €0 to €50,000,000." promptTitle="Fund value today" showDropDown="false" showErrorMessage="true" showInputMessage="true" sqref="C12" type="decimal">
      <formula1>0</formula1>
      <formula2>50000000</formula2>
    </dataValidation>
    <dataValidation allowBlank="false" error="Please enter €10,000 to €30,000,000 · steps of €10,000." errorStyle="stop" errorTitle="Outside the allowed range" operator="between" prompt="Unit: €. Allowed: €10,000 to €30,000,000 · steps of €10,000." promptTitle="Retirement savings" showDropDown="false" showErrorMessage="true" showInputMessage="true" sqref="C16" type="decimal">
      <formula1>10000</formula1>
      <formula2>30000000</formula2>
    </dataValidation>
    <dataValidation allowBlank="false" error="Please enter €1,000 to €2,000,000 · steps of €1,000." errorStyle="stop" errorTitle="Outside the allowed range" operator="between" prompt="Unit: €. Allowed: €1,000 to €2,000,000 · steps of €1,000." promptTitle="Yearly withdrawal (first year)" showDropDown="false" showErrorMessage="true" showInputMessage="true" sqref="C17" type="decimal">
      <formula1>1000</formula1>
      <formula2>2000000</formula2>
    </dataValidation>
    <dataValidation allowBlank="false" error="Please enter 0% to 7% · steps of 0.05%." errorStyle="stop" errorTitle="Outside the allowed range" operator="between" prompt="Suggested · change if you like. The retired rate is lower because most people take less risk then. Suggested 3.15% a year after charges (Cautious 2.8%).  Allowed: 0% to 7% · steps of 0.05%." promptTitle="Growth assumption a year (once r" showDropDown="false" showErrorMessage="true" showInputMessage="true" sqref="C18" type="decimal">
      <formula1>0</formula1>
      <formula2>0.07</formula2>
    </dataValidation>
    <dataValidation allowBlank="false" error="Please enter Start of year or End of year." errorStyle="stop" errorTitle="Outside the allowed range" operator="between" prompt="Suggested · change if you like. Taking each year's income at the start of the year is the prudent assumption.  Allowed: Start of year or End of year." promptTitle="Withdrawal taken at the" showDropDown="false" showErrorMessage="true" showInputMessage="true" sqref="C19" type="list">
      <formula1>"Start of year,End of year"</formula1>
      <formula2>0</formula2>
    </dataValidation>
    <dataValidation allowBlank="false" error="Please enter 50 to 90 · steps of 1." errorStyle="stop" errorTitle="Outside the allowed range" operator="between" prompt="Unit: age. Allowed: 50 to 90 · steps of 1." promptTitle="Your age when withdrawals start" showDropDown="false" showErrorMessage="true" showInputMessage="true" sqref="C20" type="whole">
      <formula1>50</formula1>
      <formula2>90</formula2>
    </dataValidation>
    <dataValidation allowBlank="false" error="Please enter 85 to 100 · steps of 1." errorStyle="stop" errorTitle="Outside the allowed range" operator="between" prompt="Suggested · change if you like. Many people now live into their 90s. Planning further ahead is safer (95 for couples).  Allowed: 85 to 100 · steps of 1." promptTitle="Plan to age" showDropDown="false" showErrorMessage="true" showInputMessage="true" sqref="C21" type="whole">
      <formula1>85</formula1>
      <formula2>100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I10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50"/>
    <col collapsed="false" customWidth="true" hidden="false" outlineLevel="0" max="3" min="3" style="0" width="26"/>
    <col collapsed="false" customWidth="true" hidden="false" outlineLevel="0" max="4" min="4" style="0" width="24"/>
    <col collapsed="false" customWidth="true" hidden="false" outlineLevel="0" max="5" min="5" style="0" width="78"/>
    <col collapsed="false" customWidth="true" hidden="false" outlineLevel="0" max="6" min="6" style="0" width="2"/>
    <col collapsed="false" customWidth="true" hidden="false" outlineLevel="0" max="7" min="7" style="0" width="44"/>
  </cols>
  <sheetData>
    <row r="1" customFormat="false" ht="19.7" hidden="false" customHeight="false" outlineLevel="0" collapsed="false">
      <c r="B1" s="16" t="s">
        <v>880</v>
      </c>
      <c r="G1" s="2" t="s">
        <v>677</v>
      </c>
    </row>
    <row r="2" customFormat="false" ht="15" hidden="false" customHeight="false" outlineLevel="0" collapsed="false">
      <c r="B2" s="17" t="s">
        <v>881</v>
      </c>
      <c r="G2" s="2" t="s">
        <v>882</v>
      </c>
    </row>
    <row r="3" customFormat="false" ht="15" hidden="false" customHeight="false" outlineLevel="0" collapsed="false">
      <c r="B3" s="18" t="s">
        <v>883</v>
      </c>
    </row>
    <row r="5" customFormat="false" ht="15" hidden="false" customHeight="false" outlineLevel="0" collapsed="false">
      <c r="B5" s="9" t="s">
        <v>537</v>
      </c>
      <c r="C5" s="19" t="s">
        <v>203</v>
      </c>
      <c r="D5" s="19" t="s">
        <v>204</v>
      </c>
      <c r="E5" s="19" t="s">
        <v>205</v>
      </c>
    </row>
    <row r="6" customFormat="false" ht="15" hidden="false" customHeight="false" outlineLevel="0" collapsed="false">
      <c r="B6" s="20" t="s">
        <v>538</v>
      </c>
      <c r="C6" s="25"/>
      <c r="D6" s="22" t="s">
        <v>222</v>
      </c>
      <c r="E6" s="2" t="s">
        <v>539</v>
      </c>
      <c r="G6" s="23" t="s">
        <v>540</v>
      </c>
    </row>
    <row r="7" customFormat="false" ht="27.75" hidden="false" customHeight="true" outlineLevel="0" collapsed="false">
      <c r="B7" s="39" t="s">
        <v>541</v>
      </c>
      <c r="C7" s="39"/>
      <c r="D7" s="39"/>
      <c r="E7" s="39"/>
    </row>
    <row r="9" customFormat="false" ht="15" hidden="false" customHeight="false" outlineLevel="0" collapsed="false">
      <c r="B9" s="9" t="s">
        <v>293</v>
      </c>
      <c r="C9" s="10"/>
      <c r="D9" s="10"/>
      <c r="E9" s="10"/>
    </row>
    <row r="10" customFormat="false" ht="27.75" hidden="false" customHeight="true" outlineLevel="0" collapsed="false">
      <c r="B10" s="39" t="s">
        <v>842</v>
      </c>
      <c r="C10" s="39"/>
      <c r="D10" s="39"/>
      <c r="E10" s="39"/>
    </row>
    <row r="11" customFormat="false" ht="15" hidden="false" customHeight="false" outlineLevel="0" collapsed="false">
      <c r="B11" s="20" t="s">
        <v>689</v>
      </c>
      <c r="C11" s="40"/>
      <c r="D11" s="22" t="s">
        <v>207</v>
      </c>
      <c r="E11" s="2" t="s">
        <v>607</v>
      </c>
      <c r="G11" s="23" t="s">
        <v>297</v>
      </c>
    </row>
    <row r="12" customFormat="false" ht="15" hidden="false" customHeight="false" outlineLevel="0" collapsed="false">
      <c r="B12" s="20" t="s">
        <v>682</v>
      </c>
      <c r="C12" s="40"/>
      <c r="D12" s="22" t="s">
        <v>207</v>
      </c>
      <c r="E12" s="2" t="s">
        <v>683</v>
      </c>
      <c r="G12" s="23" t="s">
        <v>297</v>
      </c>
    </row>
    <row r="13" customFormat="false" ht="15" hidden="false" customHeight="false" outlineLevel="0" collapsed="false">
      <c r="B13" s="20" t="s">
        <v>304</v>
      </c>
      <c r="C13" s="43"/>
      <c r="D13" s="22" t="s">
        <v>305</v>
      </c>
      <c r="E13" s="2" t="s">
        <v>306</v>
      </c>
      <c r="G13" s="23" t="s">
        <v>297</v>
      </c>
    </row>
    <row r="15" customFormat="false" ht="15" hidden="false" customHeight="false" outlineLevel="0" collapsed="false">
      <c r="B15" s="9" t="s">
        <v>307</v>
      </c>
      <c r="C15" s="19" t="s">
        <v>203</v>
      </c>
      <c r="D15" s="19" t="s">
        <v>204</v>
      </c>
      <c r="E15" s="19" t="s">
        <v>205</v>
      </c>
    </row>
    <row r="16" customFormat="false" ht="15" hidden="false" customHeight="false" outlineLevel="0" collapsed="false">
      <c r="B16" s="20" t="s">
        <v>843</v>
      </c>
      <c r="C16" s="21" t="n">
        <v>400000</v>
      </c>
      <c r="D16" s="22" t="s">
        <v>207</v>
      </c>
      <c r="E16" s="2" t="s">
        <v>844</v>
      </c>
      <c r="G16" s="23" t="s">
        <v>845</v>
      </c>
    </row>
    <row r="17" customFormat="false" ht="15" hidden="false" customHeight="false" outlineLevel="0" collapsed="false">
      <c r="B17" s="20" t="s">
        <v>846</v>
      </c>
      <c r="C17" s="21" t="n">
        <v>20000</v>
      </c>
      <c r="D17" s="22" t="s">
        <v>207</v>
      </c>
      <c r="E17" s="2" t="s">
        <v>847</v>
      </c>
      <c r="G17" s="23" t="s">
        <v>884</v>
      </c>
    </row>
    <row r="18" customFormat="false" ht="15" hidden="false" customHeight="false" outlineLevel="0" collapsed="false">
      <c r="B18" s="20" t="s">
        <v>885</v>
      </c>
      <c r="C18" s="25" t="n">
        <v>0.02</v>
      </c>
      <c r="D18" s="22" t="s">
        <v>222</v>
      </c>
      <c r="E18" s="26" t="s">
        <v>501</v>
      </c>
      <c r="G18" s="23" t="s">
        <v>499</v>
      </c>
    </row>
    <row r="19" customFormat="false" ht="15" hidden="false" customHeight="false" outlineLevel="0" collapsed="false">
      <c r="B19" s="20" t="s">
        <v>886</v>
      </c>
      <c r="C19" s="25" t="n">
        <v>0.04</v>
      </c>
      <c r="D19" s="22" t="s">
        <v>222</v>
      </c>
      <c r="E19" s="26" t="s">
        <v>501</v>
      </c>
      <c r="G19" s="23" t="s">
        <v>580</v>
      </c>
    </row>
    <row r="20" customFormat="false" ht="15" hidden="false" customHeight="false" outlineLevel="0" collapsed="false">
      <c r="B20" s="20" t="s">
        <v>887</v>
      </c>
      <c r="C20" s="25" t="n">
        <v>0.06</v>
      </c>
      <c r="D20" s="22" t="s">
        <v>222</v>
      </c>
      <c r="E20" s="26" t="s">
        <v>501</v>
      </c>
      <c r="G20" s="23" t="s">
        <v>888</v>
      </c>
    </row>
    <row r="21" customFormat="false" ht="15" hidden="false" customHeight="false" outlineLevel="0" collapsed="false">
      <c r="B21" s="20" t="s">
        <v>852</v>
      </c>
      <c r="C21" s="24" t="s">
        <v>853</v>
      </c>
      <c r="D21" s="22"/>
      <c r="E21" s="26" t="s">
        <v>854</v>
      </c>
      <c r="G21" s="23" t="s">
        <v>855</v>
      </c>
    </row>
    <row r="23" customFormat="false" ht="15" hidden="false" customHeight="false" outlineLevel="0" collapsed="false">
      <c r="B23" s="9" t="s">
        <v>321</v>
      </c>
      <c r="C23" s="10"/>
      <c r="D23" s="10"/>
      <c r="E23" s="10"/>
    </row>
    <row r="24" customFormat="false" ht="15" hidden="false" customHeight="false" outlineLevel="0" collapsed="false">
      <c r="B24" s="20" t="s">
        <v>843</v>
      </c>
      <c r="C24" s="44" t="n">
        <f aca="false">IF(NOT(ISBLANK(Stmt_Projected_Fund)),Stmt_Projected_Fund,IF(NOT(ISBLANK(Stmt_Fund_Value)),Stmt_Fund_Value,Retirement_Savings))</f>
        <v>400000</v>
      </c>
      <c r="D24" s="45" t="str">
        <f aca="false">IF(NOT(ISBLANK(Stmt_Projected_Fund)),"From your statement (projected fund)",IF(NOT(ISBLANK(Stmt_Fund_Value)),"From your statement (fund value today)","Your figure"))</f>
        <v>Your figure</v>
      </c>
      <c r="E24" s="36" t="s">
        <v>862</v>
      </c>
    </row>
    <row r="25" customFormat="false" ht="22.35" hidden="false" customHeight="false" outlineLevel="0" collapsed="false">
      <c r="B25" s="20" t="s">
        <v>327</v>
      </c>
      <c r="C25" s="32" t="str">
        <f aca="true">IF(ISBLANK(Stmt_Statement_Date),"",IF(TODAY()-Stmt_Statement_Date&gt;Statement_Max_Age_Days,"Needs a look: statement is more than 12 months old","Up to date"))</f>
        <v/>
      </c>
      <c r="D25" s="22"/>
      <c r="E25" s="29" t="s">
        <v>328</v>
      </c>
    </row>
    <row r="27" customFormat="false" ht="15" hidden="false" customHeight="false" outlineLevel="0" collapsed="false">
      <c r="B27" s="9" t="s">
        <v>238</v>
      </c>
      <c r="C27" s="19" t="s">
        <v>239</v>
      </c>
      <c r="D27" s="19" t="s">
        <v>240</v>
      </c>
      <c r="E27" s="19" t="s">
        <v>241</v>
      </c>
    </row>
    <row r="28" customFormat="false" ht="17.35" hidden="false" customHeight="false" outlineLevel="0" collapsed="false">
      <c r="B28" s="17" t="s">
        <v>889</v>
      </c>
      <c r="C28" s="48" t="str">
        <f aca="false">IF(ISBLANK(Inflation_Choice),"Enter your inflation rate",SUM(W_b_paid))</f>
        <v>Enter your inflation rate</v>
      </c>
      <c r="D28" s="49" t="str">
        <f aca="false">IF(ISNUMBER(Years_Balanced),IF(Years_Balanced&gt;=Cap_Years,Cap_Years&amp;"+ years",Years_Balanced&amp;IF(Years_Balanced=1," year"," years")),"Enter your inflation rate")</f>
        <v>Enter your inflation rate</v>
      </c>
      <c r="E28" s="29" t="s">
        <v>890</v>
      </c>
    </row>
    <row r="29" customFormat="false" ht="15" hidden="false" customHeight="false" outlineLevel="0" collapsed="false">
      <c r="B29" s="20" t="s">
        <v>891</v>
      </c>
      <c r="C29" s="52" t="str">
        <f aca="false">IF(ISBLANK(Inflation_Choice),"Enter your inflation rate",SUM(W_c_paid))</f>
        <v>Enter your inflation rate</v>
      </c>
      <c r="D29" s="53" t="str">
        <f aca="false">IF(ISNUMBER(Years_Cautious),IF(Years_Cautious&gt;=Cap_Years,Cap_Years&amp;"+ years",Years_Cautious&amp;IF(Years_Cautious=1," year"," years")),"Enter your inflation rate")</f>
        <v>Enter your inflation rate</v>
      </c>
      <c r="E29" s="29" t="s">
        <v>892</v>
      </c>
    </row>
    <row r="30" customFormat="false" ht="15" hidden="false" customHeight="false" outlineLevel="0" collapsed="false">
      <c r="B30" s="20" t="s">
        <v>893</v>
      </c>
      <c r="C30" s="52" t="str">
        <f aca="false">IF(ISBLANK(Inflation_Choice),"Enter your inflation rate",SUM(W_g_paid))</f>
        <v>Enter your inflation rate</v>
      </c>
      <c r="D30" s="53" t="str">
        <f aca="false">IF(ISNUMBER(Years_Growth),IF(Years_Growth&gt;=Cap_Years,Cap_Years&amp;"+ years",Years_Growth&amp;IF(Years_Growth=1," year"," years")),"Enter your inflation rate")</f>
        <v>Enter your inflation rate</v>
      </c>
      <c r="E30" s="29" t="s">
        <v>894</v>
      </c>
    </row>
    <row r="31" customFormat="false" ht="15" hidden="false" customHeight="false" outlineLevel="0" collapsed="false">
      <c r="B31" s="9" t="s">
        <v>895</v>
      </c>
      <c r="C31" s="10"/>
      <c r="D31" s="10"/>
      <c r="E31" s="10"/>
    </row>
    <row r="32" customFormat="false" ht="27.75" hidden="false" customHeight="true" outlineLevel="0" collapsed="false">
      <c r="B32" s="62" t="s">
        <v>870</v>
      </c>
      <c r="C32" s="62" t="s">
        <v>896</v>
      </c>
      <c r="D32" s="62" t="s">
        <v>897</v>
      </c>
      <c r="E32" s="62" t="s">
        <v>898</v>
      </c>
      <c r="F32" s="62" t="s">
        <v>899</v>
      </c>
      <c r="G32" s="62" t="s">
        <v>900</v>
      </c>
      <c r="H32" s="62" t="s">
        <v>901</v>
      </c>
      <c r="I32" s="62" t="s">
        <v>902</v>
      </c>
    </row>
    <row r="33" customFormat="false" ht="15" hidden="false" customHeight="false" outlineLevel="0" collapsed="false">
      <c r="B33" s="63" t="n">
        <v>1</v>
      </c>
      <c r="C33" s="64" t="n">
        <f aca="false">Yearly_Withdrawal</f>
        <v>20000</v>
      </c>
      <c r="D33" s="64" t="n">
        <f aca="false">Used_Retirement_Savings</f>
        <v>400000</v>
      </c>
      <c r="E33" s="63" t="n">
        <f aca="false">IF(Withdrawal_Timing="Start of year",IF(D33&gt;=C33,1,0),IF(D33*(1+DD_Cautious)&gt;=C33,1,0))</f>
        <v>1</v>
      </c>
      <c r="F33" s="64" t="n">
        <f aca="false">Used_Retirement_Savings</f>
        <v>400000</v>
      </c>
      <c r="G33" s="63" t="n">
        <f aca="false">IF(Withdrawal_Timing="Start of year",IF(F33&gt;=C33,1,0),IF(F33*(1+DD_Balanced)&gt;=C33,1,0))</f>
        <v>1</v>
      </c>
      <c r="H33" s="64" t="n">
        <f aca="false">Used_Retirement_Savings</f>
        <v>400000</v>
      </c>
      <c r="I33" s="63" t="n">
        <f aca="false">IF(Withdrawal_Timing="Start of year",IF(H33&gt;=C33,1,0),IF(H33*(1+DD_Growth)&gt;=C33,1,0))</f>
        <v>1</v>
      </c>
    </row>
    <row r="34" customFormat="false" ht="15" hidden="false" customHeight="false" outlineLevel="0" collapsed="false">
      <c r="B34" s="63" t="n">
        <v>2</v>
      </c>
      <c r="C34" s="64" t="n">
        <f aca="false">C33*(1+Inflation_Choice)</f>
        <v>20000</v>
      </c>
      <c r="D34" s="64" t="n">
        <f aca="false">IF(E33=1,IF(Withdrawal_Timing="Start of year",(D33-C33)*(1+DD_Cautious),D33*(1+DD_Cautious)-C33),0)</f>
        <v>387600</v>
      </c>
      <c r="E34" s="63" t="n">
        <f aca="false">IF(Withdrawal_Timing="Start of year",IF(D34&gt;=C34,1,0),IF(D34*(1+DD_Cautious)&gt;=C34,1,0))</f>
        <v>1</v>
      </c>
      <c r="F34" s="64" t="n">
        <f aca="false">IF(G33=1,IF(Withdrawal_Timing="Start of year",(F33-C33)*(1+DD_Balanced),F33*(1+DD_Balanced)-C33),0)</f>
        <v>395200</v>
      </c>
      <c r="G34" s="63" t="n">
        <f aca="false">IF(Withdrawal_Timing="Start of year",IF(F34&gt;=C34,1,0),IF(F34*(1+DD_Balanced)&gt;=C34,1,0))</f>
        <v>1</v>
      </c>
      <c r="H34" s="64" t="n">
        <f aca="false">IF(I33=1,IF(Withdrawal_Timing="Start of year",(H33-C33)*(1+DD_Growth),H33*(1+DD_Growth)-C33),0)</f>
        <v>402800</v>
      </c>
      <c r="I34" s="63" t="n">
        <f aca="false">IF(Withdrawal_Timing="Start of year",IF(H34&gt;=C34,1,0),IF(H34*(1+DD_Growth)&gt;=C34,1,0))</f>
        <v>1</v>
      </c>
    </row>
    <row r="35" customFormat="false" ht="15" hidden="false" customHeight="false" outlineLevel="0" collapsed="false">
      <c r="B35" s="63" t="n">
        <v>3</v>
      </c>
      <c r="C35" s="64" t="n">
        <f aca="false">C34*(1+Inflation_Choice)</f>
        <v>20000</v>
      </c>
      <c r="D35" s="64" t="n">
        <f aca="false">IF(E34=1,IF(Withdrawal_Timing="Start of year",(D34-C34)*(1+DD_Cautious),D34*(1+DD_Cautious)-C34),0)</f>
        <v>374952</v>
      </c>
      <c r="E35" s="63" t="n">
        <f aca="false">IF(Withdrawal_Timing="Start of year",IF(D35&gt;=C35,1,0),IF(D35*(1+DD_Cautious)&gt;=C35,1,0))</f>
        <v>1</v>
      </c>
      <c r="F35" s="64" t="n">
        <f aca="false">IF(G34=1,IF(Withdrawal_Timing="Start of year",(F34-C34)*(1+DD_Balanced),F34*(1+DD_Balanced)-C34),0)</f>
        <v>390208</v>
      </c>
      <c r="G35" s="63" t="n">
        <f aca="false">IF(Withdrawal_Timing="Start of year",IF(F35&gt;=C35,1,0),IF(F35*(1+DD_Balanced)&gt;=C35,1,0))</f>
        <v>1</v>
      </c>
      <c r="H35" s="64" t="n">
        <f aca="false">IF(I34=1,IF(Withdrawal_Timing="Start of year",(H34-C34)*(1+DD_Growth),H34*(1+DD_Growth)-C34),0)</f>
        <v>405768</v>
      </c>
      <c r="I35" s="63" t="n">
        <f aca="false">IF(Withdrawal_Timing="Start of year",IF(H35&gt;=C35,1,0),IF(H35*(1+DD_Growth)&gt;=C35,1,0))</f>
        <v>1</v>
      </c>
    </row>
    <row r="36" customFormat="false" ht="15" hidden="false" customHeight="false" outlineLevel="0" collapsed="false">
      <c r="B36" s="63" t="n">
        <v>4</v>
      </c>
      <c r="C36" s="64" t="n">
        <f aca="false">C35*(1+Inflation_Choice)</f>
        <v>20000</v>
      </c>
      <c r="D36" s="64" t="n">
        <f aca="false">IF(E35=1,IF(Withdrawal_Timing="Start of year",(D35-C35)*(1+DD_Cautious),D35*(1+DD_Cautious)-C35),0)</f>
        <v>362051.04</v>
      </c>
      <c r="E36" s="63" t="n">
        <f aca="false">IF(Withdrawal_Timing="Start of year",IF(D36&gt;=C36,1,0),IF(D36*(1+DD_Cautious)&gt;=C36,1,0))</f>
        <v>1</v>
      </c>
      <c r="F36" s="64" t="n">
        <f aca="false">IF(G35=1,IF(Withdrawal_Timing="Start of year",(F35-C35)*(1+DD_Balanced),F35*(1+DD_Balanced)-C35),0)</f>
        <v>385016.32</v>
      </c>
      <c r="G36" s="63" t="n">
        <f aca="false">IF(Withdrawal_Timing="Start of year",IF(F36&gt;=C36,1,0),IF(F36*(1+DD_Balanced)&gt;=C36,1,0))</f>
        <v>1</v>
      </c>
      <c r="H36" s="64" t="n">
        <f aca="false">IF(I35=1,IF(Withdrawal_Timing="Start of year",(H35-C35)*(1+DD_Growth),H35*(1+DD_Growth)-C35),0)</f>
        <v>408914.08</v>
      </c>
      <c r="I36" s="63" t="n">
        <f aca="false">IF(Withdrawal_Timing="Start of year",IF(H36&gt;=C36,1,0),IF(H36*(1+DD_Growth)&gt;=C36,1,0))</f>
        <v>1</v>
      </c>
    </row>
    <row r="37" customFormat="false" ht="15" hidden="false" customHeight="false" outlineLevel="0" collapsed="false">
      <c r="B37" s="63" t="n">
        <v>5</v>
      </c>
      <c r="C37" s="64" t="n">
        <f aca="false">C36*(1+Inflation_Choice)</f>
        <v>20000</v>
      </c>
      <c r="D37" s="64" t="n">
        <f aca="false">IF(E36=1,IF(Withdrawal_Timing="Start of year",(D36-C36)*(1+DD_Cautious),D36*(1+DD_Cautious)-C36),0)</f>
        <v>348892.0608</v>
      </c>
      <c r="E37" s="63" t="n">
        <f aca="false">IF(Withdrawal_Timing="Start of year",IF(D37&gt;=C37,1,0),IF(D37*(1+DD_Cautious)&gt;=C37,1,0))</f>
        <v>1</v>
      </c>
      <c r="F37" s="64" t="n">
        <f aca="false">IF(G36=1,IF(Withdrawal_Timing="Start of year",(F36-C36)*(1+DD_Balanced),F36*(1+DD_Balanced)-C36),0)</f>
        <v>379616.9728</v>
      </c>
      <c r="G37" s="63" t="n">
        <f aca="false">IF(Withdrawal_Timing="Start of year",IF(F37&gt;=C37,1,0),IF(F37*(1+DD_Balanced)&gt;=C37,1,0))</f>
        <v>1</v>
      </c>
      <c r="H37" s="64" t="n">
        <f aca="false">IF(I36=1,IF(Withdrawal_Timing="Start of year",(H36-C36)*(1+DD_Growth),H36*(1+DD_Growth)-C36),0)</f>
        <v>412248.9248</v>
      </c>
      <c r="I37" s="63" t="n">
        <f aca="false">IF(Withdrawal_Timing="Start of year",IF(H37&gt;=C37,1,0),IF(H37*(1+DD_Growth)&gt;=C37,1,0))</f>
        <v>1</v>
      </c>
    </row>
    <row r="38" customFormat="false" ht="15" hidden="false" customHeight="false" outlineLevel="0" collapsed="false">
      <c r="B38" s="63" t="n">
        <v>6</v>
      </c>
      <c r="C38" s="64" t="n">
        <f aca="false">C37*(1+Inflation_Choice)</f>
        <v>20000</v>
      </c>
      <c r="D38" s="64" t="n">
        <f aca="false">IF(E37=1,IF(Withdrawal_Timing="Start of year",(D37-C37)*(1+DD_Cautious),D37*(1+DD_Cautious)-C37),0)</f>
        <v>335469.902016</v>
      </c>
      <c r="E38" s="63" t="n">
        <f aca="false">IF(Withdrawal_Timing="Start of year",IF(D38&gt;=C38,1,0),IF(D38*(1+DD_Cautious)&gt;=C38,1,0))</f>
        <v>1</v>
      </c>
      <c r="F38" s="64" t="n">
        <f aca="false">IF(G37=1,IF(Withdrawal_Timing="Start of year",(F37-C37)*(1+DD_Balanced),F37*(1+DD_Balanced)-C37),0)</f>
        <v>374001.651712</v>
      </c>
      <c r="G38" s="63" t="n">
        <f aca="false">IF(Withdrawal_Timing="Start of year",IF(F38&gt;=C38,1,0),IF(F38*(1+DD_Balanced)&gt;=C38,1,0))</f>
        <v>1</v>
      </c>
      <c r="H38" s="64" t="n">
        <f aca="false">IF(I37=1,IF(Withdrawal_Timing="Start of year",(H37-C37)*(1+DD_Growth),H37*(1+DD_Growth)-C37),0)</f>
        <v>415783.860288</v>
      </c>
      <c r="I38" s="63" t="n">
        <f aca="false">IF(Withdrawal_Timing="Start of year",IF(H38&gt;=C38,1,0),IF(H38*(1+DD_Growth)&gt;=C38,1,0))</f>
        <v>1</v>
      </c>
    </row>
    <row r="39" customFormat="false" ht="15" hidden="false" customHeight="false" outlineLevel="0" collapsed="false">
      <c r="B39" s="63" t="n">
        <v>7</v>
      </c>
      <c r="C39" s="64" t="n">
        <f aca="false">C38*(1+Inflation_Choice)</f>
        <v>20000</v>
      </c>
      <c r="D39" s="64" t="n">
        <f aca="false">IF(E38=1,IF(Withdrawal_Timing="Start of year",(D38-C38)*(1+DD_Cautious),D38*(1+DD_Cautious)-C38),0)</f>
        <v>321779.30005632</v>
      </c>
      <c r="E39" s="63" t="n">
        <f aca="false">IF(Withdrawal_Timing="Start of year",IF(D39&gt;=C39,1,0),IF(D39*(1+DD_Cautious)&gt;=C39,1,0))</f>
        <v>1</v>
      </c>
      <c r="F39" s="64" t="n">
        <f aca="false">IF(G38=1,IF(Withdrawal_Timing="Start of year",(F38-C38)*(1+DD_Balanced),F38*(1+DD_Balanced)-C38),0)</f>
        <v>368161.71778048</v>
      </c>
      <c r="G39" s="63" t="n">
        <f aca="false">IF(Withdrawal_Timing="Start of year",IF(F39&gt;=C39,1,0),IF(F39*(1+DD_Balanced)&gt;=C39,1,0))</f>
        <v>1</v>
      </c>
      <c r="H39" s="64" t="n">
        <f aca="false">IF(I38=1,IF(Withdrawal_Timing="Start of year",(H38-C38)*(1+DD_Growth),H38*(1+DD_Growth)-C38),0)</f>
        <v>419530.89190528</v>
      </c>
      <c r="I39" s="63" t="n">
        <f aca="false">IF(Withdrawal_Timing="Start of year",IF(H39&gt;=C39,1,0),IF(H39*(1+DD_Growth)&gt;=C39,1,0))</f>
        <v>1</v>
      </c>
    </row>
    <row r="40" customFormat="false" ht="15" hidden="false" customHeight="false" outlineLevel="0" collapsed="false">
      <c r="B40" s="63" t="n">
        <v>8</v>
      </c>
      <c r="C40" s="64" t="n">
        <f aca="false">C39*(1+Inflation_Choice)</f>
        <v>20000</v>
      </c>
      <c r="D40" s="64" t="n">
        <f aca="false">IF(E39=1,IF(Withdrawal_Timing="Start of year",(D39-C39)*(1+DD_Cautious),D39*(1+DD_Cautious)-C39),0)</f>
        <v>307814.886057446</v>
      </c>
      <c r="E40" s="63" t="n">
        <f aca="false">IF(Withdrawal_Timing="Start of year",IF(D40&gt;=C40,1,0),IF(D40*(1+DD_Cautious)&gt;=C40,1,0))</f>
        <v>1</v>
      </c>
      <c r="F40" s="64" t="n">
        <f aca="false">IF(G39=1,IF(Withdrawal_Timing="Start of year",(F39-C39)*(1+DD_Balanced),F39*(1+DD_Balanced)-C39),0)</f>
        <v>362088.186491699</v>
      </c>
      <c r="G40" s="63" t="n">
        <f aca="false">IF(Withdrawal_Timing="Start of year",IF(F40&gt;=C40,1,0),IF(F40*(1+DD_Balanced)&gt;=C40,1,0))</f>
        <v>1</v>
      </c>
      <c r="H40" s="64" t="n">
        <f aca="false">IF(I39=1,IF(Withdrawal_Timing="Start of year",(H39-C39)*(1+DD_Growth),H39*(1+DD_Growth)-C39),0)</f>
        <v>423502.745419597</v>
      </c>
      <c r="I40" s="63" t="n">
        <f aca="false">IF(Withdrawal_Timing="Start of year",IF(H40&gt;=C40,1,0),IF(H40*(1+DD_Growth)&gt;=C40,1,0))</f>
        <v>1</v>
      </c>
    </row>
    <row r="41" customFormat="false" ht="15" hidden="false" customHeight="false" outlineLevel="0" collapsed="false">
      <c r="B41" s="63" t="n">
        <v>9</v>
      </c>
      <c r="C41" s="64" t="n">
        <f aca="false">C40*(1+Inflation_Choice)</f>
        <v>20000</v>
      </c>
      <c r="D41" s="64" t="n">
        <f aca="false">IF(E40=1,IF(Withdrawal_Timing="Start of year",(D40-C40)*(1+DD_Cautious),D40*(1+DD_Cautious)-C40),0)</f>
        <v>293571.183778595</v>
      </c>
      <c r="E41" s="63" t="n">
        <f aca="false">IF(Withdrawal_Timing="Start of year",IF(D41&gt;=C41,1,0),IF(D41*(1+DD_Cautious)&gt;=C41,1,0))</f>
        <v>1</v>
      </c>
      <c r="F41" s="64" t="n">
        <f aca="false">IF(G40=1,IF(Withdrawal_Timing="Start of year",(F40-C40)*(1+DD_Balanced),F40*(1+DD_Balanced)-C40),0)</f>
        <v>355771.713951367</v>
      </c>
      <c r="G41" s="63" t="n">
        <f aca="false">IF(Withdrawal_Timing="Start of year",IF(F41&gt;=C41,1,0),IF(F41*(1+DD_Balanced)&gt;=C41,1,0))</f>
        <v>1</v>
      </c>
      <c r="H41" s="64" t="n">
        <f aca="false">IF(I40=1,IF(Withdrawal_Timing="Start of year",(H40-C40)*(1+DD_Growth),H40*(1+DD_Growth)-C40),0)</f>
        <v>427712.910144773</v>
      </c>
      <c r="I41" s="63" t="n">
        <f aca="false">IF(Withdrawal_Timing="Start of year",IF(H41&gt;=C41,1,0),IF(H41*(1+DD_Growth)&gt;=C41,1,0))</f>
        <v>1</v>
      </c>
    </row>
    <row r="42" customFormat="false" ht="15" hidden="false" customHeight="false" outlineLevel="0" collapsed="false">
      <c r="B42" s="63" t="n">
        <v>10</v>
      </c>
      <c r="C42" s="64" t="n">
        <f aca="false">C41*(1+Inflation_Choice)</f>
        <v>20000</v>
      </c>
      <c r="D42" s="64" t="n">
        <f aca="false">IF(E41=1,IF(Withdrawal_Timing="Start of year",(D41-C41)*(1+DD_Cautious),D41*(1+DD_Cautious)-C41),0)</f>
        <v>279042.607454167</v>
      </c>
      <c r="E42" s="63" t="n">
        <f aca="false">IF(Withdrawal_Timing="Start of year",IF(D42&gt;=C42,1,0),IF(D42*(1+DD_Cautious)&gt;=C42,1,0))</f>
        <v>1</v>
      </c>
      <c r="F42" s="64" t="n">
        <f aca="false">IF(G41=1,IF(Withdrawal_Timing="Start of year",(F41-C41)*(1+DD_Balanced),F41*(1+DD_Balanced)-C41),0)</f>
        <v>349202.582509422</v>
      </c>
      <c r="G42" s="63" t="n">
        <f aca="false">IF(Withdrawal_Timing="Start of year",IF(F42&gt;=C42,1,0),IF(F42*(1+DD_Balanced)&gt;=C42,1,0))</f>
        <v>1</v>
      </c>
      <c r="H42" s="64" t="n">
        <f aca="false">IF(I41=1,IF(Withdrawal_Timing="Start of year",(H41-C41)*(1+DD_Growth),H41*(1+DD_Growth)-C41),0)</f>
        <v>432175.684753459</v>
      </c>
      <c r="I42" s="63" t="n">
        <f aca="false">IF(Withdrawal_Timing="Start of year",IF(H42&gt;=C42,1,0),IF(H42*(1+DD_Growth)&gt;=C42,1,0))</f>
        <v>1</v>
      </c>
    </row>
    <row r="43" customFormat="false" ht="15" hidden="false" customHeight="false" outlineLevel="0" collapsed="false">
      <c r="B43" s="63" t="n">
        <v>11</v>
      </c>
      <c r="C43" s="64" t="n">
        <f aca="false">C42*(1+Inflation_Choice)</f>
        <v>20000</v>
      </c>
      <c r="D43" s="64" t="n">
        <f aca="false">IF(E42=1,IF(Withdrawal_Timing="Start of year",(D42-C42)*(1+DD_Cautious),D42*(1+DD_Cautious)-C42),0)</f>
        <v>264223.459603251</v>
      </c>
      <c r="E43" s="63" t="n">
        <f aca="false">IF(Withdrawal_Timing="Start of year",IF(D43&gt;=C43,1,0),IF(D43*(1+DD_Cautious)&gt;=C43,1,0))</f>
        <v>1</v>
      </c>
      <c r="F43" s="64" t="n">
        <f aca="false">IF(G42=1,IF(Withdrawal_Timing="Start of year",(F42-C42)*(1+DD_Balanced),F42*(1+DD_Balanced)-C42),0)</f>
        <v>342370.685809799</v>
      </c>
      <c r="G43" s="63" t="n">
        <f aca="false">IF(Withdrawal_Timing="Start of year",IF(F43&gt;=C43,1,0),IF(F43*(1+DD_Balanced)&gt;=C43,1,0))</f>
        <v>1</v>
      </c>
      <c r="H43" s="64" t="n">
        <f aca="false">IF(I42=1,IF(Withdrawal_Timing="Start of year",(H42-C42)*(1+DD_Growth),H42*(1+DD_Growth)-C42),0)</f>
        <v>436906.225838667</v>
      </c>
      <c r="I43" s="63" t="n">
        <f aca="false">IF(Withdrawal_Timing="Start of year",IF(H43&gt;=C43,1,0),IF(H43*(1+DD_Growth)&gt;=C43,1,0))</f>
        <v>1</v>
      </c>
    </row>
    <row r="44" customFormat="false" ht="15" hidden="false" customHeight="false" outlineLevel="0" collapsed="false">
      <c r="B44" s="63" t="n">
        <v>12</v>
      </c>
      <c r="C44" s="64" t="n">
        <f aca="false">C43*(1+Inflation_Choice)</f>
        <v>20000</v>
      </c>
      <c r="D44" s="64" t="n">
        <f aca="false">IF(E43=1,IF(Withdrawal_Timing="Start of year",(D43-C43)*(1+DD_Cautious),D43*(1+DD_Cautious)-C43),0)</f>
        <v>249107.928795316</v>
      </c>
      <c r="E44" s="63" t="n">
        <f aca="false">IF(Withdrawal_Timing="Start of year",IF(D44&gt;=C44,1,0),IF(D44*(1+DD_Cautious)&gt;=C44,1,0))</f>
        <v>1</v>
      </c>
      <c r="F44" s="64" t="n">
        <f aca="false">IF(G43=1,IF(Withdrawal_Timing="Start of year",(F43-C43)*(1+DD_Balanced),F43*(1+DD_Balanced)-C43),0)</f>
        <v>335265.513242191</v>
      </c>
      <c r="G44" s="63" t="n">
        <f aca="false">IF(Withdrawal_Timing="Start of year",IF(F44&gt;=C44,1,0),IF(F44*(1+DD_Balanced)&gt;=C44,1,0))</f>
        <v>1</v>
      </c>
      <c r="H44" s="64" t="n">
        <f aca="false">IF(I43=1,IF(Withdrawal_Timing="Start of year",(H43-C43)*(1+DD_Growth),H43*(1+DD_Growth)-C43),0)</f>
        <v>441920.599388987</v>
      </c>
      <c r="I44" s="63" t="n">
        <f aca="false">IF(Withdrawal_Timing="Start of year",IF(H44&gt;=C44,1,0),IF(H44*(1+DD_Growth)&gt;=C44,1,0))</f>
        <v>1</v>
      </c>
    </row>
    <row r="45" customFormat="false" ht="15" hidden="false" customHeight="false" outlineLevel="0" collapsed="false">
      <c r="B45" s="63" t="n">
        <v>13</v>
      </c>
      <c r="C45" s="64" t="n">
        <f aca="false">C44*(1+Inflation_Choice)</f>
        <v>20000</v>
      </c>
      <c r="D45" s="64" t="n">
        <f aca="false">IF(E44=1,IF(Withdrawal_Timing="Start of year",(D44-C44)*(1+DD_Cautious),D44*(1+DD_Cautious)-C44),0)</f>
        <v>233690.087371222</v>
      </c>
      <c r="E45" s="63" t="n">
        <f aca="false">IF(Withdrawal_Timing="Start of year",IF(D45&gt;=C45,1,0),IF(D45*(1+DD_Cautious)&gt;=C45,1,0))</f>
        <v>1</v>
      </c>
      <c r="F45" s="64" t="n">
        <f aca="false">IF(G44=1,IF(Withdrawal_Timing="Start of year",(F44-C44)*(1+DD_Balanced),F44*(1+DD_Balanced)-C44),0)</f>
        <v>327876.133771879</v>
      </c>
      <c r="G45" s="63" t="n">
        <f aca="false">IF(Withdrawal_Timing="Start of year",IF(F45&gt;=C45,1,0),IF(F45*(1+DD_Balanced)&gt;=C45,1,0))</f>
        <v>1</v>
      </c>
      <c r="H45" s="64" t="n">
        <f aca="false">IF(I44=1,IF(Withdrawal_Timing="Start of year",(H44-C44)*(1+DD_Growth),H44*(1+DD_Growth)-C44),0)</f>
        <v>447235.835352326</v>
      </c>
      <c r="I45" s="63" t="n">
        <f aca="false">IF(Withdrawal_Timing="Start of year",IF(H45&gt;=C45,1,0),IF(H45*(1+DD_Growth)&gt;=C45,1,0))</f>
        <v>1</v>
      </c>
    </row>
    <row r="46" customFormat="false" ht="15" hidden="false" customHeight="false" outlineLevel="0" collapsed="false">
      <c r="B46" s="63" t="n">
        <v>14</v>
      </c>
      <c r="C46" s="64" t="n">
        <f aca="false">C45*(1+Inflation_Choice)</f>
        <v>20000</v>
      </c>
      <c r="D46" s="64" t="n">
        <f aca="false">IF(E45=1,IF(Withdrawal_Timing="Start of year",(D45-C45)*(1+DD_Cautious),D45*(1+DD_Cautious)-C45),0)</f>
        <v>217963.889118646</v>
      </c>
      <c r="E46" s="63" t="n">
        <f aca="false">IF(Withdrawal_Timing="Start of year",IF(D46&gt;=C46,1,0),IF(D46*(1+DD_Cautious)&gt;=C46,1,0))</f>
        <v>1</v>
      </c>
      <c r="F46" s="64" t="n">
        <f aca="false">IF(G45=1,IF(Withdrawal_Timing="Start of year",(F45-C45)*(1+DD_Balanced),F45*(1+DD_Balanced)-C45),0)</f>
        <v>320191.179122754</v>
      </c>
      <c r="G46" s="63" t="n">
        <f aca="false">IF(Withdrawal_Timing="Start of year",IF(F46&gt;=C46,1,0),IF(F46*(1+DD_Balanced)&gt;=C46,1,0))</f>
        <v>1</v>
      </c>
      <c r="H46" s="64" t="n">
        <f aca="false">IF(I45=1,IF(Withdrawal_Timing="Start of year",(H45-C45)*(1+DD_Growth),H45*(1+DD_Growth)-C45),0)</f>
        <v>452869.985473466</v>
      </c>
      <c r="I46" s="63" t="n">
        <f aca="false">IF(Withdrawal_Timing="Start of year",IF(H46&gt;=C46,1,0),IF(H46*(1+DD_Growth)&gt;=C46,1,0))</f>
        <v>1</v>
      </c>
    </row>
    <row r="47" customFormat="false" ht="15" hidden="false" customHeight="false" outlineLevel="0" collapsed="false">
      <c r="B47" s="63" t="n">
        <v>15</v>
      </c>
      <c r="C47" s="64" t="n">
        <f aca="false">C46*(1+Inflation_Choice)</f>
        <v>20000</v>
      </c>
      <c r="D47" s="64" t="n">
        <f aca="false">IF(E46=1,IF(Withdrawal_Timing="Start of year",(D46-C46)*(1+DD_Cautious),D46*(1+DD_Cautious)-C46),0)</f>
        <v>201923.166901019</v>
      </c>
      <c r="E47" s="63" t="n">
        <f aca="false">IF(Withdrawal_Timing="Start of year",IF(D47&gt;=C47,1,0),IF(D47*(1+DD_Cautious)&gt;=C47,1,0))</f>
        <v>1</v>
      </c>
      <c r="F47" s="64" t="n">
        <f aca="false">IF(G46=1,IF(Withdrawal_Timing="Start of year",(F46-C46)*(1+DD_Balanced),F46*(1+DD_Balanced)-C46),0)</f>
        <v>312198.826287664</v>
      </c>
      <c r="G47" s="63" t="n">
        <f aca="false">IF(Withdrawal_Timing="Start of year",IF(F47&gt;=C47,1,0),IF(F47*(1+DD_Balanced)&gt;=C47,1,0))</f>
        <v>1</v>
      </c>
      <c r="H47" s="64" t="n">
        <f aca="false">IF(I46=1,IF(Withdrawal_Timing="Start of year",(H46-C46)*(1+DD_Growth),H46*(1+DD_Growth)-C46),0)</f>
        <v>458842.184601874</v>
      </c>
      <c r="I47" s="63" t="n">
        <f aca="false">IF(Withdrawal_Timing="Start of year",IF(H47&gt;=C47,1,0),IF(H47*(1+DD_Growth)&gt;=C47,1,0))</f>
        <v>1</v>
      </c>
    </row>
    <row r="48" customFormat="false" ht="15" hidden="false" customHeight="false" outlineLevel="0" collapsed="false">
      <c r="B48" s="63" t="n">
        <v>16</v>
      </c>
      <c r="C48" s="64" t="n">
        <f aca="false">C47*(1+Inflation_Choice)</f>
        <v>20000</v>
      </c>
      <c r="D48" s="64" t="n">
        <f aca="false">IF(E47=1,IF(Withdrawal_Timing="Start of year",(D47-C47)*(1+DD_Cautious),D47*(1+DD_Cautious)-C47),0)</f>
        <v>185561.63023904</v>
      </c>
      <c r="E48" s="63" t="n">
        <f aca="false">IF(Withdrawal_Timing="Start of year",IF(D48&gt;=C48,1,0),IF(D48*(1+DD_Cautious)&gt;=C48,1,0))</f>
        <v>1</v>
      </c>
      <c r="F48" s="64" t="n">
        <f aca="false">IF(G47=1,IF(Withdrawal_Timing="Start of year",(F47-C47)*(1+DD_Balanced),F47*(1+DD_Balanced)-C47),0)</f>
        <v>303886.779339171</v>
      </c>
      <c r="G48" s="63" t="n">
        <f aca="false">IF(Withdrawal_Timing="Start of year",IF(F48&gt;=C48,1,0),IF(F48*(1+DD_Balanced)&gt;=C48,1,0))</f>
        <v>1</v>
      </c>
      <c r="H48" s="64" t="n">
        <f aca="false">IF(I47=1,IF(Withdrawal_Timing="Start of year",(H47-C47)*(1+DD_Growth),H47*(1+DD_Growth)-C47),0)</f>
        <v>465172.715677986</v>
      </c>
      <c r="I48" s="63" t="n">
        <f aca="false">IF(Withdrawal_Timing="Start of year",IF(H48&gt;=C48,1,0),IF(H48*(1+DD_Growth)&gt;=C48,1,0))</f>
        <v>1</v>
      </c>
    </row>
    <row r="49" customFormat="false" ht="15" hidden="false" customHeight="false" outlineLevel="0" collapsed="false">
      <c r="B49" s="63" t="n">
        <v>17</v>
      </c>
      <c r="C49" s="64" t="n">
        <f aca="false">C48*(1+Inflation_Choice)</f>
        <v>20000</v>
      </c>
      <c r="D49" s="64" t="n">
        <f aca="false">IF(E48=1,IF(Withdrawal_Timing="Start of year",(D48-C48)*(1+DD_Cautious),D48*(1+DD_Cautious)-C48),0)</f>
        <v>168872.86284382</v>
      </c>
      <c r="E49" s="63" t="n">
        <f aca="false">IF(Withdrawal_Timing="Start of year",IF(D49&gt;=C49,1,0),IF(D49*(1+DD_Cautious)&gt;=C49,1,0))</f>
        <v>1</v>
      </c>
      <c r="F49" s="64" t="n">
        <f aca="false">IF(G48=1,IF(Withdrawal_Timing="Start of year",(F48-C48)*(1+DD_Balanced),F48*(1+DD_Balanced)-C48),0)</f>
        <v>295242.250512737</v>
      </c>
      <c r="G49" s="63" t="n">
        <f aca="false">IF(Withdrawal_Timing="Start of year",IF(F49&gt;=C49,1,0),IF(F49*(1+DD_Balanced)&gt;=C49,1,0))</f>
        <v>1</v>
      </c>
      <c r="H49" s="64" t="n">
        <f aca="false">IF(I48=1,IF(Withdrawal_Timing="Start of year",(H48-C48)*(1+DD_Growth),H48*(1+DD_Growth)-C48),0)</f>
        <v>471883.078618665</v>
      </c>
      <c r="I49" s="63" t="n">
        <f aca="false">IF(Withdrawal_Timing="Start of year",IF(H49&gt;=C49,1,0),IF(H49*(1+DD_Growth)&gt;=C49,1,0))</f>
        <v>1</v>
      </c>
    </row>
    <row r="50" customFormat="false" ht="15" hidden="false" customHeight="false" outlineLevel="0" collapsed="false">
      <c r="B50" s="63" t="n">
        <v>18</v>
      </c>
      <c r="C50" s="64" t="n">
        <f aca="false">C49*(1+Inflation_Choice)</f>
        <v>20000</v>
      </c>
      <c r="D50" s="64" t="n">
        <f aca="false">IF(E49=1,IF(Withdrawal_Timing="Start of year",(D49-C49)*(1+DD_Cautious),D49*(1+DD_Cautious)-C49),0)</f>
        <v>151850.320100697</v>
      </c>
      <c r="E50" s="63" t="n">
        <f aca="false">IF(Withdrawal_Timing="Start of year",IF(D50&gt;=C50,1,0),IF(D50*(1+DD_Cautious)&gt;=C50,1,0))</f>
        <v>1</v>
      </c>
      <c r="F50" s="64" t="n">
        <f aca="false">IF(G49=1,IF(Withdrawal_Timing="Start of year",(F49-C49)*(1+DD_Balanced),F49*(1+DD_Balanced)-C49),0)</f>
        <v>286251.940533247</v>
      </c>
      <c r="G50" s="63" t="n">
        <f aca="false">IF(Withdrawal_Timing="Start of year",IF(F50&gt;=C50,1,0),IF(F50*(1+DD_Balanced)&gt;=C50,1,0))</f>
        <v>1</v>
      </c>
      <c r="H50" s="64" t="n">
        <f aca="false">IF(I49=1,IF(Withdrawal_Timing="Start of year",(H49-C49)*(1+DD_Growth),H49*(1+DD_Growth)-C49),0)</f>
        <v>478996.063335785</v>
      </c>
      <c r="I50" s="63" t="n">
        <f aca="false">IF(Withdrawal_Timing="Start of year",IF(H50&gt;=C50,1,0),IF(H50*(1+DD_Growth)&gt;=C50,1,0))</f>
        <v>1</v>
      </c>
    </row>
    <row r="51" customFormat="false" ht="15" hidden="false" customHeight="false" outlineLevel="0" collapsed="false">
      <c r="B51" s="63" t="n">
        <v>19</v>
      </c>
      <c r="C51" s="64" t="n">
        <f aca="false">C50*(1+Inflation_Choice)</f>
        <v>20000</v>
      </c>
      <c r="D51" s="64" t="n">
        <f aca="false">IF(E50=1,IF(Withdrawal_Timing="Start of year",(D50-C50)*(1+DD_Cautious),D50*(1+DD_Cautious)-C50),0)</f>
        <v>134487.326502711</v>
      </c>
      <c r="E51" s="63" t="n">
        <f aca="false">IF(Withdrawal_Timing="Start of year",IF(D51&gt;=C51,1,0),IF(D51*(1+DD_Cautious)&gt;=C51,1,0))</f>
        <v>1</v>
      </c>
      <c r="F51" s="64" t="n">
        <f aca="false">IF(G50=1,IF(Withdrawal_Timing="Start of year",(F50-C50)*(1+DD_Balanced),F50*(1+DD_Balanced)-C50),0)</f>
        <v>276902.018154577</v>
      </c>
      <c r="G51" s="63" t="n">
        <f aca="false">IF(Withdrawal_Timing="Start of year",IF(F51&gt;=C51,1,0),IF(F51*(1+DD_Balanced)&gt;=C51,1,0))</f>
        <v>1</v>
      </c>
      <c r="H51" s="64" t="n">
        <f aca="false">IF(I50=1,IF(Withdrawal_Timing="Start of year",(H50-C50)*(1+DD_Growth),H50*(1+DD_Growth)-C50),0)</f>
        <v>486535.827135932</v>
      </c>
      <c r="I51" s="63" t="n">
        <f aca="false">IF(Withdrawal_Timing="Start of year",IF(H51&gt;=C51,1,0),IF(H51*(1+DD_Growth)&gt;=C51,1,0))</f>
        <v>1</v>
      </c>
    </row>
    <row r="52" customFormat="false" ht="15" hidden="false" customHeight="false" outlineLevel="0" collapsed="false">
      <c r="B52" s="63" t="n">
        <v>20</v>
      </c>
      <c r="C52" s="64" t="n">
        <f aca="false">C51*(1+Inflation_Choice)</f>
        <v>20000</v>
      </c>
      <c r="D52" s="64" t="n">
        <f aca="false">IF(E51=1,IF(Withdrawal_Timing="Start of year",(D51-C51)*(1+DD_Cautious),D51*(1+DD_Cautious)-C51),0)</f>
        <v>116777.073032765</v>
      </c>
      <c r="E52" s="63" t="n">
        <f aca="false">IF(Withdrawal_Timing="Start of year",IF(D52&gt;=C52,1,0),IF(D52*(1+DD_Cautious)&gt;=C52,1,0))</f>
        <v>1</v>
      </c>
      <c r="F52" s="64" t="n">
        <f aca="false">IF(G51=1,IF(Withdrawal_Timing="Start of year",(F51-C51)*(1+DD_Balanced),F51*(1+DD_Balanced)-C51),0)</f>
        <v>267178.09888076</v>
      </c>
      <c r="G52" s="63" t="n">
        <f aca="false">IF(Withdrawal_Timing="Start of year",IF(F52&gt;=C52,1,0),IF(F52*(1+DD_Balanced)&gt;=C52,1,0))</f>
        <v>1</v>
      </c>
      <c r="H52" s="64" t="n">
        <f aca="false">IF(I51=1,IF(Withdrawal_Timing="Start of year",(H51-C51)*(1+DD_Growth),H51*(1+DD_Growth)-C51),0)</f>
        <v>494527.976764088</v>
      </c>
      <c r="I52" s="63" t="n">
        <f aca="false">IF(Withdrawal_Timing="Start of year",IF(H52&gt;=C52,1,0),IF(H52*(1+DD_Growth)&gt;=C52,1,0))</f>
        <v>1</v>
      </c>
    </row>
    <row r="53" customFormat="false" ht="15" hidden="false" customHeight="false" outlineLevel="0" collapsed="false">
      <c r="B53" s="63" t="n">
        <v>21</v>
      </c>
      <c r="C53" s="64" t="n">
        <f aca="false">C52*(1+Inflation_Choice)</f>
        <v>20000</v>
      </c>
      <c r="D53" s="64" t="n">
        <f aca="false">IF(E52=1,IF(Withdrawal_Timing="Start of year",(D52-C52)*(1+DD_Cautious),D52*(1+DD_Cautious)-C52),0)</f>
        <v>98712.6144934204</v>
      </c>
      <c r="E53" s="63" t="n">
        <f aca="false">IF(Withdrawal_Timing="Start of year",IF(D53&gt;=C53,1,0),IF(D53*(1+DD_Cautious)&gt;=C53,1,0))</f>
        <v>1</v>
      </c>
      <c r="F53" s="64" t="n">
        <f aca="false">IF(G52=1,IF(Withdrawal_Timing="Start of year",(F52-C52)*(1+DD_Balanced),F52*(1+DD_Balanced)-C52),0)</f>
        <v>257065.22283599</v>
      </c>
      <c r="G53" s="63" t="n">
        <f aca="false">IF(Withdrawal_Timing="Start of year",IF(F53&gt;=C53,1,0),IF(F53*(1+DD_Balanced)&gt;=C53,1,0))</f>
        <v>1</v>
      </c>
      <c r="H53" s="64" t="n">
        <f aca="false">IF(I52=1,IF(Withdrawal_Timing="Start of year",(H52-C52)*(1+DD_Growth),H52*(1+DD_Growth)-C52),0)</f>
        <v>502999.655369934</v>
      </c>
      <c r="I53" s="63" t="n">
        <f aca="false">IF(Withdrawal_Timing="Start of year",IF(H53&gt;=C53,1,0),IF(H53*(1+DD_Growth)&gt;=C53,1,0))</f>
        <v>1</v>
      </c>
    </row>
    <row r="54" customFormat="false" ht="15" hidden="false" customHeight="false" outlineLevel="0" collapsed="false">
      <c r="B54" s="63" t="n">
        <v>22</v>
      </c>
      <c r="C54" s="64" t="n">
        <f aca="false">C53*(1+Inflation_Choice)</f>
        <v>20000</v>
      </c>
      <c r="D54" s="64" t="n">
        <f aca="false">IF(E53=1,IF(Withdrawal_Timing="Start of year",(D53-C53)*(1+DD_Cautious),D53*(1+DD_Cautious)-C53),0)</f>
        <v>80286.8667832888</v>
      </c>
      <c r="E54" s="63" t="n">
        <f aca="false">IF(Withdrawal_Timing="Start of year",IF(D54&gt;=C54,1,0),IF(D54*(1+DD_Cautious)&gt;=C54,1,0))</f>
        <v>1</v>
      </c>
      <c r="F54" s="64" t="n">
        <f aca="false">IF(G53=1,IF(Withdrawal_Timing="Start of year",(F53-C53)*(1+DD_Balanced),F53*(1+DD_Balanced)-C53),0)</f>
        <v>246547.83174943</v>
      </c>
      <c r="G54" s="63" t="n">
        <f aca="false">IF(Withdrawal_Timing="Start of year",IF(F54&gt;=C54,1,0),IF(F54*(1+DD_Balanced)&gt;=C54,1,0))</f>
        <v>1</v>
      </c>
      <c r="H54" s="64" t="n">
        <f aca="false">IF(I53=1,IF(Withdrawal_Timing="Start of year",(H53-C53)*(1+DD_Growth),H53*(1+DD_Growth)-C53),0)</f>
        <v>511979.63469213</v>
      </c>
      <c r="I54" s="63" t="n">
        <f aca="false">IF(Withdrawal_Timing="Start of year",IF(H54&gt;=C54,1,0),IF(H54*(1+DD_Growth)&gt;=C54,1,0))</f>
        <v>1</v>
      </c>
    </row>
    <row r="55" customFormat="false" ht="15" hidden="false" customHeight="false" outlineLevel="0" collapsed="false">
      <c r="B55" s="63" t="n">
        <v>23</v>
      </c>
      <c r="C55" s="64" t="n">
        <f aca="false">C54*(1+Inflation_Choice)</f>
        <v>20000</v>
      </c>
      <c r="D55" s="64" t="n">
        <f aca="false">IF(E54=1,IF(Withdrawal_Timing="Start of year",(D54-C54)*(1+DD_Cautious),D54*(1+DD_Cautious)-C54),0)</f>
        <v>61492.6041189545</v>
      </c>
      <c r="E55" s="63" t="n">
        <f aca="false">IF(Withdrawal_Timing="Start of year",IF(D55&gt;=C55,1,0),IF(D55*(1+DD_Cautious)&gt;=C55,1,0))</f>
        <v>1</v>
      </c>
      <c r="F55" s="64" t="n">
        <f aca="false">IF(G54=1,IF(Withdrawal_Timing="Start of year",(F54-C54)*(1+DD_Balanced),F54*(1+DD_Balanced)-C54),0)</f>
        <v>235609.745019407</v>
      </c>
      <c r="G55" s="63" t="n">
        <f aca="false">IF(Withdrawal_Timing="Start of year",IF(F55&gt;=C55,1,0),IF(F55*(1+DD_Balanced)&gt;=C55,1,0))</f>
        <v>1</v>
      </c>
      <c r="H55" s="64" t="n">
        <f aca="false">IF(I54=1,IF(Withdrawal_Timing="Start of year",(H54-C54)*(1+DD_Growth),H54*(1+DD_Growth)-C54),0)</f>
        <v>521498.412773657</v>
      </c>
      <c r="I55" s="63" t="n">
        <f aca="false">IF(Withdrawal_Timing="Start of year",IF(H55&gt;=C55,1,0),IF(H55*(1+DD_Growth)&gt;=C55,1,0))</f>
        <v>1</v>
      </c>
    </row>
    <row r="56" customFormat="false" ht="15" hidden="false" customHeight="false" outlineLevel="0" collapsed="false">
      <c r="B56" s="63" t="n">
        <v>24</v>
      </c>
      <c r="C56" s="64" t="n">
        <f aca="false">C55*(1+Inflation_Choice)</f>
        <v>20000</v>
      </c>
      <c r="D56" s="64" t="n">
        <f aca="false">IF(E55=1,IF(Withdrawal_Timing="Start of year",(D55-C55)*(1+DD_Cautious),D55*(1+DD_Cautious)-C55),0)</f>
        <v>42322.4562013336</v>
      </c>
      <c r="E56" s="63" t="n">
        <f aca="false">IF(Withdrawal_Timing="Start of year",IF(D56&gt;=C56,1,0),IF(D56*(1+DD_Cautious)&gt;=C56,1,0))</f>
        <v>1</v>
      </c>
      <c r="F56" s="64" t="n">
        <f aca="false">IF(G55=1,IF(Withdrawal_Timing="Start of year",(F55-C55)*(1+DD_Balanced),F55*(1+DD_Balanced)-C55),0)</f>
        <v>224234.134820183</v>
      </c>
      <c r="G56" s="63" t="n">
        <f aca="false">IF(Withdrawal_Timing="Start of year",IF(F56&gt;=C56,1,0),IF(F56*(1+DD_Balanced)&gt;=C56,1,0))</f>
        <v>1</v>
      </c>
      <c r="H56" s="64" t="n">
        <f aca="false">IF(I55=1,IF(Withdrawal_Timing="Start of year",(H55-C55)*(1+DD_Growth),H55*(1+DD_Growth)-C55),0)</f>
        <v>531588.317540077</v>
      </c>
      <c r="I56" s="63" t="n">
        <f aca="false">IF(Withdrawal_Timing="Start of year",IF(H56&gt;=C56,1,0),IF(H56*(1+DD_Growth)&gt;=C56,1,0))</f>
        <v>1</v>
      </c>
    </row>
    <row r="57" customFormat="false" ht="15" hidden="false" customHeight="false" outlineLevel="0" collapsed="false">
      <c r="B57" s="63" t="n">
        <v>25</v>
      </c>
      <c r="C57" s="64" t="n">
        <f aca="false">C56*(1+Inflation_Choice)</f>
        <v>20000</v>
      </c>
      <c r="D57" s="64" t="n">
        <f aca="false">IF(E56=1,IF(Withdrawal_Timing="Start of year",(D56-C56)*(1+DD_Cautious),D56*(1+DD_Cautious)-C56),0)</f>
        <v>22768.9053253603</v>
      </c>
      <c r="E57" s="63" t="n">
        <f aca="false">IF(Withdrawal_Timing="Start of year",IF(D57&gt;=C57,1,0),IF(D57*(1+DD_Cautious)&gt;=C57,1,0))</f>
        <v>1</v>
      </c>
      <c r="F57" s="64" t="n">
        <f aca="false">IF(G56=1,IF(Withdrawal_Timing="Start of year",(F56-C56)*(1+DD_Balanced),F56*(1+DD_Balanced)-C56),0)</f>
        <v>212403.500212991</v>
      </c>
      <c r="G57" s="63" t="n">
        <f aca="false">IF(Withdrawal_Timing="Start of year",IF(F57&gt;=C57,1,0),IF(F57*(1+DD_Balanced)&gt;=C57,1,0))</f>
        <v>1</v>
      </c>
      <c r="H57" s="64" t="n">
        <f aca="false">IF(I56=1,IF(Withdrawal_Timing="Start of year",(H56-C56)*(1+DD_Growth),H56*(1+DD_Growth)-C56),0)</f>
        <v>542283.616592481</v>
      </c>
      <c r="I57" s="63" t="n">
        <f aca="false">IF(Withdrawal_Timing="Start of year",IF(H57&gt;=C57,1,0),IF(H57*(1+DD_Growth)&gt;=C57,1,0))</f>
        <v>1</v>
      </c>
    </row>
    <row r="58" customFormat="false" ht="15" hidden="false" customHeight="false" outlineLevel="0" collapsed="false">
      <c r="B58" s="63" t="n">
        <v>26</v>
      </c>
      <c r="C58" s="64" t="n">
        <f aca="false">C57*(1+Inflation_Choice)</f>
        <v>20000</v>
      </c>
      <c r="D58" s="64" t="n">
        <f aca="false">IF(E57=1,IF(Withdrawal_Timing="Start of year",(D57-C57)*(1+DD_Cautious),D57*(1+DD_Cautious)-C57),0)</f>
        <v>2824.2834318675</v>
      </c>
      <c r="E58" s="63" t="n">
        <f aca="false">IF(Withdrawal_Timing="Start of year",IF(D58&gt;=C58,1,0),IF(D58*(1+DD_Cautious)&gt;=C58,1,0))</f>
        <v>0</v>
      </c>
      <c r="F58" s="64" t="n">
        <f aca="false">IF(G57=1,IF(Withdrawal_Timing="Start of year",(F57-C57)*(1+DD_Balanced),F57*(1+DD_Balanced)-C57),0)</f>
        <v>200099.64022151</v>
      </c>
      <c r="G58" s="63" t="n">
        <f aca="false">IF(Withdrawal_Timing="Start of year",IF(F58&gt;=C58,1,0),IF(F58*(1+DD_Balanced)&gt;=C58,1,0))</f>
        <v>1</v>
      </c>
      <c r="H58" s="64" t="n">
        <f aca="false">IF(I57=1,IF(Withdrawal_Timing="Start of year",(H57-C57)*(1+DD_Growth),H57*(1+DD_Growth)-C57),0)</f>
        <v>553620.63358803</v>
      </c>
      <c r="I58" s="63" t="n">
        <f aca="false">IF(Withdrawal_Timing="Start of year",IF(H58&gt;=C58,1,0),IF(H58*(1+DD_Growth)&gt;=C58,1,0))</f>
        <v>1</v>
      </c>
    </row>
    <row r="59" customFormat="false" ht="15" hidden="false" customHeight="false" outlineLevel="0" collapsed="false">
      <c r="B59" s="63" t="n">
        <v>27</v>
      </c>
      <c r="C59" s="64" t="n">
        <f aca="false">C58*(1+Inflation_Choice)</f>
        <v>20000</v>
      </c>
      <c r="D59" s="64" t="n">
        <f aca="false">IF(E58=1,IF(Withdrawal_Timing="Start of year",(D58-C58)*(1+DD_Cautious),D58*(1+DD_Cautious)-C58),0)</f>
        <v>0</v>
      </c>
      <c r="E59" s="63" t="n">
        <f aca="false">IF(Withdrawal_Timing="Start of year",IF(D59&gt;=C59,1,0),IF(D59*(1+DD_Cautious)&gt;=C59,1,0))</f>
        <v>0</v>
      </c>
      <c r="F59" s="64" t="n">
        <f aca="false">IF(G58=1,IF(Withdrawal_Timing="Start of year",(F58-C58)*(1+DD_Balanced),F58*(1+DD_Balanced)-C58),0)</f>
        <v>187303.625830371</v>
      </c>
      <c r="G59" s="63" t="n">
        <f aca="false">IF(Withdrawal_Timing="Start of year",IF(F59&gt;=C59,1,0),IF(F59*(1+DD_Balanced)&gt;=C59,1,0))</f>
        <v>1</v>
      </c>
      <c r="H59" s="64" t="n">
        <f aca="false">IF(I58=1,IF(Withdrawal_Timing="Start of year",(H58-C58)*(1+DD_Growth),H58*(1+DD_Growth)-C58),0)</f>
        <v>565637.871603312</v>
      </c>
      <c r="I59" s="63" t="n">
        <f aca="false">IF(Withdrawal_Timing="Start of year",IF(H59&gt;=C59,1,0),IF(H59*(1+DD_Growth)&gt;=C59,1,0))</f>
        <v>1</v>
      </c>
    </row>
    <row r="60" customFormat="false" ht="15" hidden="false" customHeight="false" outlineLevel="0" collapsed="false">
      <c r="B60" s="63" t="n">
        <v>28</v>
      </c>
      <c r="C60" s="64" t="n">
        <f aca="false">C59*(1+Inflation_Choice)</f>
        <v>20000</v>
      </c>
      <c r="D60" s="64" t="n">
        <f aca="false">IF(E59=1,IF(Withdrawal_Timing="Start of year",(D59-C59)*(1+DD_Cautious),D59*(1+DD_Cautious)-C59),0)</f>
        <v>0</v>
      </c>
      <c r="E60" s="63" t="n">
        <f aca="false">IF(Withdrawal_Timing="Start of year",IF(D60&gt;=C60,1,0),IF(D60*(1+DD_Cautious)&gt;=C60,1,0))</f>
        <v>0</v>
      </c>
      <c r="F60" s="64" t="n">
        <f aca="false">IF(G59=1,IF(Withdrawal_Timing="Start of year",(F59-C59)*(1+DD_Balanced),F59*(1+DD_Balanced)-C59),0)</f>
        <v>173995.770863586</v>
      </c>
      <c r="G60" s="63" t="n">
        <f aca="false">IF(Withdrawal_Timing="Start of year",IF(F60&gt;=C60,1,0),IF(F60*(1+DD_Balanced)&gt;=C60,1,0))</f>
        <v>1</v>
      </c>
      <c r="H60" s="64" t="n">
        <f aca="false">IF(I59=1,IF(Withdrawal_Timing="Start of year",(H59-C59)*(1+DD_Growth),H59*(1+DD_Growth)-C59),0)</f>
        <v>578376.143899511</v>
      </c>
      <c r="I60" s="63" t="n">
        <f aca="false">IF(Withdrawal_Timing="Start of year",IF(H60&gt;=C60,1,0),IF(H60*(1+DD_Growth)&gt;=C60,1,0))</f>
        <v>1</v>
      </c>
    </row>
    <row r="61" customFormat="false" ht="15" hidden="false" customHeight="false" outlineLevel="0" collapsed="false">
      <c r="B61" s="63" t="n">
        <v>29</v>
      </c>
      <c r="C61" s="64" t="n">
        <f aca="false">C60*(1+Inflation_Choice)</f>
        <v>20000</v>
      </c>
      <c r="D61" s="64" t="n">
        <f aca="false">IF(E60=1,IF(Withdrawal_Timing="Start of year",(D60-C60)*(1+DD_Cautious),D60*(1+DD_Cautious)-C60),0)</f>
        <v>0</v>
      </c>
      <c r="E61" s="63" t="n">
        <f aca="false">IF(Withdrawal_Timing="Start of year",IF(D61&gt;=C61,1,0),IF(D61*(1+DD_Cautious)&gt;=C61,1,0))</f>
        <v>0</v>
      </c>
      <c r="F61" s="64" t="n">
        <f aca="false">IF(G60=1,IF(Withdrawal_Timing="Start of year",(F60-C60)*(1+DD_Balanced),F60*(1+DD_Balanced)-C60),0)</f>
        <v>160155.601698129</v>
      </c>
      <c r="G61" s="63" t="n">
        <f aca="false">IF(Withdrawal_Timing="Start of year",IF(F61&gt;=C61,1,0),IF(F61*(1+DD_Balanced)&gt;=C61,1,0))</f>
        <v>1</v>
      </c>
      <c r="H61" s="64" t="n">
        <f aca="false">IF(I60=1,IF(Withdrawal_Timing="Start of year",(H60-C60)*(1+DD_Growth),H60*(1+DD_Growth)-C60),0)</f>
        <v>591878.712533482</v>
      </c>
      <c r="I61" s="63" t="n">
        <f aca="false">IF(Withdrawal_Timing="Start of year",IF(H61&gt;=C61,1,0),IF(H61*(1+DD_Growth)&gt;=C61,1,0))</f>
        <v>1</v>
      </c>
    </row>
    <row r="62" customFormat="false" ht="15" hidden="false" customHeight="false" outlineLevel="0" collapsed="false">
      <c r="B62" s="63" t="n">
        <v>30</v>
      </c>
      <c r="C62" s="64" t="n">
        <f aca="false">C61*(1+Inflation_Choice)</f>
        <v>20000</v>
      </c>
      <c r="D62" s="64" t="n">
        <f aca="false">IF(E61=1,IF(Withdrawal_Timing="Start of year",(D61-C61)*(1+DD_Cautious),D61*(1+DD_Cautious)-C61),0)</f>
        <v>0</v>
      </c>
      <c r="E62" s="63" t="n">
        <f aca="false">IF(Withdrawal_Timing="Start of year",IF(D62&gt;=C62,1,0),IF(D62*(1+DD_Cautious)&gt;=C62,1,0))</f>
        <v>0</v>
      </c>
      <c r="F62" s="64" t="n">
        <f aca="false">IF(G61=1,IF(Withdrawal_Timing="Start of year",(F61-C61)*(1+DD_Balanced),F61*(1+DD_Balanced)-C61),0)</f>
        <v>145761.825766054</v>
      </c>
      <c r="G62" s="63" t="n">
        <f aca="false">IF(Withdrawal_Timing="Start of year",IF(F62&gt;=C62,1,0),IF(F62*(1+DD_Balanced)&gt;=C62,1,0))</f>
        <v>1</v>
      </c>
      <c r="H62" s="64" t="n">
        <f aca="false">IF(I61=1,IF(Withdrawal_Timing="Start of year",(H61-C61)*(1+DD_Growth),H61*(1+DD_Growth)-C61),0)</f>
        <v>606191.435285491</v>
      </c>
      <c r="I62" s="63" t="n">
        <f aca="false">IF(Withdrawal_Timing="Start of year",IF(H62&gt;=C62,1,0),IF(H62*(1+DD_Growth)&gt;=C62,1,0))</f>
        <v>1</v>
      </c>
    </row>
    <row r="63" customFormat="false" ht="15" hidden="false" customHeight="false" outlineLevel="0" collapsed="false">
      <c r="B63" s="63" t="n">
        <v>31</v>
      </c>
      <c r="C63" s="64" t="n">
        <f aca="false">C62*(1+Inflation_Choice)</f>
        <v>20000</v>
      </c>
      <c r="D63" s="64" t="n">
        <f aca="false">IF(E62=1,IF(Withdrawal_Timing="Start of year",(D62-C62)*(1+DD_Cautious),D62*(1+DD_Cautious)-C62),0)</f>
        <v>0</v>
      </c>
      <c r="E63" s="63" t="n">
        <f aca="false">IF(Withdrawal_Timing="Start of year",IF(D63&gt;=C63,1,0),IF(D63*(1+DD_Cautious)&gt;=C63,1,0))</f>
        <v>0</v>
      </c>
      <c r="F63" s="64" t="n">
        <f aca="false">IF(G62=1,IF(Withdrawal_Timing="Start of year",(F62-C62)*(1+DD_Balanced),F62*(1+DD_Balanced)-C62),0)</f>
        <v>130792.298796696</v>
      </c>
      <c r="G63" s="63" t="n">
        <f aca="false">IF(Withdrawal_Timing="Start of year",IF(F63&gt;=C63,1,0),IF(F63*(1+DD_Balanced)&gt;=C63,1,0))</f>
        <v>1</v>
      </c>
      <c r="H63" s="64" t="n">
        <f aca="false">IF(I62=1,IF(Withdrawal_Timing="Start of year",(H62-C62)*(1+DD_Growth),H62*(1+DD_Growth)-C62),0)</f>
        <v>621362.92140262</v>
      </c>
      <c r="I63" s="63" t="n">
        <f aca="false">IF(Withdrawal_Timing="Start of year",IF(H63&gt;=C63,1,0),IF(H63*(1+DD_Growth)&gt;=C63,1,0))</f>
        <v>1</v>
      </c>
    </row>
    <row r="64" customFormat="false" ht="15" hidden="false" customHeight="false" outlineLevel="0" collapsed="false">
      <c r="B64" s="63" t="n">
        <v>32</v>
      </c>
      <c r="C64" s="64" t="n">
        <f aca="false">C63*(1+Inflation_Choice)</f>
        <v>20000</v>
      </c>
      <c r="D64" s="64" t="n">
        <f aca="false">IF(E63=1,IF(Withdrawal_Timing="Start of year",(D63-C63)*(1+DD_Cautious),D63*(1+DD_Cautious)-C63),0)</f>
        <v>0</v>
      </c>
      <c r="E64" s="63" t="n">
        <f aca="false">IF(Withdrawal_Timing="Start of year",IF(D64&gt;=C64,1,0),IF(D64*(1+DD_Cautious)&gt;=C64,1,0))</f>
        <v>0</v>
      </c>
      <c r="F64" s="64" t="n">
        <f aca="false">IF(G63=1,IF(Withdrawal_Timing="Start of year",(F63-C63)*(1+DD_Balanced),F63*(1+DD_Balanced)-C63),0)</f>
        <v>115223.990748564</v>
      </c>
      <c r="G64" s="63" t="n">
        <f aca="false">IF(Withdrawal_Timing="Start of year",IF(F64&gt;=C64,1,0),IF(F64*(1+DD_Balanced)&gt;=C64,1,0))</f>
        <v>1</v>
      </c>
      <c r="H64" s="64" t="n">
        <f aca="false">IF(I63=1,IF(Withdrawal_Timing="Start of year",(H63-C63)*(1+DD_Growth),H63*(1+DD_Growth)-C63),0)</f>
        <v>637444.696686777</v>
      </c>
      <c r="I64" s="63" t="n">
        <f aca="false">IF(Withdrawal_Timing="Start of year",IF(H64&gt;=C64,1,0),IF(H64*(1+DD_Growth)&gt;=C64,1,0))</f>
        <v>1</v>
      </c>
    </row>
    <row r="65" customFormat="false" ht="15" hidden="false" customHeight="false" outlineLevel="0" collapsed="false">
      <c r="B65" s="63" t="n">
        <v>33</v>
      </c>
      <c r="C65" s="64" t="n">
        <f aca="false">C64*(1+Inflation_Choice)</f>
        <v>20000</v>
      </c>
      <c r="D65" s="64" t="n">
        <f aca="false">IF(E64=1,IF(Withdrawal_Timing="Start of year",(D64-C64)*(1+DD_Cautious),D64*(1+DD_Cautious)-C64),0)</f>
        <v>0</v>
      </c>
      <c r="E65" s="63" t="n">
        <f aca="false">IF(Withdrawal_Timing="Start of year",IF(D65&gt;=C65,1,0),IF(D65*(1+DD_Cautious)&gt;=C65,1,0))</f>
        <v>0</v>
      </c>
      <c r="F65" s="64" t="n">
        <f aca="false">IF(G64=1,IF(Withdrawal_Timing="Start of year",(F64-C64)*(1+DD_Balanced),F64*(1+DD_Balanced)-C64),0)</f>
        <v>99032.9503785067</v>
      </c>
      <c r="G65" s="63" t="n">
        <f aca="false">IF(Withdrawal_Timing="Start of year",IF(F65&gt;=C65,1,0),IF(F65*(1+DD_Balanced)&gt;=C65,1,0))</f>
        <v>1</v>
      </c>
      <c r="H65" s="64" t="n">
        <f aca="false">IF(I64=1,IF(Withdrawal_Timing="Start of year",(H64-C64)*(1+DD_Growth),H64*(1+DD_Growth)-C64),0)</f>
        <v>654491.378487984</v>
      </c>
      <c r="I65" s="63" t="n">
        <f aca="false">IF(Withdrawal_Timing="Start of year",IF(H65&gt;=C65,1,0),IF(H65*(1+DD_Growth)&gt;=C65,1,0))</f>
        <v>1</v>
      </c>
    </row>
    <row r="66" customFormat="false" ht="15" hidden="false" customHeight="false" outlineLevel="0" collapsed="false">
      <c r="B66" s="63" t="n">
        <v>34</v>
      </c>
      <c r="C66" s="64" t="n">
        <f aca="false">C65*(1+Inflation_Choice)</f>
        <v>20000</v>
      </c>
      <c r="D66" s="64" t="n">
        <f aca="false">IF(E65=1,IF(Withdrawal_Timing="Start of year",(D65-C65)*(1+DD_Cautious),D65*(1+DD_Cautious)-C65),0)</f>
        <v>0</v>
      </c>
      <c r="E66" s="63" t="n">
        <f aca="false">IF(Withdrawal_Timing="Start of year",IF(D66&gt;=C66,1,0),IF(D66*(1+DD_Cautious)&gt;=C66,1,0))</f>
        <v>0</v>
      </c>
      <c r="F66" s="64" t="n">
        <f aca="false">IF(G65=1,IF(Withdrawal_Timing="Start of year",(F65-C65)*(1+DD_Balanced),F65*(1+DD_Balanced)-C65),0)</f>
        <v>82194.2683936469</v>
      </c>
      <c r="G66" s="63" t="n">
        <f aca="false">IF(Withdrawal_Timing="Start of year",IF(F66&gt;=C66,1,0),IF(F66*(1+DD_Balanced)&gt;=C66,1,0))</f>
        <v>1</v>
      </c>
      <c r="H66" s="64" t="n">
        <f aca="false">IF(I65=1,IF(Withdrawal_Timing="Start of year",(H65-C65)*(1+DD_Growth),H65*(1+DD_Growth)-C65),0)</f>
        <v>672560.861197263</v>
      </c>
      <c r="I66" s="63" t="n">
        <f aca="false">IF(Withdrawal_Timing="Start of year",IF(H66&gt;=C66,1,0),IF(H66*(1+DD_Growth)&gt;=C66,1,0))</f>
        <v>1</v>
      </c>
    </row>
    <row r="67" customFormat="false" ht="15" hidden="false" customHeight="false" outlineLevel="0" collapsed="false">
      <c r="B67" s="63" t="n">
        <v>35</v>
      </c>
      <c r="C67" s="64" t="n">
        <f aca="false">C66*(1+Inflation_Choice)</f>
        <v>20000</v>
      </c>
      <c r="D67" s="64" t="n">
        <f aca="false">IF(E66=1,IF(Withdrawal_Timing="Start of year",(D66-C66)*(1+DD_Cautious),D66*(1+DD_Cautious)-C66),0)</f>
        <v>0</v>
      </c>
      <c r="E67" s="63" t="n">
        <f aca="false">IF(Withdrawal_Timing="Start of year",IF(D67&gt;=C67,1,0),IF(D67*(1+DD_Cautious)&gt;=C67,1,0))</f>
        <v>0</v>
      </c>
      <c r="F67" s="64" t="n">
        <f aca="false">IF(G66=1,IF(Withdrawal_Timing="Start of year",(F66-C66)*(1+DD_Balanced),F66*(1+DD_Balanced)-C66),0)</f>
        <v>64682.0391293928</v>
      </c>
      <c r="G67" s="63" t="n">
        <f aca="false">IF(Withdrawal_Timing="Start of year",IF(F67&gt;=C67,1,0),IF(F67*(1+DD_Balanced)&gt;=C67,1,0))</f>
        <v>1</v>
      </c>
      <c r="H67" s="64" t="n">
        <f aca="false">IF(I66=1,IF(Withdrawal_Timing="Start of year",(H66-C66)*(1+DD_Growth),H66*(1+DD_Growth)-C66),0)</f>
        <v>691714.512869099</v>
      </c>
      <c r="I67" s="63" t="n">
        <f aca="false">IF(Withdrawal_Timing="Start of year",IF(H67&gt;=C67,1,0),IF(H67*(1+DD_Growth)&gt;=C67,1,0))</f>
        <v>1</v>
      </c>
    </row>
    <row r="68" customFormat="false" ht="15" hidden="false" customHeight="false" outlineLevel="0" collapsed="false">
      <c r="B68" s="63" t="n">
        <v>36</v>
      </c>
      <c r="C68" s="64" t="n">
        <f aca="false">C67*(1+Inflation_Choice)</f>
        <v>20000</v>
      </c>
      <c r="D68" s="64" t="n">
        <f aca="false">IF(E67=1,IF(Withdrawal_Timing="Start of year",(D67-C67)*(1+DD_Cautious),D67*(1+DD_Cautious)-C67),0)</f>
        <v>0</v>
      </c>
      <c r="E68" s="63" t="n">
        <f aca="false">IF(Withdrawal_Timing="Start of year",IF(D68&gt;=C68,1,0),IF(D68*(1+DD_Cautious)&gt;=C68,1,0))</f>
        <v>0</v>
      </c>
      <c r="F68" s="64" t="n">
        <f aca="false">IF(G67=1,IF(Withdrawal_Timing="Start of year",(F67-C67)*(1+DD_Balanced),F67*(1+DD_Balanced)-C67),0)</f>
        <v>46469.3206945685</v>
      </c>
      <c r="G68" s="63" t="n">
        <f aca="false">IF(Withdrawal_Timing="Start of year",IF(F68&gt;=C68,1,0),IF(F68*(1+DD_Balanced)&gt;=C68,1,0))</f>
        <v>1</v>
      </c>
      <c r="H68" s="64" t="n">
        <f aca="false">IF(I67=1,IF(Withdrawal_Timing="Start of year",(H67-C67)*(1+DD_Growth),H67*(1+DD_Growth)-C67),0)</f>
        <v>712017.383641245</v>
      </c>
      <c r="I68" s="63" t="n">
        <f aca="false">IF(Withdrawal_Timing="Start of year",IF(H68&gt;=C68,1,0),IF(H68*(1+DD_Growth)&gt;=C68,1,0))</f>
        <v>1</v>
      </c>
    </row>
    <row r="69" customFormat="false" ht="15" hidden="false" customHeight="false" outlineLevel="0" collapsed="false">
      <c r="B69" s="63" t="n">
        <v>37</v>
      </c>
      <c r="C69" s="64" t="n">
        <f aca="false">C68*(1+Inflation_Choice)</f>
        <v>20000</v>
      </c>
      <c r="D69" s="64" t="n">
        <f aca="false">IF(E68=1,IF(Withdrawal_Timing="Start of year",(D68-C68)*(1+DD_Cautious),D68*(1+DD_Cautious)-C68),0)</f>
        <v>0</v>
      </c>
      <c r="E69" s="63" t="n">
        <f aca="false">IF(Withdrawal_Timing="Start of year",IF(D69&gt;=C69,1,0),IF(D69*(1+DD_Cautious)&gt;=C69,1,0))</f>
        <v>0</v>
      </c>
      <c r="F69" s="64" t="n">
        <f aca="false">IF(G68=1,IF(Withdrawal_Timing="Start of year",(F68-C68)*(1+DD_Balanced),F68*(1+DD_Balanced)-C68),0)</f>
        <v>27528.0935223513</v>
      </c>
      <c r="G69" s="63" t="n">
        <f aca="false">IF(Withdrawal_Timing="Start of year",IF(F69&gt;=C69,1,0),IF(F69*(1+DD_Balanced)&gt;=C69,1,0))</f>
        <v>1</v>
      </c>
      <c r="H69" s="64" t="n">
        <f aca="false">IF(I68=1,IF(Withdrawal_Timing="Start of year",(H68-C68)*(1+DD_Growth),H68*(1+DD_Growth)-C68),0)</f>
        <v>733538.426659719</v>
      </c>
      <c r="I69" s="63" t="n">
        <f aca="false">IF(Withdrawal_Timing="Start of year",IF(H69&gt;=C69,1,0),IF(H69*(1+DD_Growth)&gt;=C69,1,0))</f>
        <v>1</v>
      </c>
    </row>
    <row r="70" customFormat="false" ht="15" hidden="false" customHeight="false" outlineLevel="0" collapsed="false">
      <c r="B70" s="63" t="n">
        <v>38</v>
      </c>
      <c r="C70" s="64" t="n">
        <f aca="false">C69*(1+Inflation_Choice)</f>
        <v>20000</v>
      </c>
      <c r="D70" s="64" t="n">
        <f aca="false">IF(E69=1,IF(Withdrawal_Timing="Start of year",(D69-C69)*(1+DD_Cautious),D69*(1+DD_Cautious)-C69),0)</f>
        <v>0</v>
      </c>
      <c r="E70" s="63" t="n">
        <f aca="false">IF(Withdrawal_Timing="Start of year",IF(D70&gt;=C70,1,0),IF(D70*(1+DD_Cautious)&gt;=C70,1,0))</f>
        <v>0</v>
      </c>
      <c r="F70" s="64" t="n">
        <f aca="false">IF(G69=1,IF(Withdrawal_Timing="Start of year",(F69-C69)*(1+DD_Balanced),F69*(1+DD_Balanced)-C69),0)</f>
        <v>7829.21726324532</v>
      </c>
      <c r="G70" s="63" t="n">
        <f aca="false">IF(Withdrawal_Timing="Start of year",IF(F70&gt;=C70,1,0),IF(F70*(1+DD_Balanced)&gt;=C70,1,0))</f>
        <v>0</v>
      </c>
      <c r="H70" s="64" t="n">
        <f aca="false">IF(I69=1,IF(Withdrawal_Timing="Start of year",(H69-C69)*(1+DD_Growth),H69*(1+DD_Growth)-C69),0)</f>
        <v>756350.732259303</v>
      </c>
      <c r="I70" s="63" t="n">
        <f aca="false">IF(Withdrawal_Timing="Start of year",IF(H70&gt;=C70,1,0),IF(H70*(1+DD_Growth)&gt;=C70,1,0))</f>
        <v>1</v>
      </c>
    </row>
    <row r="71" customFormat="false" ht="15" hidden="false" customHeight="false" outlineLevel="0" collapsed="false">
      <c r="B71" s="63" t="n">
        <v>39</v>
      </c>
      <c r="C71" s="64" t="n">
        <f aca="false">C70*(1+Inflation_Choice)</f>
        <v>20000</v>
      </c>
      <c r="D71" s="64" t="n">
        <f aca="false">IF(E70=1,IF(Withdrawal_Timing="Start of year",(D70-C70)*(1+DD_Cautious),D70*(1+DD_Cautious)-C70),0)</f>
        <v>0</v>
      </c>
      <c r="E71" s="63" t="n">
        <f aca="false">IF(Withdrawal_Timing="Start of year",IF(D71&gt;=C71,1,0),IF(D71*(1+DD_Cautious)&gt;=C71,1,0))</f>
        <v>0</v>
      </c>
      <c r="F71" s="64" t="n">
        <f aca="false">IF(G70=1,IF(Withdrawal_Timing="Start of year",(F70-C70)*(1+DD_Balanced),F70*(1+DD_Balanced)-C70),0)</f>
        <v>0</v>
      </c>
      <c r="G71" s="63" t="n">
        <f aca="false">IF(Withdrawal_Timing="Start of year",IF(F71&gt;=C71,1,0),IF(F71*(1+DD_Balanced)&gt;=C71,1,0))</f>
        <v>0</v>
      </c>
      <c r="H71" s="64" t="n">
        <f aca="false">IF(I70=1,IF(Withdrawal_Timing="Start of year",(H70-C70)*(1+DD_Growth),H70*(1+DD_Growth)-C70),0)</f>
        <v>780531.776194861</v>
      </c>
      <c r="I71" s="63" t="n">
        <f aca="false">IF(Withdrawal_Timing="Start of year",IF(H71&gt;=C71,1,0),IF(H71*(1+DD_Growth)&gt;=C71,1,0))</f>
        <v>1</v>
      </c>
    </row>
    <row r="72" customFormat="false" ht="15" hidden="false" customHeight="false" outlineLevel="0" collapsed="false">
      <c r="B72" s="63" t="n">
        <v>40</v>
      </c>
      <c r="C72" s="64" t="n">
        <f aca="false">C71*(1+Inflation_Choice)</f>
        <v>20000</v>
      </c>
      <c r="D72" s="64" t="n">
        <f aca="false">IF(E71=1,IF(Withdrawal_Timing="Start of year",(D71-C71)*(1+DD_Cautious),D71*(1+DD_Cautious)-C71),0)</f>
        <v>0</v>
      </c>
      <c r="E72" s="63" t="n">
        <f aca="false">IF(Withdrawal_Timing="Start of year",IF(D72&gt;=C72,1,0),IF(D72*(1+DD_Cautious)&gt;=C72,1,0))</f>
        <v>0</v>
      </c>
      <c r="F72" s="64" t="n">
        <f aca="false">IF(G71=1,IF(Withdrawal_Timing="Start of year",(F71-C71)*(1+DD_Balanced),F71*(1+DD_Balanced)-C71),0)</f>
        <v>0</v>
      </c>
      <c r="G72" s="63" t="n">
        <f aca="false">IF(Withdrawal_Timing="Start of year",IF(F72&gt;=C72,1,0),IF(F72*(1+DD_Balanced)&gt;=C72,1,0))</f>
        <v>0</v>
      </c>
      <c r="H72" s="64" t="n">
        <f aca="false">IF(I71=1,IF(Withdrawal_Timing="Start of year",(H71-C71)*(1+DD_Growth),H71*(1+DD_Growth)-C71),0)</f>
        <v>806163.682766552</v>
      </c>
      <c r="I72" s="63" t="n">
        <f aca="false">IF(Withdrawal_Timing="Start of year",IF(H72&gt;=C72,1,0),IF(H72*(1+DD_Growth)&gt;=C72,1,0))</f>
        <v>1</v>
      </c>
    </row>
    <row r="73" customFormat="false" ht="15" hidden="false" customHeight="false" outlineLevel="0" collapsed="false">
      <c r="B73" s="63" t="n">
        <v>41</v>
      </c>
      <c r="C73" s="64" t="n">
        <f aca="false">C72*(1+Inflation_Choice)</f>
        <v>20000</v>
      </c>
      <c r="D73" s="64" t="n">
        <f aca="false">IF(E72=1,IF(Withdrawal_Timing="Start of year",(D72-C72)*(1+DD_Cautious),D72*(1+DD_Cautious)-C72),0)</f>
        <v>0</v>
      </c>
      <c r="E73" s="63" t="n">
        <f aca="false">IF(Withdrawal_Timing="Start of year",IF(D73&gt;=C73,1,0),IF(D73*(1+DD_Cautious)&gt;=C73,1,0))</f>
        <v>0</v>
      </c>
      <c r="F73" s="64" t="n">
        <f aca="false">IF(G72=1,IF(Withdrawal_Timing="Start of year",(F72-C72)*(1+DD_Balanced),F72*(1+DD_Balanced)-C72),0)</f>
        <v>0</v>
      </c>
      <c r="G73" s="63" t="n">
        <f aca="false">IF(Withdrawal_Timing="Start of year",IF(F73&gt;=C73,1,0),IF(F73*(1+DD_Balanced)&gt;=C73,1,0))</f>
        <v>0</v>
      </c>
      <c r="H73" s="64" t="n">
        <f aca="false">IF(I72=1,IF(Withdrawal_Timing="Start of year",(H72-C72)*(1+DD_Growth),H72*(1+DD_Growth)-C72),0)</f>
        <v>833333.503732546</v>
      </c>
      <c r="I73" s="63" t="n">
        <f aca="false">IF(Withdrawal_Timing="Start of year",IF(H73&gt;=C73,1,0),IF(H73*(1+DD_Growth)&gt;=C73,1,0))</f>
        <v>1</v>
      </c>
    </row>
    <row r="74" customFormat="false" ht="15" hidden="false" customHeight="false" outlineLevel="0" collapsed="false">
      <c r="B74" s="63" t="n">
        <v>42</v>
      </c>
      <c r="C74" s="64" t="n">
        <f aca="false">C73*(1+Inflation_Choice)</f>
        <v>20000</v>
      </c>
      <c r="D74" s="64" t="n">
        <f aca="false">IF(E73=1,IF(Withdrawal_Timing="Start of year",(D73-C73)*(1+DD_Cautious),D73*(1+DD_Cautious)-C73),0)</f>
        <v>0</v>
      </c>
      <c r="E74" s="63" t="n">
        <f aca="false">IF(Withdrawal_Timing="Start of year",IF(D74&gt;=C74,1,0),IF(D74*(1+DD_Cautious)&gt;=C74,1,0))</f>
        <v>0</v>
      </c>
      <c r="F74" s="64" t="n">
        <f aca="false">IF(G73=1,IF(Withdrawal_Timing="Start of year",(F73-C73)*(1+DD_Balanced),F73*(1+DD_Balanced)-C73),0)</f>
        <v>0</v>
      </c>
      <c r="G74" s="63" t="n">
        <f aca="false">IF(Withdrawal_Timing="Start of year",IF(F74&gt;=C74,1,0),IF(F74*(1+DD_Balanced)&gt;=C74,1,0))</f>
        <v>0</v>
      </c>
      <c r="H74" s="64" t="n">
        <f aca="false">IF(I73=1,IF(Withdrawal_Timing="Start of year",(H73-C73)*(1+DD_Growth),H73*(1+DD_Growth)-C73),0)</f>
        <v>862133.513956499</v>
      </c>
      <c r="I74" s="63" t="n">
        <f aca="false">IF(Withdrawal_Timing="Start of year",IF(H74&gt;=C74,1,0),IF(H74*(1+DD_Growth)&gt;=C74,1,0))</f>
        <v>1</v>
      </c>
    </row>
    <row r="75" customFormat="false" ht="15" hidden="false" customHeight="false" outlineLevel="0" collapsed="false">
      <c r="B75" s="63" t="n">
        <v>43</v>
      </c>
      <c r="C75" s="64" t="n">
        <f aca="false">C74*(1+Inflation_Choice)</f>
        <v>20000</v>
      </c>
      <c r="D75" s="64" t="n">
        <f aca="false">IF(E74=1,IF(Withdrawal_Timing="Start of year",(D74-C74)*(1+DD_Cautious),D74*(1+DD_Cautious)-C74),0)</f>
        <v>0</v>
      </c>
      <c r="E75" s="63" t="n">
        <f aca="false">IF(Withdrawal_Timing="Start of year",IF(D75&gt;=C75,1,0),IF(D75*(1+DD_Cautious)&gt;=C75,1,0))</f>
        <v>0</v>
      </c>
      <c r="F75" s="64" t="n">
        <f aca="false">IF(G74=1,IF(Withdrawal_Timing="Start of year",(F74-C74)*(1+DD_Balanced),F74*(1+DD_Balanced)-C74),0)</f>
        <v>0</v>
      </c>
      <c r="G75" s="63" t="n">
        <f aca="false">IF(Withdrawal_Timing="Start of year",IF(F75&gt;=C75,1,0),IF(F75*(1+DD_Balanced)&gt;=C75,1,0))</f>
        <v>0</v>
      </c>
      <c r="H75" s="64" t="n">
        <f aca="false">IF(I74=1,IF(Withdrawal_Timing="Start of year",(H74-C74)*(1+DD_Growth),H74*(1+DD_Growth)-C74),0)</f>
        <v>892661.524793888</v>
      </c>
      <c r="I75" s="63" t="n">
        <f aca="false">IF(Withdrawal_Timing="Start of year",IF(H75&gt;=C75,1,0),IF(H75*(1+DD_Growth)&gt;=C75,1,0))</f>
        <v>1</v>
      </c>
    </row>
    <row r="76" customFormat="false" ht="15" hidden="false" customHeight="false" outlineLevel="0" collapsed="false">
      <c r="B76" s="63" t="n">
        <v>44</v>
      </c>
      <c r="C76" s="64" t="n">
        <f aca="false">C75*(1+Inflation_Choice)</f>
        <v>20000</v>
      </c>
      <c r="D76" s="64" t="n">
        <f aca="false">IF(E75=1,IF(Withdrawal_Timing="Start of year",(D75-C75)*(1+DD_Cautious),D75*(1+DD_Cautious)-C75),0)</f>
        <v>0</v>
      </c>
      <c r="E76" s="63" t="n">
        <f aca="false">IF(Withdrawal_Timing="Start of year",IF(D76&gt;=C76,1,0),IF(D76*(1+DD_Cautious)&gt;=C76,1,0))</f>
        <v>0</v>
      </c>
      <c r="F76" s="64" t="n">
        <f aca="false">IF(G75=1,IF(Withdrawal_Timing="Start of year",(F75-C75)*(1+DD_Balanced),F75*(1+DD_Balanced)-C75),0)</f>
        <v>0</v>
      </c>
      <c r="G76" s="63" t="n">
        <f aca="false">IF(Withdrawal_Timing="Start of year",IF(F76&gt;=C76,1,0),IF(F76*(1+DD_Balanced)&gt;=C76,1,0))</f>
        <v>0</v>
      </c>
      <c r="H76" s="64" t="n">
        <f aca="false">IF(I75=1,IF(Withdrawal_Timing="Start of year",(H75-C75)*(1+DD_Growth),H75*(1+DD_Growth)-C75),0)</f>
        <v>925021.216281522</v>
      </c>
      <c r="I76" s="63" t="n">
        <f aca="false">IF(Withdrawal_Timing="Start of year",IF(H76&gt;=C76,1,0),IF(H76*(1+DD_Growth)&gt;=C76,1,0))</f>
        <v>1</v>
      </c>
    </row>
    <row r="77" customFormat="false" ht="15" hidden="false" customHeight="false" outlineLevel="0" collapsed="false">
      <c r="B77" s="63" t="n">
        <v>45</v>
      </c>
      <c r="C77" s="64" t="n">
        <f aca="false">C76*(1+Inflation_Choice)</f>
        <v>20000</v>
      </c>
      <c r="D77" s="64" t="n">
        <f aca="false">IF(E76=1,IF(Withdrawal_Timing="Start of year",(D76-C76)*(1+DD_Cautious),D76*(1+DD_Cautious)-C76),0)</f>
        <v>0</v>
      </c>
      <c r="E77" s="63" t="n">
        <f aca="false">IF(Withdrawal_Timing="Start of year",IF(D77&gt;=C77,1,0),IF(D77*(1+DD_Cautious)&gt;=C77,1,0))</f>
        <v>0</v>
      </c>
      <c r="F77" s="64" t="n">
        <f aca="false">IF(G76=1,IF(Withdrawal_Timing="Start of year",(F76-C76)*(1+DD_Balanced),F76*(1+DD_Balanced)-C76),0)</f>
        <v>0</v>
      </c>
      <c r="G77" s="63" t="n">
        <f aca="false">IF(Withdrawal_Timing="Start of year",IF(F77&gt;=C77,1,0),IF(F77*(1+DD_Balanced)&gt;=C77,1,0))</f>
        <v>0</v>
      </c>
      <c r="H77" s="64" t="n">
        <f aca="false">IF(I76=1,IF(Withdrawal_Timing="Start of year",(H76-C76)*(1+DD_Growth),H76*(1+DD_Growth)-C76),0)</f>
        <v>959322.489258413</v>
      </c>
      <c r="I77" s="63" t="n">
        <f aca="false">IF(Withdrawal_Timing="Start of year",IF(H77&gt;=C77,1,0),IF(H77*(1+DD_Growth)&gt;=C77,1,0))</f>
        <v>1</v>
      </c>
    </row>
    <row r="78" customFormat="false" ht="15" hidden="false" customHeight="false" outlineLevel="0" collapsed="false">
      <c r="B78" s="63" t="n">
        <v>46</v>
      </c>
      <c r="C78" s="64" t="n">
        <f aca="false">C77*(1+Inflation_Choice)</f>
        <v>20000</v>
      </c>
      <c r="D78" s="64" t="n">
        <f aca="false">IF(E77=1,IF(Withdrawal_Timing="Start of year",(D77-C77)*(1+DD_Cautious),D77*(1+DD_Cautious)-C77),0)</f>
        <v>0</v>
      </c>
      <c r="E78" s="63" t="n">
        <f aca="false">IF(Withdrawal_Timing="Start of year",IF(D78&gt;=C78,1,0),IF(D78*(1+DD_Cautious)&gt;=C78,1,0))</f>
        <v>0</v>
      </c>
      <c r="F78" s="64" t="n">
        <f aca="false">IF(G77=1,IF(Withdrawal_Timing="Start of year",(F77-C77)*(1+DD_Balanced),F77*(1+DD_Balanced)-C77),0)</f>
        <v>0</v>
      </c>
      <c r="G78" s="63" t="n">
        <f aca="false">IF(Withdrawal_Timing="Start of year",IF(F78&gt;=C78,1,0),IF(F78*(1+DD_Balanced)&gt;=C78,1,0))</f>
        <v>0</v>
      </c>
      <c r="H78" s="64" t="n">
        <f aca="false">IF(I77=1,IF(Withdrawal_Timing="Start of year",(H77-C77)*(1+DD_Growth),H77*(1+DD_Growth)-C77),0)</f>
        <v>995681.838613918</v>
      </c>
      <c r="I78" s="63" t="n">
        <f aca="false">IF(Withdrawal_Timing="Start of year",IF(H78&gt;=C78,1,0),IF(H78*(1+DD_Growth)&gt;=C78,1,0))</f>
        <v>1</v>
      </c>
    </row>
    <row r="79" customFormat="false" ht="15" hidden="false" customHeight="false" outlineLevel="0" collapsed="false">
      <c r="B79" s="63" t="n">
        <v>47</v>
      </c>
      <c r="C79" s="64" t="n">
        <f aca="false">C78*(1+Inflation_Choice)</f>
        <v>20000</v>
      </c>
      <c r="D79" s="64" t="n">
        <f aca="false">IF(E78=1,IF(Withdrawal_Timing="Start of year",(D78-C78)*(1+DD_Cautious),D78*(1+DD_Cautious)-C78),0)</f>
        <v>0</v>
      </c>
      <c r="E79" s="63" t="n">
        <f aca="false">IF(Withdrawal_Timing="Start of year",IF(D79&gt;=C79,1,0),IF(D79*(1+DD_Cautious)&gt;=C79,1,0))</f>
        <v>0</v>
      </c>
      <c r="F79" s="64" t="n">
        <f aca="false">IF(G78=1,IF(Withdrawal_Timing="Start of year",(F78-C78)*(1+DD_Balanced),F78*(1+DD_Balanced)-C78),0)</f>
        <v>0</v>
      </c>
      <c r="G79" s="63" t="n">
        <f aca="false">IF(Withdrawal_Timing="Start of year",IF(F79&gt;=C79,1,0),IF(F79*(1+DD_Balanced)&gt;=C79,1,0))</f>
        <v>0</v>
      </c>
      <c r="H79" s="64" t="n">
        <f aca="false">IF(I78=1,IF(Withdrawal_Timing="Start of year",(H78-C78)*(1+DD_Growth),H78*(1+DD_Growth)-C78),0)</f>
        <v>1034222.74893075</v>
      </c>
      <c r="I79" s="63" t="n">
        <f aca="false">IF(Withdrawal_Timing="Start of year",IF(H79&gt;=C79,1,0),IF(H79*(1+DD_Growth)&gt;=C79,1,0))</f>
        <v>1</v>
      </c>
    </row>
    <row r="80" customFormat="false" ht="15" hidden="false" customHeight="false" outlineLevel="0" collapsed="false">
      <c r="B80" s="63" t="n">
        <v>48</v>
      </c>
      <c r="C80" s="64" t="n">
        <f aca="false">C79*(1+Inflation_Choice)</f>
        <v>20000</v>
      </c>
      <c r="D80" s="64" t="n">
        <f aca="false">IF(E79=1,IF(Withdrawal_Timing="Start of year",(D79-C79)*(1+DD_Cautious),D79*(1+DD_Cautious)-C79),0)</f>
        <v>0</v>
      </c>
      <c r="E80" s="63" t="n">
        <f aca="false">IF(Withdrawal_Timing="Start of year",IF(D80&gt;=C80,1,0),IF(D80*(1+DD_Cautious)&gt;=C80,1,0))</f>
        <v>0</v>
      </c>
      <c r="F80" s="64" t="n">
        <f aca="false">IF(G79=1,IF(Withdrawal_Timing="Start of year",(F79-C79)*(1+DD_Balanced),F79*(1+DD_Balanced)-C79),0)</f>
        <v>0</v>
      </c>
      <c r="G80" s="63" t="n">
        <f aca="false">IF(Withdrawal_Timing="Start of year",IF(F80&gt;=C80,1,0),IF(F80*(1+DD_Balanced)&gt;=C80,1,0))</f>
        <v>0</v>
      </c>
      <c r="H80" s="64" t="n">
        <f aca="false">IF(I79=1,IF(Withdrawal_Timing="Start of year",(H79-C79)*(1+DD_Growth),H79*(1+DD_Growth)-C79),0)</f>
        <v>1075076.1138666</v>
      </c>
      <c r="I80" s="63" t="n">
        <f aca="false">IF(Withdrawal_Timing="Start of year",IF(H80&gt;=C80,1,0),IF(H80*(1+DD_Growth)&gt;=C80,1,0))</f>
        <v>1</v>
      </c>
    </row>
    <row r="81" customFormat="false" ht="15" hidden="false" customHeight="false" outlineLevel="0" collapsed="false">
      <c r="B81" s="63" t="n">
        <v>49</v>
      </c>
      <c r="C81" s="64" t="n">
        <f aca="false">C80*(1+Inflation_Choice)</f>
        <v>20000</v>
      </c>
      <c r="D81" s="64" t="n">
        <f aca="false">IF(E80=1,IF(Withdrawal_Timing="Start of year",(D80-C80)*(1+DD_Cautious),D80*(1+DD_Cautious)-C80),0)</f>
        <v>0</v>
      </c>
      <c r="E81" s="63" t="n">
        <f aca="false">IF(Withdrawal_Timing="Start of year",IF(D81&gt;=C81,1,0),IF(D81*(1+DD_Cautious)&gt;=C81,1,0))</f>
        <v>0</v>
      </c>
      <c r="F81" s="64" t="n">
        <f aca="false">IF(G80=1,IF(Withdrawal_Timing="Start of year",(F80-C80)*(1+DD_Balanced),F80*(1+DD_Balanced)-C80),0)</f>
        <v>0</v>
      </c>
      <c r="G81" s="63" t="n">
        <f aca="false">IF(Withdrawal_Timing="Start of year",IF(F81&gt;=C81,1,0),IF(F81*(1+DD_Balanced)&gt;=C81,1,0))</f>
        <v>0</v>
      </c>
      <c r="H81" s="64" t="n">
        <f aca="false">IF(I80=1,IF(Withdrawal_Timing="Start of year",(H80-C80)*(1+DD_Growth),H80*(1+DD_Growth)-C80),0)</f>
        <v>1118380.68069859</v>
      </c>
      <c r="I81" s="63" t="n">
        <f aca="false">IF(Withdrawal_Timing="Start of year",IF(H81&gt;=C81,1,0),IF(H81*(1+DD_Growth)&gt;=C81,1,0))</f>
        <v>1</v>
      </c>
    </row>
    <row r="82" customFormat="false" ht="15" hidden="false" customHeight="false" outlineLevel="0" collapsed="false">
      <c r="B82" s="63" t="n">
        <v>50</v>
      </c>
      <c r="C82" s="64" t="n">
        <f aca="false">C81*(1+Inflation_Choice)</f>
        <v>20000</v>
      </c>
      <c r="D82" s="64" t="n">
        <f aca="false">IF(E81=1,IF(Withdrawal_Timing="Start of year",(D81-C81)*(1+DD_Cautious),D81*(1+DD_Cautious)-C81),0)</f>
        <v>0</v>
      </c>
      <c r="E82" s="63" t="n">
        <f aca="false">IF(Withdrawal_Timing="Start of year",IF(D82&gt;=C82,1,0),IF(D82*(1+DD_Cautious)&gt;=C82,1,0))</f>
        <v>0</v>
      </c>
      <c r="F82" s="64" t="n">
        <f aca="false">IF(G81=1,IF(Withdrawal_Timing="Start of year",(F81-C81)*(1+DD_Balanced),F81*(1+DD_Balanced)-C81),0)</f>
        <v>0</v>
      </c>
      <c r="G82" s="63" t="n">
        <f aca="false">IF(Withdrawal_Timing="Start of year",IF(F82&gt;=C82,1,0),IF(F82*(1+DD_Balanced)&gt;=C82,1,0))</f>
        <v>0</v>
      </c>
      <c r="H82" s="64" t="n">
        <f aca="false">IF(I81=1,IF(Withdrawal_Timing="Start of year",(H81-C81)*(1+DD_Growth),H81*(1+DD_Growth)-C81),0)</f>
        <v>1164283.52154051</v>
      </c>
      <c r="I82" s="63" t="n">
        <f aca="false">IF(Withdrawal_Timing="Start of year",IF(H82&gt;=C82,1,0),IF(H82*(1+DD_Growth)&gt;=C82,1,0))</f>
        <v>1</v>
      </c>
    </row>
    <row r="83" customFormat="false" ht="15" hidden="false" customHeight="false" outlineLevel="0" collapsed="false">
      <c r="B83" s="63" t="n">
        <v>51</v>
      </c>
      <c r="C83" s="64" t="n">
        <f aca="false">C82*(1+Inflation_Choice)</f>
        <v>20000</v>
      </c>
      <c r="D83" s="64" t="n">
        <f aca="false">IF(E82=1,IF(Withdrawal_Timing="Start of year",(D82-C82)*(1+DD_Cautious),D82*(1+DD_Cautious)-C82),0)</f>
        <v>0</v>
      </c>
      <c r="E83" s="63" t="n">
        <f aca="false">IF(Withdrawal_Timing="Start of year",IF(D83&gt;=C83,1,0),IF(D83*(1+DD_Cautious)&gt;=C83,1,0))</f>
        <v>0</v>
      </c>
      <c r="F83" s="64" t="n">
        <f aca="false">IF(G82=1,IF(Withdrawal_Timing="Start of year",(F82-C82)*(1+DD_Balanced),F82*(1+DD_Balanced)-C82),0)</f>
        <v>0</v>
      </c>
      <c r="G83" s="63" t="n">
        <f aca="false">IF(Withdrawal_Timing="Start of year",IF(F83&gt;=C83,1,0),IF(F83*(1+DD_Balanced)&gt;=C83,1,0))</f>
        <v>0</v>
      </c>
      <c r="H83" s="64" t="n">
        <f aca="false">IF(I82=1,IF(Withdrawal_Timing="Start of year",(H82-C82)*(1+DD_Growth),H82*(1+DD_Growth)-C82),0)</f>
        <v>1212940.53283294</v>
      </c>
      <c r="I83" s="63" t="n">
        <f aca="false">IF(Withdrawal_Timing="Start of year",IF(H83&gt;=C83,1,0),IF(H83*(1+DD_Growth)&gt;=C83,1,0))</f>
        <v>1</v>
      </c>
    </row>
    <row r="84" customFormat="false" ht="15" hidden="false" customHeight="false" outlineLevel="0" collapsed="false">
      <c r="B84" s="63" t="n">
        <v>52</v>
      </c>
      <c r="C84" s="64" t="n">
        <f aca="false">C83*(1+Inflation_Choice)</f>
        <v>20000</v>
      </c>
      <c r="D84" s="64" t="n">
        <f aca="false">IF(E83=1,IF(Withdrawal_Timing="Start of year",(D83-C83)*(1+DD_Cautious),D83*(1+DD_Cautious)-C83),0)</f>
        <v>0</v>
      </c>
      <c r="E84" s="63" t="n">
        <f aca="false">IF(Withdrawal_Timing="Start of year",IF(D84&gt;=C84,1,0),IF(D84*(1+DD_Cautious)&gt;=C84,1,0))</f>
        <v>0</v>
      </c>
      <c r="F84" s="64" t="n">
        <f aca="false">IF(G83=1,IF(Withdrawal_Timing="Start of year",(F83-C83)*(1+DD_Balanced),F83*(1+DD_Balanced)-C83),0)</f>
        <v>0</v>
      </c>
      <c r="G84" s="63" t="n">
        <f aca="false">IF(Withdrawal_Timing="Start of year",IF(F84&gt;=C84,1,0),IF(F84*(1+DD_Balanced)&gt;=C84,1,0))</f>
        <v>0</v>
      </c>
      <c r="H84" s="64" t="n">
        <f aca="false">IF(I83=1,IF(Withdrawal_Timing="Start of year",(H83-C83)*(1+DD_Growth),H83*(1+DD_Growth)-C83),0)</f>
        <v>1264516.96480292</v>
      </c>
      <c r="I84" s="63" t="n">
        <f aca="false">IF(Withdrawal_Timing="Start of year",IF(H84&gt;=C84,1,0),IF(H84*(1+DD_Growth)&gt;=C84,1,0))</f>
        <v>1</v>
      </c>
    </row>
    <row r="85" customFormat="false" ht="15" hidden="false" customHeight="false" outlineLevel="0" collapsed="false">
      <c r="B85" s="63" t="n">
        <v>53</v>
      </c>
      <c r="C85" s="64" t="n">
        <f aca="false">C84*(1+Inflation_Choice)</f>
        <v>20000</v>
      </c>
      <c r="D85" s="64" t="n">
        <f aca="false">IF(E84=1,IF(Withdrawal_Timing="Start of year",(D84-C84)*(1+DD_Cautious),D84*(1+DD_Cautious)-C84),0)</f>
        <v>0</v>
      </c>
      <c r="E85" s="63" t="n">
        <f aca="false">IF(Withdrawal_Timing="Start of year",IF(D85&gt;=C85,1,0),IF(D85*(1+DD_Cautious)&gt;=C85,1,0))</f>
        <v>0</v>
      </c>
      <c r="F85" s="64" t="n">
        <f aca="false">IF(G84=1,IF(Withdrawal_Timing="Start of year",(F84-C84)*(1+DD_Balanced),F84*(1+DD_Balanced)-C84),0)</f>
        <v>0</v>
      </c>
      <c r="G85" s="63" t="n">
        <f aca="false">IF(Withdrawal_Timing="Start of year",IF(F85&gt;=C85,1,0),IF(F85*(1+DD_Balanced)&gt;=C85,1,0))</f>
        <v>0</v>
      </c>
      <c r="H85" s="64" t="n">
        <f aca="false">IF(I84=1,IF(Withdrawal_Timing="Start of year",(H84-C84)*(1+DD_Growth),H84*(1+DD_Growth)-C84),0)</f>
        <v>1319187.98269109</v>
      </c>
      <c r="I85" s="63" t="n">
        <f aca="false">IF(Withdrawal_Timing="Start of year",IF(H85&gt;=C85,1,0),IF(H85*(1+DD_Growth)&gt;=C85,1,0))</f>
        <v>1</v>
      </c>
    </row>
    <row r="86" customFormat="false" ht="15" hidden="false" customHeight="false" outlineLevel="0" collapsed="false">
      <c r="B86" s="63" t="n">
        <v>54</v>
      </c>
      <c r="C86" s="64" t="n">
        <f aca="false">C85*(1+Inflation_Choice)</f>
        <v>20000</v>
      </c>
      <c r="D86" s="64" t="n">
        <f aca="false">IF(E85=1,IF(Withdrawal_Timing="Start of year",(D85-C85)*(1+DD_Cautious),D85*(1+DD_Cautious)-C85),0)</f>
        <v>0</v>
      </c>
      <c r="E86" s="63" t="n">
        <f aca="false">IF(Withdrawal_Timing="Start of year",IF(D86&gt;=C86,1,0),IF(D86*(1+DD_Cautious)&gt;=C86,1,0))</f>
        <v>0</v>
      </c>
      <c r="F86" s="64" t="n">
        <f aca="false">IF(G85=1,IF(Withdrawal_Timing="Start of year",(F85-C85)*(1+DD_Balanced),F85*(1+DD_Balanced)-C85),0)</f>
        <v>0</v>
      </c>
      <c r="G86" s="63" t="n">
        <f aca="false">IF(Withdrawal_Timing="Start of year",IF(F86&gt;=C86,1,0),IF(F86*(1+DD_Balanced)&gt;=C86,1,0))</f>
        <v>0</v>
      </c>
      <c r="H86" s="64" t="n">
        <f aca="false">IF(I85=1,IF(Withdrawal_Timing="Start of year",(H85-C85)*(1+DD_Growth),H85*(1+DD_Growth)-C85),0)</f>
        <v>1377139.26165256</v>
      </c>
      <c r="I86" s="63" t="n">
        <f aca="false">IF(Withdrawal_Timing="Start of year",IF(H86&gt;=C86,1,0),IF(H86*(1+DD_Growth)&gt;=C86,1,0))</f>
        <v>1</v>
      </c>
    </row>
    <row r="87" customFormat="false" ht="15" hidden="false" customHeight="false" outlineLevel="0" collapsed="false">
      <c r="B87" s="63" t="n">
        <v>55</v>
      </c>
      <c r="C87" s="64" t="n">
        <f aca="false">C86*(1+Inflation_Choice)</f>
        <v>20000</v>
      </c>
      <c r="D87" s="64" t="n">
        <f aca="false">IF(E86=1,IF(Withdrawal_Timing="Start of year",(D86-C86)*(1+DD_Cautious),D86*(1+DD_Cautious)-C86),0)</f>
        <v>0</v>
      </c>
      <c r="E87" s="63" t="n">
        <f aca="false">IF(Withdrawal_Timing="Start of year",IF(D87&gt;=C87,1,0),IF(D87*(1+DD_Cautious)&gt;=C87,1,0))</f>
        <v>0</v>
      </c>
      <c r="F87" s="64" t="n">
        <f aca="false">IF(G86=1,IF(Withdrawal_Timing="Start of year",(F86-C86)*(1+DD_Balanced),F86*(1+DD_Balanced)-C86),0)</f>
        <v>0</v>
      </c>
      <c r="G87" s="63" t="n">
        <f aca="false">IF(Withdrawal_Timing="Start of year",IF(F87&gt;=C87,1,0),IF(F87*(1+DD_Balanced)&gt;=C87,1,0))</f>
        <v>0</v>
      </c>
      <c r="H87" s="64" t="n">
        <f aca="false">IF(I86=1,IF(Withdrawal_Timing="Start of year",(H86-C86)*(1+DD_Growth),H86*(1+DD_Growth)-C86),0)</f>
        <v>1438567.61735171</v>
      </c>
      <c r="I87" s="63" t="n">
        <f aca="false">IF(Withdrawal_Timing="Start of year",IF(H87&gt;=C87,1,0),IF(H87*(1+DD_Growth)&gt;=C87,1,0))</f>
        <v>1</v>
      </c>
    </row>
    <row r="88" customFormat="false" ht="15" hidden="false" customHeight="false" outlineLevel="0" collapsed="false">
      <c r="B88" s="63" t="n">
        <v>56</v>
      </c>
      <c r="C88" s="64" t="n">
        <f aca="false">C87*(1+Inflation_Choice)</f>
        <v>20000</v>
      </c>
      <c r="D88" s="64" t="n">
        <f aca="false">IF(E87=1,IF(Withdrawal_Timing="Start of year",(D87-C87)*(1+DD_Cautious),D87*(1+DD_Cautious)-C87),0)</f>
        <v>0</v>
      </c>
      <c r="E88" s="63" t="n">
        <f aca="false">IF(Withdrawal_Timing="Start of year",IF(D88&gt;=C88,1,0),IF(D88*(1+DD_Cautious)&gt;=C88,1,0))</f>
        <v>0</v>
      </c>
      <c r="F88" s="64" t="n">
        <f aca="false">IF(G87=1,IF(Withdrawal_Timing="Start of year",(F87-C87)*(1+DD_Balanced),F87*(1+DD_Balanced)-C87),0)</f>
        <v>0</v>
      </c>
      <c r="G88" s="63" t="n">
        <f aca="false">IF(Withdrawal_Timing="Start of year",IF(F88&gt;=C88,1,0),IF(F88*(1+DD_Balanced)&gt;=C88,1,0))</f>
        <v>0</v>
      </c>
      <c r="H88" s="64" t="n">
        <f aca="false">IF(I87=1,IF(Withdrawal_Timing="Start of year",(H87-C87)*(1+DD_Growth),H87*(1+DD_Growth)-C87),0)</f>
        <v>1503681.67439281</v>
      </c>
      <c r="I88" s="63" t="n">
        <f aca="false">IF(Withdrawal_Timing="Start of year",IF(H88&gt;=C88,1,0),IF(H88*(1+DD_Growth)&gt;=C88,1,0))</f>
        <v>1</v>
      </c>
    </row>
    <row r="89" customFormat="false" ht="15" hidden="false" customHeight="false" outlineLevel="0" collapsed="false">
      <c r="B89" s="63" t="n">
        <v>57</v>
      </c>
      <c r="C89" s="64" t="n">
        <f aca="false">C88*(1+Inflation_Choice)</f>
        <v>20000</v>
      </c>
      <c r="D89" s="64" t="n">
        <f aca="false">IF(E88=1,IF(Withdrawal_Timing="Start of year",(D88-C88)*(1+DD_Cautious),D88*(1+DD_Cautious)-C88),0)</f>
        <v>0</v>
      </c>
      <c r="E89" s="63" t="n">
        <f aca="false">IF(Withdrawal_Timing="Start of year",IF(D89&gt;=C89,1,0),IF(D89*(1+DD_Cautious)&gt;=C89,1,0))</f>
        <v>0</v>
      </c>
      <c r="F89" s="64" t="n">
        <f aca="false">IF(G88=1,IF(Withdrawal_Timing="Start of year",(F88-C88)*(1+DD_Balanced),F88*(1+DD_Balanced)-C88),0)</f>
        <v>0</v>
      </c>
      <c r="G89" s="63" t="n">
        <f aca="false">IF(Withdrawal_Timing="Start of year",IF(F89&gt;=C89,1,0),IF(F89*(1+DD_Balanced)&gt;=C89,1,0))</f>
        <v>0</v>
      </c>
      <c r="H89" s="64" t="n">
        <f aca="false">IF(I88=1,IF(Withdrawal_Timing="Start of year",(H88-C88)*(1+DD_Growth),H88*(1+DD_Growth)-C88),0)</f>
        <v>1572702.57485638</v>
      </c>
      <c r="I89" s="63" t="n">
        <f aca="false">IF(Withdrawal_Timing="Start of year",IF(H89&gt;=C89,1,0),IF(H89*(1+DD_Growth)&gt;=C89,1,0))</f>
        <v>1</v>
      </c>
    </row>
    <row r="90" customFormat="false" ht="15" hidden="false" customHeight="false" outlineLevel="0" collapsed="false">
      <c r="B90" s="63" t="n">
        <v>58</v>
      </c>
      <c r="C90" s="64" t="n">
        <f aca="false">C89*(1+Inflation_Choice)</f>
        <v>20000</v>
      </c>
      <c r="D90" s="64" t="n">
        <f aca="false">IF(E89=1,IF(Withdrawal_Timing="Start of year",(D89-C89)*(1+DD_Cautious),D89*(1+DD_Cautious)-C89),0)</f>
        <v>0</v>
      </c>
      <c r="E90" s="63" t="n">
        <f aca="false">IF(Withdrawal_Timing="Start of year",IF(D90&gt;=C90,1,0),IF(D90*(1+DD_Cautious)&gt;=C90,1,0))</f>
        <v>0</v>
      </c>
      <c r="F90" s="64" t="n">
        <f aca="false">IF(G89=1,IF(Withdrawal_Timing="Start of year",(F89-C89)*(1+DD_Balanced),F89*(1+DD_Balanced)-C89),0)</f>
        <v>0</v>
      </c>
      <c r="G90" s="63" t="n">
        <f aca="false">IF(Withdrawal_Timing="Start of year",IF(F90&gt;=C90,1,0),IF(F90*(1+DD_Balanced)&gt;=C90,1,0))</f>
        <v>0</v>
      </c>
      <c r="H90" s="64" t="n">
        <f aca="false">IF(I89=1,IF(Withdrawal_Timing="Start of year",(H89-C89)*(1+DD_Growth),H89*(1+DD_Growth)-C89),0)</f>
        <v>1645864.72934777</v>
      </c>
      <c r="I90" s="63" t="n">
        <f aca="false">IF(Withdrawal_Timing="Start of year",IF(H90&gt;=C90,1,0),IF(H90*(1+DD_Growth)&gt;=C90,1,0))</f>
        <v>1</v>
      </c>
    </row>
    <row r="91" customFormat="false" ht="15" hidden="false" customHeight="false" outlineLevel="0" collapsed="false">
      <c r="B91" s="63" t="n">
        <v>59</v>
      </c>
      <c r="C91" s="64" t="n">
        <f aca="false">C90*(1+Inflation_Choice)</f>
        <v>20000</v>
      </c>
      <c r="D91" s="64" t="n">
        <f aca="false">IF(E90=1,IF(Withdrawal_Timing="Start of year",(D90-C90)*(1+DD_Cautious),D90*(1+DD_Cautious)-C90),0)</f>
        <v>0</v>
      </c>
      <c r="E91" s="63" t="n">
        <f aca="false">IF(Withdrawal_Timing="Start of year",IF(D91&gt;=C91,1,0),IF(D91*(1+DD_Cautious)&gt;=C91,1,0))</f>
        <v>0</v>
      </c>
      <c r="F91" s="64" t="n">
        <f aca="false">IF(G90=1,IF(Withdrawal_Timing="Start of year",(F90-C90)*(1+DD_Balanced),F90*(1+DD_Balanced)-C90),0)</f>
        <v>0</v>
      </c>
      <c r="G91" s="63" t="n">
        <f aca="false">IF(Withdrawal_Timing="Start of year",IF(F91&gt;=C91,1,0),IF(F91*(1+DD_Balanced)&gt;=C91,1,0))</f>
        <v>0</v>
      </c>
      <c r="H91" s="64" t="n">
        <f aca="false">IF(I90=1,IF(Withdrawal_Timing="Start of year",(H90-C90)*(1+DD_Growth),H90*(1+DD_Growth)-C90),0)</f>
        <v>1723416.61310863</v>
      </c>
      <c r="I91" s="63" t="n">
        <f aca="false">IF(Withdrawal_Timing="Start of year",IF(H91&gt;=C91,1,0),IF(H91*(1+DD_Growth)&gt;=C91,1,0))</f>
        <v>1</v>
      </c>
    </row>
    <row r="92" customFormat="false" ht="15" hidden="false" customHeight="false" outlineLevel="0" collapsed="false">
      <c r="B92" s="63" t="n">
        <v>60</v>
      </c>
      <c r="C92" s="64" t="n">
        <f aca="false">C91*(1+Inflation_Choice)</f>
        <v>20000</v>
      </c>
      <c r="D92" s="64" t="n">
        <f aca="false">IF(E91=1,IF(Withdrawal_Timing="Start of year",(D91-C91)*(1+DD_Cautious),D91*(1+DD_Cautious)-C91),0)</f>
        <v>0</v>
      </c>
      <c r="E92" s="63" t="n">
        <f aca="false">IF(Withdrawal_Timing="Start of year",IF(D92&gt;=C92,1,0),IF(D92*(1+DD_Cautious)&gt;=C92,1,0))</f>
        <v>0</v>
      </c>
      <c r="F92" s="64" t="n">
        <f aca="false">IF(G91=1,IF(Withdrawal_Timing="Start of year",(F91-C91)*(1+DD_Balanced),F91*(1+DD_Balanced)-C91),0)</f>
        <v>0</v>
      </c>
      <c r="G92" s="63" t="n">
        <f aca="false">IF(Withdrawal_Timing="Start of year",IF(F92&gt;=C92,1,0),IF(F92*(1+DD_Balanced)&gt;=C92,1,0))</f>
        <v>0</v>
      </c>
      <c r="H92" s="64" t="n">
        <f aca="false">IF(I91=1,IF(Withdrawal_Timing="Start of year",(H91-C91)*(1+DD_Growth),H91*(1+DD_Growth)-C91),0)</f>
        <v>1805621.60989515</v>
      </c>
      <c r="I92" s="63" t="n">
        <f aca="false">IF(Withdrawal_Timing="Start of year",IF(H92&gt;=C92,1,0),IF(H92*(1+DD_Growth)&gt;=C92,1,0))</f>
        <v>1</v>
      </c>
    </row>
    <row r="95" customFormat="false" ht="15" hidden="false" customHeight="false" outlineLevel="0" collapsed="false">
      <c r="B95" s="9" t="s">
        <v>271</v>
      </c>
      <c r="C95" s="10"/>
      <c r="D95" s="10"/>
      <c r="E95" s="10"/>
    </row>
    <row r="96" customFormat="false" ht="27.75" hidden="false" customHeight="true" outlineLevel="0" collapsed="false">
      <c r="B96" s="33" t="s">
        <v>903</v>
      </c>
      <c r="C96" s="33"/>
      <c r="D96" s="33"/>
      <c r="E96" s="33"/>
    </row>
    <row r="97" customFormat="false" ht="13.5" hidden="false" customHeight="true" outlineLevel="0" collapsed="false">
      <c r="B97" s="33" t="s">
        <v>904</v>
      </c>
      <c r="C97" s="33"/>
      <c r="D97" s="33"/>
      <c r="E97" s="33"/>
    </row>
    <row r="98" customFormat="false" ht="13.5" hidden="false" customHeight="true" outlineLevel="0" collapsed="false">
      <c r="B98" s="34" t="s">
        <v>275</v>
      </c>
      <c r="C98" s="34"/>
      <c r="D98" s="34"/>
      <c r="E98" s="34"/>
    </row>
    <row r="99" customFormat="false" ht="13.5" hidden="false" customHeight="true" outlineLevel="0" collapsed="false">
      <c r="B99" s="33" t="s">
        <v>905</v>
      </c>
      <c r="C99" s="33"/>
      <c r="D99" s="33"/>
      <c r="E99" s="33"/>
    </row>
    <row r="100" customFormat="false" ht="13.5" hidden="false" customHeight="true" outlineLevel="0" collapsed="false">
      <c r="B100" s="33" t="s">
        <v>906</v>
      </c>
      <c r="C100" s="33"/>
      <c r="D100" s="33"/>
      <c r="E100" s="33"/>
    </row>
    <row r="102" customFormat="false" ht="15" hidden="false" customHeight="false" outlineLevel="0" collapsed="false">
      <c r="B102" s="9" t="s">
        <v>280</v>
      </c>
      <c r="C102" s="10"/>
      <c r="D102" s="10"/>
      <c r="E102" s="10"/>
    </row>
    <row r="103" customFormat="false" ht="15" hidden="false" customHeight="false" outlineLevel="0" collapsed="false">
      <c r="B103" s="20" t="s">
        <v>281</v>
      </c>
      <c r="C103" s="35" t="str">
        <f aca="false">"No goal"</f>
        <v>No goal</v>
      </c>
      <c r="E103" s="36" t="s">
        <v>461</v>
      </c>
    </row>
  </sheetData>
  <mergeCells count="7">
    <mergeCell ref="B7:E7"/>
    <mergeCell ref="B10:E10"/>
    <mergeCell ref="B96:E96"/>
    <mergeCell ref="B97:E97"/>
    <mergeCell ref="B98:E98"/>
    <mergeCell ref="B99:E99"/>
    <mergeCell ref="B100:E100"/>
  </mergeCells>
  <dataValidations count="10">
    <dataValidation allowBlank="true" error="Please enter a date (dd/mm/yyyy)." errorStyle="stop" errorTitle="Outside the allowed range" operator="greaterThan" prompt="Unit: date. Allowed: a date (dd/mm/yyyy)." promptTitle="Statement date" showDropDown="false" showErrorMessage="true" showInputMessage="true" sqref="C13" type="date">
      <formula1>36526</formula1>
      <formula2>0</formula2>
    </dataValidation>
    <dataValidation allowBlank="true" error="Please enter 0% to 10% · steps of 0.25%." errorStyle="stop" errorTitle="Outside the allowed range" operator="between" prompt="Everyone sees this differently. Ireland's prices are rising 3.9% now (CSO HICP flash, Sep 2026), mostly because of energy. Over decades, 2%–2.5% is the usual planning range (ECB target 2%). Enter 0% if you don't want t Allowed: 0% to 10% · steps of 0.25%." promptTitle="Inflation you expect (your choic" showDropDown="false" showErrorMessage="true" showInputMessage="true" sqref="C6" type="decimal">
      <formula1>0</formula1>
      <formula2>0.1</formula2>
    </dataValidation>
    <dataValidation allowBlank="true" error="Please enter €0 to €100,000,000." errorStyle="stop" errorTitle="Outside the allowed range" operator="between" prompt="Unit: €. Allowed: €0 to €100,000,000." promptTitle="Projected fund at retirement (if" showDropDown="false" showErrorMessage="true" showInputMessage="true" sqref="C11" type="decimal">
      <formula1>0</formula1>
      <formula2>100000000</formula2>
    </dataValidation>
    <dataValidation allowBlank="true" error="Please enter €0 to €50,000,000." errorStyle="stop" errorTitle="Outside the allowed range" operator="between" prompt="Unit: €. Allowed: €0 to €50,000,000." promptTitle="Fund value today" showDropDown="false" showErrorMessage="true" showInputMessage="true" sqref="C12" type="decimal">
      <formula1>0</formula1>
      <formula2>50000000</formula2>
    </dataValidation>
    <dataValidation allowBlank="false" error="Please enter €10,000 to €30,000,000 · steps of €10,000." errorStyle="stop" errorTitle="Outside the allowed range" operator="between" prompt="Unit: €. Allowed: €10,000 to €30,000,000 · steps of €10,000." promptTitle="Retirement savings" showDropDown="false" showErrorMessage="true" showInputMessage="true" sqref="C16" type="decimal">
      <formula1>10000</formula1>
      <formula2>30000000</formula2>
    </dataValidation>
    <dataValidation allowBlank="false" error="Please enter €1,000 to €2,000,000 · steps of €1,000." errorStyle="stop" errorTitle="Outside the allowed range" operator="between" prompt="Unit: €. Allowed: €1,000 to €2,000,000 · steps of €1,000." promptTitle="Yearly withdrawal (first year)" showDropDown="false" showErrorMessage="true" showInputMessage="true" sqref="C17" type="decimal">
      <formula1>1000</formula1>
      <formula2>2000000</formula2>
    </dataValidation>
    <dataValidation allowBlank="false" error="Please enter 0% to 8% · steps of 0.5%." errorStyle="stop" errorTitle="Outside the allowed range" operator="between" prompt="Suggested · change if you like. Illustrations, not forecasts. Your adviser uses the fund's own risk rating (SRI 1–7).  Allowed: 0% to 8% · steps of 0.5%." promptTitle="Cautious: growth a year" showDropDown="false" showErrorMessage="true" showInputMessage="true" sqref="C18" type="decimal">
      <formula1>0</formula1>
      <formula2>0.08</formula2>
    </dataValidation>
    <dataValidation allowBlank="false" error="Please enter 0% to 8% · steps of 0.5%." errorStyle="stop" errorTitle="Outside the allowed range" operator="between" prompt="Suggested · change if you like. Illustrations, not forecasts. Your adviser uses the fund's own risk rating (SRI 1–7).  Allowed: 0% to 8% · steps of 0.5%." promptTitle="Balanced: growth a year" showDropDown="false" showErrorMessage="true" showInputMessage="true" sqref="C19" type="decimal">
      <formula1>0</formula1>
      <formula2>0.08</formula2>
    </dataValidation>
    <dataValidation allowBlank="false" error="Please enter 0% to 8% · steps of 0.5%." errorStyle="stop" errorTitle="Outside the allowed range" operator="between" prompt="Suggested · change if you like. Illustrations, not forecasts. Your adviser uses the fund's own risk rating (SRI 1–7).  Allowed: 0% to 8% · steps of 0.5%." promptTitle="Growth: growth a year" showDropDown="false" showErrorMessage="true" showInputMessage="true" sqref="C20" type="decimal">
      <formula1>0</formula1>
      <formula2>0.08</formula2>
    </dataValidation>
    <dataValidation allowBlank="false" error="Please enter Start of year or End of year." errorStyle="stop" errorTitle="Outside the allowed range" operator="between" prompt="Suggested · change if you like. Taking each year's income at the start of the year is the prudent assumption.  Allowed: Start of year or End of year." promptTitle="Withdrawal taken at the" showDropDown="false" showErrorMessage="true" showInputMessage="true" sqref="C21" type="list">
      <formula1>"Start of year,End of year"</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G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50"/>
    <col collapsed="false" customWidth="true" hidden="false" outlineLevel="0" max="3" min="3" style="0" width="26"/>
    <col collapsed="false" customWidth="true" hidden="false" outlineLevel="0" max="4" min="4" style="0" width="24"/>
    <col collapsed="false" customWidth="true" hidden="false" outlineLevel="0" max="5" min="5" style="0" width="78"/>
    <col collapsed="false" customWidth="true" hidden="false" outlineLevel="0" max="6" min="6" style="0" width="2"/>
    <col collapsed="false" customWidth="true" hidden="false" outlineLevel="0" max="7" min="7" style="0" width="44"/>
  </cols>
  <sheetData>
    <row r="1" customFormat="false" ht="19.7" hidden="false" customHeight="false" outlineLevel="0" collapsed="false">
      <c r="B1" s="16" t="s">
        <v>907</v>
      </c>
      <c r="G1" s="2" t="s">
        <v>601</v>
      </c>
    </row>
    <row r="2" customFormat="false" ht="15" hidden="false" customHeight="false" outlineLevel="0" collapsed="false">
      <c r="B2" s="17" t="s">
        <v>908</v>
      </c>
      <c r="G2" s="2" t="s">
        <v>909</v>
      </c>
    </row>
    <row r="3" customFormat="false" ht="15" hidden="false" customHeight="false" outlineLevel="0" collapsed="false">
      <c r="B3" s="18" t="s">
        <v>910</v>
      </c>
    </row>
    <row r="5" customFormat="false" ht="15" hidden="false" customHeight="false" outlineLevel="0" collapsed="false">
      <c r="B5" s="9" t="s">
        <v>537</v>
      </c>
      <c r="C5" s="19" t="s">
        <v>203</v>
      </c>
      <c r="D5" s="19" t="s">
        <v>204</v>
      </c>
      <c r="E5" s="19" t="s">
        <v>205</v>
      </c>
    </row>
    <row r="6" customFormat="false" ht="15" hidden="false" customHeight="false" outlineLevel="0" collapsed="false">
      <c r="B6" s="20" t="s">
        <v>538</v>
      </c>
      <c r="C6" s="25"/>
      <c r="D6" s="22" t="s">
        <v>222</v>
      </c>
      <c r="E6" s="2" t="s">
        <v>539</v>
      </c>
      <c r="G6" s="23" t="s">
        <v>540</v>
      </c>
    </row>
    <row r="7" customFormat="false" ht="27.75" hidden="false" customHeight="true" outlineLevel="0" collapsed="false">
      <c r="B7" s="39" t="s">
        <v>541</v>
      </c>
      <c r="C7" s="39"/>
      <c r="D7" s="39"/>
      <c r="E7" s="39"/>
    </row>
    <row r="9" customFormat="false" ht="15" hidden="false" customHeight="false" outlineLevel="0" collapsed="false">
      <c r="B9" s="9" t="s">
        <v>293</v>
      </c>
      <c r="C9" s="10"/>
      <c r="D9" s="10"/>
      <c r="E9" s="10"/>
    </row>
    <row r="10" customFormat="false" ht="27.75" hidden="false" customHeight="true" outlineLevel="0" collapsed="false">
      <c r="B10" s="39" t="s">
        <v>605</v>
      </c>
      <c r="C10" s="39"/>
      <c r="D10" s="39"/>
      <c r="E10" s="39"/>
    </row>
    <row r="11" customFormat="false" ht="15" hidden="false" customHeight="false" outlineLevel="0" collapsed="false">
      <c r="B11" s="20" t="s">
        <v>606</v>
      </c>
      <c r="C11" s="40"/>
      <c r="D11" s="22" t="s">
        <v>207</v>
      </c>
      <c r="E11" s="2" t="s">
        <v>607</v>
      </c>
      <c r="G11" s="23" t="s">
        <v>297</v>
      </c>
    </row>
    <row r="12" customFormat="false" ht="15" hidden="false" customHeight="false" outlineLevel="0" collapsed="false">
      <c r="B12" s="20" t="s">
        <v>304</v>
      </c>
      <c r="C12" s="43"/>
      <c r="D12" s="22" t="s">
        <v>305</v>
      </c>
      <c r="E12" s="2" t="s">
        <v>306</v>
      </c>
      <c r="G12" s="23" t="s">
        <v>297</v>
      </c>
    </row>
    <row r="14" customFormat="false" ht="15" hidden="false" customHeight="false" outlineLevel="0" collapsed="false">
      <c r="B14" s="9" t="s">
        <v>307</v>
      </c>
      <c r="C14" s="19" t="s">
        <v>203</v>
      </c>
      <c r="D14" s="19" t="s">
        <v>204</v>
      </c>
      <c r="E14" s="19" t="s">
        <v>205</v>
      </c>
    </row>
    <row r="15" customFormat="false" ht="15" hidden="false" customHeight="false" outlineLevel="0" collapsed="false">
      <c r="B15" s="20" t="s">
        <v>610</v>
      </c>
      <c r="C15" s="21" t="n">
        <v>20000</v>
      </c>
      <c r="D15" s="22" t="s">
        <v>207</v>
      </c>
      <c r="E15" s="2" t="s">
        <v>611</v>
      </c>
      <c r="G15" s="23" t="s">
        <v>911</v>
      </c>
    </row>
    <row r="16" customFormat="false" ht="15" hidden="false" customHeight="false" outlineLevel="0" collapsed="false">
      <c r="B16" s="20" t="s">
        <v>912</v>
      </c>
      <c r="C16" s="25" t="n">
        <v>0.05</v>
      </c>
      <c r="D16" s="22" t="s">
        <v>222</v>
      </c>
      <c r="E16" s="26" t="s">
        <v>913</v>
      </c>
      <c r="G16" s="23" t="s">
        <v>914</v>
      </c>
    </row>
    <row r="17" customFormat="false" ht="15" hidden="false" customHeight="false" outlineLevel="0" collapsed="false">
      <c r="B17" s="20" t="s">
        <v>581</v>
      </c>
      <c r="C17" s="27" t="n">
        <v>15</v>
      </c>
      <c r="D17" s="22" t="s">
        <v>226</v>
      </c>
      <c r="E17" s="2" t="s">
        <v>582</v>
      </c>
      <c r="G17" s="23" t="s">
        <v>614</v>
      </c>
    </row>
    <row r="19" customFormat="false" ht="15" hidden="false" customHeight="false" outlineLevel="0" collapsed="false">
      <c r="B19" s="9" t="s">
        <v>321</v>
      </c>
      <c r="C19" s="10"/>
      <c r="D19" s="10"/>
      <c r="E19" s="10"/>
    </row>
    <row r="20" customFormat="false" ht="15" hidden="false" customHeight="false" outlineLevel="0" collapsed="false">
      <c r="B20" s="20" t="s">
        <v>610</v>
      </c>
      <c r="C20" s="44" t="n">
        <f aca="false">IF(ISBLANK(Stmt_Total_Value),Amount,Stmt_Total_Value)</f>
        <v>20000</v>
      </c>
      <c r="D20" s="45" t="str">
        <f aca="false">IF(ISBLANK(Stmt_Total_Value),"Your figure","From your statement")</f>
        <v>Your figure</v>
      </c>
      <c r="E20" s="36" t="s">
        <v>626</v>
      </c>
    </row>
    <row r="21" customFormat="false" ht="22.35" hidden="false" customHeight="false" outlineLevel="0" collapsed="false">
      <c r="B21" s="20" t="s">
        <v>327</v>
      </c>
      <c r="C21" s="32" t="str">
        <f aca="true">IF(ISBLANK(Stmt_Statement_Date),"",IF(TODAY()-Stmt_Statement_Date&gt;Statement_Max_Age_Days,"Needs a look: statement is more than 12 months old","Up to date"))</f>
        <v/>
      </c>
      <c r="D21" s="22"/>
      <c r="E21" s="29" t="s">
        <v>328</v>
      </c>
    </row>
    <row r="23" customFormat="false" ht="15" hidden="false" customHeight="false" outlineLevel="0" collapsed="false">
      <c r="B23" s="9" t="s">
        <v>238</v>
      </c>
      <c r="C23" s="19" t="s">
        <v>239</v>
      </c>
      <c r="D23" s="19" t="s">
        <v>240</v>
      </c>
      <c r="E23" s="19" t="s">
        <v>241</v>
      </c>
    </row>
    <row r="24" customFormat="false" ht="17.35" hidden="false" customHeight="false" outlineLevel="0" collapsed="false">
      <c r="B24" s="17" t="s">
        <v>915</v>
      </c>
      <c r="C24" s="28" t="str">
        <f aca="false">IF(ISBLANK(Inflation_Choice),"Enter your inflation rate",Future_Value/(1+Inflation_Choice)^Years)</f>
        <v>Enter your inflation rate</v>
      </c>
      <c r="D24" s="22" t="s">
        <v>207</v>
      </c>
      <c r="E24" s="29" t="s">
        <v>916</v>
      </c>
    </row>
    <row r="25" customFormat="false" ht="17.35" hidden="false" customHeight="false" outlineLevel="0" collapsed="false">
      <c r="B25" s="17" t="s">
        <v>917</v>
      </c>
      <c r="C25" s="28" t="n">
        <f aca="false">Used_Amount*(1+Nominal_Return)^Years</f>
        <v>41578.5635882274</v>
      </c>
      <c r="D25" s="22" t="s">
        <v>207</v>
      </c>
      <c r="E25" s="29" t="s">
        <v>918</v>
      </c>
    </row>
    <row r="26" customFormat="false" ht="17.35" hidden="false" customHeight="false" outlineLevel="0" collapsed="false">
      <c r="B26" s="17" t="s">
        <v>919</v>
      </c>
      <c r="C26" s="65" t="str">
        <f aca="false">IF(ISBLANK(Inflation_Choice),"Enter your inflation rate",(1+Nominal_Return)/(1+Inflation_Choice)-1)</f>
        <v>Enter your inflation rate</v>
      </c>
      <c r="D26" s="22"/>
      <c r="E26" s="29" t="s">
        <v>920</v>
      </c>
    </row>
    <row r="27" customFormat="false" ht="15" hidden="false" customHeight="false" outlineLevel="0" collapsed="false">
      <c r="B27" s="54" t="str">
        <f aca="false">"Before tax: deposit interest is taxed at "&amp;TEXT(DIRT,"0%")&amp;" DIRT; investment funds and life policies pay "&amp;TEXT(Exit_Tax,"0%")&amp;" exit tax on gains, also charged every "&amp;Deemed_Disposal_Years&amp;" years (deemed disposal). Pension funds grow tax-free. No tax is taken off here."</f>
        <v>Before tax: deposit interest is taxed at 33% DIRT; investment funds and life policies pay 38% exit tax on gains, also charged every 8 years (deemed disposal). Pension funds grow tax-free. No tax is taken off here.</v>
      </c>
      <c r="C27" s="54"/>
      <c r="D27" s="54"/>
      <c r="E27" s="54"/>
    </row>
    <row r="29" customFormat="false" ht="15" hidden="false" customHeight="false" outlineLevel="0" collapsed="false">
      <c r="B29" s="9" t="s">
        <v>271</v>
      </c>
      <c r="C29" s="10"/>
      <c r="D29" s="10"/>
      <c r="E29" s="10"/>
    </row>
    <row r="30" customFormat="false" ht="13.5" hidden="false" customHeight="true" outlineLevel="0" collapsed="false">
      <c r="B30" s="33" t="s">
        <v>921</v>
      </c>
      <c r="C30" s="33"/>
      <c r="D30" s="33"/>
      <c r="E30" s="33"/>
    </row>
    <row r="31" customFormat="false" ht="13.5" hidden="false" customHeight="true" outlineLevel="0" collapsed="false">
      <c r="B31" s="33" t="s">
        <v>922</v>
      </c>
      <c r="C31" s="33"/>
      <c r="D31" s="33"/>
      <c r="E31" s="33"/>
    </row>
    <row r="32" customFormat="false" ht="13.5" hidden="false" customHeight="true" outlineLevel="0" collapsed="false">
      <c r="B32" s="34" t="s">
        <v>275</v>
      </c>
      <c r="C32" s="34"/>
      <c r="D32" s="34"/>
      <c r="E32" s="34"/>
    </row>
    <row r="33" customFormat="false" ht="13.5" hidden="false" customHeight="true" outlineLevel="0" collapsed="false">
      <c r="B33" s="33" t="s">
        <v>923</v>
      </c>
      <c r="C33" s="33"/>
      <c r="D33" s="33"/>
      <c r="E33" s="33"/>
    </row>
    <row r="35" customFormat="false" ht="15" hidden="false" customHeight="false" outlineLevel="0" collapsed="false">
      <c r="B35" s="9" t="s">
        <v>280</v>
      </c>
      <c r="C35" s="10"/>
      <c r="D35" s="10"/>
      <c r="E35" s="10"/>
    </row>
    <row r="36" customFormat="false" ht="15" hidden="false" customHeight="false" outlineLevel="0" collapsed="false">
      <c r="B36" s="20" t="s">
        <v>281</v>
      </c>
      <c r="C36" s="35" t="str">
        <f aca="false">"No goal"</f>
        <v>No goal</v>
      </c>
      <c r="E36" s="36" t="s">
        <v>461</v>
      </c>
    </row>
  </sheetData>
  <mergeCells count="7">
    <mergeCell ref="B7:E7"/>
    <mergeCell ref="B10:E10"/>
    <mergeCell ref="B27:E27"/>
    <mergeCell ref="B30:E30"/>
    <mergeCell ref="B31:E31"/>
    <mergeCell ref="B32:E32"/>
    <mergeCell ref="B33:E33"/>
  </mergeCells>
  <dataValidations count="6">
    <dataValidation allowBlank="true" error="Please enter a date (dd/mm/yyyy)." errorStyle="stop" errorTitle="Outside the allowed range" operator="greaterThan" prompt="Unit: date. Allowed: a date (dd/mm/yyyy)." promptTitle="Statement date" showDropDown="false" showErrorMessage="true" showInputMessage="true" sqref="C12" type="date">
      <formula1>36526</formula1>
      <formula2>0</formula2>
    </dataValidation>
    <dataValidation allowBlank="true" error="Please enter 0% to 10% · steps of 0.25%." errorStyle="stop" errorTitle="Outside the allowed range" operator="between" prompt="Everyone sees this differently. Ireland's prices are rising 3.9% now (CSO HICP flash, Sep 2026), mostly because of energy. Over decades, 2%–2.5% is the usual planning range (ECB target 2%). Enter 0% if you don't want t Allowed: 0% to 10% · steps of 0.25%." promptTitle="Inflation you expect (your choic" showDropDown="false" showErrorMessage="true" showInputMessage="true" sqref="C6" type="decimal">
      <formula1>0</formula1>
      <formula2>0.1</formula2>
    </dataValidation>
    <dataValidation allowBlank="false" error="Please enter 1 to 40 · steps of 1." errorStyle="stop" errorTitle="Outside the allowed range" operator="between" prompt="Unit: years. Allowed: 1 to 40 · steps of 1." promptTitle="Years" showDropDown="false" showErrorMessage="true" showInputMessage="true" sqref="C17" type="whole">
      <formula1>1</formula1>
      <formula2>40</formula2>
    </dataValidation>
    <dataValidation allowBlank="true" error="Please enter €0 to €100,000,000." errorStyle="stop" errorTitle="Outside the allowed range" operator="between" prompt="Unit: €. Allowed: €0 to €100,000,000." promptTitle="Total value" showDropDown="false" showErrorMessage="true" showInputMessage="true" sqref="C11" type="decimal">
      <formula1>0</formula1>
      <formula2>100000000</formula2>
    </dataValidation>
    <dataValidation allowBlank="false" error="Please enter €500 to €5,000,000 · steps of €100." errorStyle="stop" errorTitle="Outside the allowed range" operator="between" prompt="Unit: €. Allowed: €500 to €5,000,000 · steps of €100." promptTitle="Amount" showDropDown="false" showErrorMessage="true" showInputMessage="true" sqref="C15" type="decimal">
      <formula1>500</formula1>
      <formula2>5000000</formula2>
    </dataValidation>
    <dataValidation allowBlank="false" error="Please enter 0% to 10% · steps of 0.25%." errorStyle="stop" errorTitle="Outside the allowed range" operator="between" prompt="Suggested · change if you like. A typical mixed fund has grown 5%–6% a year before charges and tax over long periods, but not every year. Growth is never guaranteed.  Allowed: 0% to 10% · steps of 0.25%." promptTitle="Return a year (before inflation)" showDropDown="false" showErrorMessage="true" showInputMessage="true" sqref="C16" type="decimal">
      <formula1>0</formula1>
      <formula2>0.1</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G5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50"/>
    <col collapsed="false" customWidth="true" hidden="false" outlineLevel="0" max="3" min="3" style="0" width="26"/>
    <col collapsed="false" customWidth="true" hidden="false" outlineLevel="0" max="4" min="4" style="0" width="24"/>
    <col collapsed="false" customWidth="true" hidden="false" outlineLevel="0" max="5" min="5" style="0" width="78"/>
    <col collapsed="false" customWidth="true" hidden="false" outlineLevel="0" max="6" min="6" style="0" width="2"/>
    <col collapsed="false" customWidth="true" hidden="false" outlineLevel="0" max="7" min="7" style="0" width="44"/>
  </cols>
  <sheetData>
    <row r="1" customFormat="false" ht="19.7" hidden="false" customHeight="false" outlineLevel="0" collapsed="false">
      <c r="B1" s="16" t="s">
        <v>924</v>
      </c>
      <c r="G1" s="2" t="s">
        <v>601</v>
      </c>
    </row>
    <row r="2" customFormat="false" ht="15" hidden="false" customHeight="false" outlineLevel="0" collapsed="false">
      <c r="B2" s="17" t="s">
        <v>925</v>
      </c>
      <c r="G2" s="2" t="s">
        <v>926</v>
      </c>
    </row>
    <row r="3" customFormat="false" ht="15" hidden="false" customHeight="false" outlineLevel="0" collapsed="false">
      <c r="B3" s="18" t="s">
        <v>927</v>
      </c>
    </row>
    <row r="5" customFormat="false" ht="15" hidden="false" customHeight="false" outlineLevel="0" collapsed="false">
      <c r="B5" s="9" t="s">
        <v>537</v>
      </c>
      <c r="C5" s="19" t="s">
        <v>203</v>
      </c>
      <c r="D5" s="19" t="s">
        <v>204</v>
      </c>
      <c r="E5" s="19" t="s">
        <v>205</v>
      </c>
    </row>
    <row r="6" customFormat="false" ht="15" hidden="false" customHeight="false" outlineLevel="0" collapsed="false">
      <c r="B6" s="20" t="s">
        <v>538</v>
      </c>
      <c r="C6" s="25"/>
      <c r="D6" s="22" t="s">
        <v>222</v>
      </c>
      <c r="E6" s="2" t="s">
        <v>539</v>
      </c>
      <c r="G6" s="23" t="s">
        <v>540</v>
      </c>
    </row>
    <row r="7" customFormat="false" ht="27.75" hidden="false" customHeight="true" outlineLevel="0" collapsed="false">
      <c r="B7" s="39" t="s">
        <v>541</v>
      </c>
      <c r="C7" s="39"/>
      <c r="D7" s="39"/>
      <c r="E7" s="39"/>
    </row>
    <row r="9" customFormat="false" ht="15" hidden="false" customHeight="false" outlineLevel="0" collapsed="false">
      <c r="B9" s="9" t="s">
        <v>293</v>
      </c>
      <c r="C9" s="10"/>
      <c r="D9" s="10"/>
      <c r="E9" s="10"/>
    </row>
    <row r="10" customFormat="false" ht="27.75" hidden="false" customHeight="true" outlineLevel="0" collapsed="false">
      <c r="B10" s="39" t="s">
        <v>605</v>
      </c>
      <c r="C10" s="39"/>
      <c r="D10" s="39"/>
      <c r="E10" s="39"/>
    </row>
    <row r="11" customFormat="false" ht="15" hidden="false" customHeight="false" outlineLevel="0" collapsed="false">
      <c r="B11" s="20" t="s">
        <v>928</v>
      </c>
      <c r="C11" s="40"/>
      <c r="D11" s="22" t="s">
        <v>207</v>
      </c>
      <c r="E11" s="2" t="s">
        <v>929</v>
      </c>
      <c r="G11" s="23" t="s">
        <v>297</v>
      </c>
    </row>
    <row r="12" customFormat="false" ht="15" hidden="false" customHeight="false" outlineLevel="0" collapsed="false">
      <c r="B12" s="20" t="s">
        <v>608</v>
      </c>
      <c r="C12" s="41"/>
      <c r="D12" s="22" t="s">
        <v>222</v>
      </c>
      <c r="E12" s="2" t="s">
        <v>609</v>
      </c>
      <c r="G12" s="23" t="s">
        <v>297</v>
      </c>
    </row>
    <row r="13" customFormat="false" ht="15" hidden="false" customHeight="false" outlineLevel="0" collapsed="false">
      <c r="B13" s="20" t="s">
        <v>304</v>
      </c>
      <c r="C13" s="43"/>
      <c r="D13" s="22" t="s">
        <v>305</v>
      </c>
      <c r="E13" s="2" t="s">
        <v>306</v>
      </c>
      <c r="G13" s="23" t="s">
        <v>297</v>
      </c>
    </row>
    <row r="15" customFormat="false" ht="15" hidden="false" customHeight="false" outlineLevel="0" collapsed="false">
      <c r="B15" s="9" t="s">
        <v>307</v>
      </c>
      <c r="C15" s="19" t="s">
        <v>203</v>
      </c>
      <c r="D15" s="19" t="s">
        <v>204</v>
      </c>
      <c r="E15" s="19" t="s">
        <v>205</v>
      </c>
    </row>
    <row r="16" customFormat="false" ht="15" hidden="false" customHeight="false" outlineLevel="0" collapsed="false">
      <c r="B16" s="20" t="s">
        <v>930</v>
      </c>
      <c r="C16" s="21" t="n">
        <v>300</v>
      </c>
      <c r="D16" s="22" t="s">
        <v>207</v>
      </c>
      <c r="E16" s="2" t="s">
        <v>931</v>
      </c>
      <c r="G16" s="23" t="s">
        <v>932</v>
      </c>
    </row>
    <row r="17" customFormat="false" ht="15" hidden="false" customHeight="false" outlineLevel="0" collapsed="false">
      <c r="B17" s="20" t="s">
        <v>581</v>
      </c>
      <c r="C17" s="27" t="n">
        <v>15</v>
      </c>
      <c r="D17" s="22" t="s">
        <v>226</v>
      </c>
      <c r="E17" s="2" t="s">
        <v>582</v>
      </c>
      <c r="G17" s="23" t="s">
        <v>614</v>
      </c>
    </row>
    <row r="18" customFormat="false" ht="15" hidden="false" customHeight="false" outlineLevel="0" collapsed="false">
      <c r="B18" s="20" t="s">
        <v>933</v>
      </c>
      <c r="C18" s="25" t="n">
        <v>0.05</v>
      </c>
      <c r="D18" s="22" t="s">
        <v>222</v>
      </c>
      <c r="E18" s="26" t="s">
        <v>501</v>
      </c>
      <c r="G18" s="23" t="s">
        <v>914</v>
      </c>
    </row>
    <row r="19" customFormat="false" ht="15" hidden="false" customHeight="false" outlineLevel="0" collapsed="false">
      <c r="B19" s="20" t="s">
        <v>615</v>
      </c>
      <c r="C19" s="25" t="n">
        <v>0.01</v>
      </c>
      <c r="D19" s="22" t="s">
        <v>222</v>
      </c>
      <c r="E19" s="26" t="s">
        <v>616</v>
      </c>
      <c r="G19" s="23" t="s">
        <v>505</v>
      </c>
    </row>
    <row r="20" customFormat="false" ht="15" hidden="false" customHeight="false" outlineLevel="0" collapsed="false">
      <c r="B20" s="20" t="s">
        <v>621</v>
      </c>
      <c r="C20" s="24" t="s">
        <v>622</v>
      </c>
      <c r="D20" s="22" t="s">
        <v>218</v>
      </c>
      <c r="E20" s="2" t="s">
        <v>219</v>
      </c>
      <c r="G20" s="23" t="s">
        <v>623</v>
      </c>
    </row>
    <row r="22" customFormat="false" ht="15" hidden="false" customHeight="false" outlineLevel="0" collapsed="false">
      <c r="B22" s="9" t="s">
        <v>321</v>
      </c>
      <c r="C22" s="10"/>
      <c r="D22" s="10"/>
      <c r="E22" s="10"/>
    </row>
    <row r="23" customFormat="false" ht="15" hidden="false" customHeight="false" outlineLevel="0" collapsed="false">
      <c r="B23" s="20" t="s">
        <v>624</v>
      </c>
      <c r="C23" s="32" t="str">
        <f aca="false">IF(COUNTA(Stmt_Monthly_Invested,Stmt_Charges,Stmt_Statement_Date)&gt;0,"Yes","No")</f>
        <v>No</v>
      </c>
      <c r="D23" s="22"/>
      <c r="E23" s="29" t="s">
        <v>934</v>
      </c>
    </row>
    <row r="24" customFormat="false" ht="15" hidden="false" customHeight="false" outlineLevel="0" collapsed="false">
      <c r="B24" s="20" t="s">
        <v>930</v>
      </c>
      <c r="C24" s="44" t="n">
        <f aca="false">IF(ISBLANK(Stmt_Monthly_Invested),Monthly_Amount,Stmt_Monthly_Invested)</f>
        <v>300</v>
      </c>
      <c r="D24" s="45" t="str">
        <f aca="false">IF(ISBLANK(Stmt_Monthly_Invested),"Your figure","From your statement")</f>
        <v>Your figure</v>
      </c>
      <c r="E24" s="36" t="s">
        <v>935</v>
      </c>
    </row>
    <row r="25" customFormat="false" ht="15" hidden="false" customHeight="false" outlineLevel="0" collapsed="false">
      <c r="B25" s="20" t="s">
        <v>615</v>
      </c>
      <c r="C25" s="46" t="n">
        <f aca="false">IF(NOT(ISBLANK(Stmt_Charges)),Stmt_Charges,IF(Statement_Uploaded="Yes",0,Yearly_Fees))</f>
        <v>0.01</v>
      </c>
      <c r="D25" s="45" t="str">
        <f aca="false">IF(NOT(ISBLANK(Stmt_Charges)),"From your statement",IF(Statement_Uploaded="Yes","None shown on your statement","Your figure"))</f>
        <v>Your figure</v>
      </c>
      <c r="E25" s="36" t="s">
        <v>627</v>
      </c>
    </row>
    <row r="26" customFormat="false" ht="22.35" hidden="false" customHeight="false" outlineLevel="0" collapsed="false">
      <c r="B26" s="20" t="s">
        <v>327</v>
      </c>
      <c r="C26" s="32" t="str">
        <f aca="true">IF(ISBLANK(Stmt_Statement_Date),"",IF(TODAY()-Stmt_Statement_Date&gt;Statement_Max_Age_Days,"Needs a look: statement is more than 12 months old","Up to date"))</f>
        <v/>
      </c>
      <c r="D26" s="22"/>
      <c r="E26" s="29" t="s">
        <v>328</v>
      </c>
    </row>
    <row r="28" customFormat="false" ht="15" hidden="false" customHeight="false" outlineLevel="0" collapsed="false">
      <c r="B28" s="9" t="s">
        <v>238</v>
      </c>
      <c r="C28" s="19" t="s">
        <v>239</v>
      </c>
      <c r="D28" s="19" t="s">
        <v>240</v>
      </c>
      <c r="E28" s="19" t="s">
        <v>241</v>
      </c>
    </row>
    <row r="29" customFormat="false" ht="17.35" hidden="false" customHeight="false" outlineLevel="0" collapsed="false">
      <c r="B29" s="17" t="s">
        <v>936</v>
      </c>
      <c r="C29" s="28" t="n">
        <f aca="false">IF(Adjust_For_Inflation="Yes",Value_Today,Value_After_Fees)</f>
        <v>73108.7854450597</v>
      </c>
      <c r="D29" s="22" t="s">
        <v>207</v>
      </c>
      <c r="E29" s="29" t="s">
        <v>937</v>
      </c>
    </row>
    <row r="30" customFormat="false" ht="15" hidden="false" customHeight="false" outlineLevel="0" collapsed="false">
      <c r="B30" s="20" t="s">
        <v>938</v>
      </c>
      <c r="C30" s="30" t="n">
        <f aca="false">FV((1+Growth_After_Fees)^(1/12)-1,Years*12,-Used_Monthly_Amount)</f>
        <v>73108.7854450597</v>
      </c>
      <c r="D30" s="22" t="s">
        <v>207</v>
      </c>
      <c r="E30" s="29" t="s">
        <v>939</v>
      </c>
    </row>
    <row r="31" customFormat="false" ht="15" hidden="false" customHeight="false" outlineLevel="0" collapsed="false">
      <c r="B31" s="20" t="s">
        <v>940</v>
      </c>
      <c r="C31" s="30" t="n">
        <f aca="false">FV((1+Growth_Rate)^(1/12)-1,Years*12,-Used_Monthly_Amount)</f>
        <v>79447.3783841599</v>
      </c>
      <c r="D31" s="22" t="s">
        <v>207</v>
      </c>
      <c r="E31" s="29" t="s">
        <v>941</v>
      </c>
    </row>
    <row r="32" customFormat="false" ht="17.35" hidden="false" customHeight="false" outlineLevel="0" collapsed="false">
      <c r="B32" s="17" t="s">
        <v>636</v>
      </c>
      <c r="C32" s="28" t="n">
        <f aca="false">Value_Before_Fees-Value_After_Fees</f>
        <v>6338.59293910017</v>
      </c>
      <c r="D32" s="22" t="s">
        <v>207</v>
      </c>
      <c r="E32" s="29" t="s">
        <v>942</v>
      </c>
    </row>
    <row r="33" customFormat="false" ht="15" hidden="false" customHeight="false" outlineLevel="0" collapsed="false">
      <c r="B33" s="20" t="s">
        <v>588</v>
      </c>
      <c r="C33" s="30" t="n">
        <f aca="false">Used_Monthly_Amount*12*Years</f>
        <v>54000</v>
      </c>
      <c r="D33" s="22" t="s">
        <v>207</v>
      </c>
      <c r="E33" s="29" t="s">
        <v>943</v>
      </c>
    </row>
    <row r="34" customFormat="false" ht="15" hidden="false" customHeight="false" outlineLevel="0" collapsed="false">
      <c r="B34" s="20" t="s">
        <v>586</v>
      </c>
      <c r="C34" s="30" t="str">
        <f aca="false">IF(ISBLANK(Inflation_Choice),"Enter your inflation rate",Value_After_Fees/(1+Inflation_Choice)^Years)</f>
        <v>Enter your inflation rate</v>
      </c>
      <c r="D34" s="22" t="s">
        <v>207</v>
      </c>
      <c r="E34" s="29" t="s">
        <v>944</v>
      </c>
    </row>
    <row r="35" customFormat="false" ht="15" hidden="false" customHeight="false" outlineLevel="0" collapsed="false">
      <c r="B35" s="20" t="s">
        <v>638</v>
      </c>
      <c r="C35" s="50" t="n">
        <f aca="false">(1+Growth_Rate)*(1-Used_Yearly_Fees)-1</f>
        <v>0.0395000000000001</v>
      </c>
      <c r="D35" s="22"/>
      <c r="E35" s="29" t="s">
        <v>639</v>
      </c>
    </row>
    <row r="36" customFormat="false" ht="15" hidden="false" customHeight="false" outlineLevel="0" collapsed="false">
      <c r="B36" s="20" t="s">
        <v>640</v>
      </c>
      <c r="C36" s="50" t="str">
        <f aca="false">IF(ISBLANK(Inflation_Choice),"Enter your inflation rate",(1+Growth_After_Fees)/(1+Inflation_Choice)-1)</f>
        <v>Enter your inflation rate</v>
      </c>
      <c r="D36" s="22"/>
      <c r="E36" s="29" t="s">
        <v>641</v>
      </c>
    </row>
    <row r="37" customFormat="false" ht="15" hidden="false" customHeight="false" outlineLevel="0" collapsed="false">
      <c r="B37" s="54" t="str">
        <f aca="false">"Before tax: deposit interest is taxed at "&amp;TEXT(DIRT,"0%")&amp;" DIRT; investment funds and life policies pay "&amp;TEXT(Exit_Tax,"0%")&amp;" exit tax on gains, also charged every "&amp;Deemed_Disposal_Years&amp;" years (deemed disposal). Pension funds grow tax-free. No tax is taken off here."</f>
        <v>Before tax: deposit interest is taxed at 33% DIRT; investment funds and life policies pay 38% exit tax on gains, also charged every 8 years (deemed disposal). Pension funds grow tax-free. No tax is taken off here.</v>
      </c>
      <c r="C37" s="54"/>
      <c r="D37" s="54"/>
      <c r="E37" s="54"/>
    </row>
    <row r="39" customFormat="false" ht="15" hidden="false" customHeight="false" outlineLevel="0" collapsed="false">
      <c r="B39" s="9" t="s">
        <v>271</v>
      </c>
      <c r="C39" s="10"/>
      <c r="D39" s="10"/>
      <c r="E39" s="10"/>
    </row>
    <row r="40" customFormat="false" ht="27.75" hidden="false" customHeight="true" outlineLevel="0" collapsed="false">
      <c r="B40" s="33" t="s">
        <v>945</v>
      </c>
      <c r="C40" s="33"/>
      <c r="D40" s="33"/>
      <c r="E40" s="33"/>
    </row>
    <row r="41" customFormat="false" ht="13.5" hidden="false" customHeight="true" outlineLevel="0" collapsed="false">
      <c r="B41" s="33" t="s">
        <v>946</v>
      </c>
      <c r="C41" s="33"/>
      <c r="D41" s="33"/>
      <c r="E41" s="33"/>
    </row>
    <row r="42" customFormat="false" ht="13.5" hidden="false" customHeight="true" outlineLevel="0" collapsed="false">
      <c r="B42" s="34" t="s">
        <v>275</v>
      </c>
      <c r="C42" s="34"/>
      <c r="D42" s="34"/>
      <c r="E42" s="34"/>
    </row>
    <row r="43" customFormat="false" ht="13.5" hidden="false" customHeight="true" outlineLevel="0" collapsed="false">
      <c r="B43" s="33" t="s">
        <v>947</v>
      </c>
      <c r="C43" s="33"/>
      <c r="D43" s="33"/>
      <c r="E43" s="33"/>
    </row>
    <row r="45" customFormat="false" ht="15" hidden="false" customHeight="false" outlineLevel="0" collapsed="false">
      <c r="B45" s="9" t="s">
        <v>280</v>
      </c>
      <c r="C45" s="10"/>
      <c r="D45" s="10"/>
      <c r="E45" s="10"/>
    </row>
    <row r="46" customFormat="false" ht="15" hidden="false" customHeight="false" outlineLevel="0" collapsed="false">
      <c r="B46" s="20" t="s">
        <v>281</v>
      </c>
      <c r="C46" s="35" t="str">
        <f aca="false">"Grow my wealth (plan kind pot)"</f>
        <v>Grow my wealth (plan kind pot)</v>
      </c>
      <c r="E46" s="36" t="s">
        <v>596</v>
      </c>
    </row>
    <row r="47" customFormat="false" ht="15" hidden="false" customHeight="false" outlineLevel="0" collapsed="false">
      <c r="B47" s="20" t="s">
        <v>597</v>
      </c>
      <c r="C47" s="37" t="str">
        <f aca="false">IF(ISBLANK(Inflation_Choice),"Choose an inflation rate first",ROUND(Value_Today,0))</f>
        <v>Choose an inflation rate first</v>
      </c>
      <c r="E47" s="36" t="s">
        <v>598</v>
      </c>
    </row>
    <row r="48" customFormat="false" ht="15" hidden="false" customHeight="false" outlineLevel="0" collapsed="false">
      <c r="B48" s="20" t="s">
        <v>287</v>
      </c>
      <c r="C48" s="38" t="n">
        <f aca="false">Years</f>
        <v>15</v>
      </c>
      <c r="E48" s="36" t="s">
        <v>568</v>
      </c>
    </row>
    <row r="49" customFormat="false" ht="15" hidden="false" customHeight="false" outlineLevel="0" collapsed="false">
      <c r="B49" s="20" t="s">
        <v>569</v>
      </c>
      <c r="C49" s="55" t="str">
        <f aca="false">IF(ISBLANK(Inflation_Choice),"Choose an inflation rate first",Inflation_Choice)</f>
        <v>Choose an inflation rate first</v>
      </c>
      <c r="E49" s="36" t="s">
        <v>570</v>
      </c>
    </row>
    <row r="50" customFormat="false" ht="13.5" hidden="false" customHeight="true" outlineLevel="0" collapsed="false">
      <c r="B50" s="39" t="s">
        <v>948</v>
      </c>
      <c r="C50" s="39"/>
      <c r="D50" s="39"/>
      <c r="E50" s="39"/>
    </row>
  </sheetData>
  <mergeCells count="8">
    <mergeCell ref="B7:E7"/>
    <mergeCell ref="B10:E10"/>
    <mergeCell ref="B37:E37"/>
    <mergeCell ref="B40:E40"/>
    <mergeCell ref="B41:E41"/>
    <mergeCell ref="B42:E42"/>
    <mergeCell ref="B43:E43"/>
    <mergeCell ref="B50:E50"/>
  </mergeCells>
  <dataValidations count="9">
    <dataValidation allowBlank="true" error="Please enter a date (dd/mm/yyyy)." errorStyle="stop" errorTitle="Outside the allowed range" operator="greaterThan" prompt="Unit: date. Allowed: a date (dd/mm/yyyy)." promptTitle="Statement date" showDropDown="false" showErrorMessage="true" showInputMessage="true" sqref="C13" type="date">
      <formula1>36526</formula1>
      <formula2>0</formula2>
    </dataValidation>
    <dataValidation allowBlank="true" error="Please enter 0% to 10% · steps of 0.25%." errorStyle="stop" errorTitle="Outside the allowed range" operator="between" prompt="Everyone sees this differently. Ireland's prices are rising 3.9% now (CSO HICP flash, Sep 2026), mostly because of energy. Over decades, 2%–2.5% is the usual planning range (ECB target 2%). Enter 0% if you don't want t Allowed: 0% to 10% · steps of 0.25%." promptTitle="Inflation you expect (your choic" showDropDown="false" showErrorMessage="true" showInputMessage="true" sqref="C6" type="decimal">
      <formula1>0</formula1>
      <formula2>0.1</formula2>
    </dataValidation>
    <dataValidation allowBlank="false" error="Please enter 1 to 40 · steps of 1." errorStyle="stop" errorTitle="Outside the allowed range" operator="between" prompt="Unit: years. Allowed: 1 to 40 · steps of 1." promptTitle="Years" showDropDown="false" showErrorMessage="true" showInputMessage="true" sqref="C17" type="whole">
      <formula1>1</formula1>
      <formula2>40</formula2>
    </dataValidation>
    <dataValidation allowBlank="true" error="Please enter 0% to 5%." errorStyle="stop" errorTitle="Outside the allowed range" operator="between" prompt="Unit: %. Allowed: 0% to 5%." promptTitle="Annual charges % (if shown)" showDropDown="false" showErrorMessage="true" showInputMessage="true" sqref="C12" type="decimal">
      <formula1>0</formula1>
      <formula2>0.05</formula2>
    </dataValidation>
    <dataValidation allowBlank="false" error="Please enter 0% to 3% · steps of 0.05%." errorStyle="stop" errorTitle="Outside the allowed range" operator="between" prompt="Suggested · change if you like. Fund charges are often about 1% a year. Your statement shows your actual charges.  Allowed: 0% to 3% · steps of 0.05%." promptTitle="Yearly fees" showDropDown="false" showErrorMessage="true" showInputMessage="true" sqref="C19" type="decimal">
      <formula1>0</formula1>
      <formula2>0.03</formula2>
    </dataValidation>
    <dataValidation allowBlank="true" error="Please enter €0 to €1,000,000." errorStyle="stop" errorTitle="Outside the allowed range" operator="between" prompt="Unit: €. Allowed: €0 to €1,000,000." promptTitle="Monthly amount invested" showDropDown="false" showErrorMessage="true" showInputMessage="true" sqref="C11" type="decimal">
      <formula1>0</formula1>
      <formula2>1000000</formula2>
    </dataValidation>
    <dataValidation allowBlank="false" error="Please enter €25 to €50,000 · steps of €25." errorStyle="stop" errorTitle="Outside the allowed range" operator="between" prompt="Unit: €. Allowed: €25 to €50,000 · steps of €25." promptTitle="Monthly amount" showDropDown="false" showErrorMessage="true" showInputMessage="true" sqref="C16" type="decimal">
      <formula1>25</formula1>
      <formula2>50000</formula2>
    </dataValidation>
    <dataValidation allowBlank="false" error="Please enter 0% to 8% · steps of 0.5%." errorStyle="stop" errorTitle="Outside the allowed range" operator="between" prompt="Suggested · change if you like. A typical mixed fund has grown 5%–6% a year before charges and tax over long periods, but not every year. Growth is never guaranteed.  Allowed: 0% to 8% · steps of 0.5%." promptTitle="Growth a year (before fees)" showDropDown="false" showErrorMessage="true" showInputMessage="true" sqref="C18" type="decimal">
      <formula1>0</formula1>
      <formula2>0.08</formula2>
    </dataValidation>
    <dataValidation allowBlank="false" error="Please enter Yes or No." errorStyle="stop" errorTitle="Outside the allowed range" operator="between" prompt="Unit: Yes / No. Allowed: Yes or No." promptTitle="Show in today's money?" showDropDown="false" showErrorMessage="true" showInputMessage="true" sqref="C20"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G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50"/>
    <col collapsed="false" customWidth="true" hidden="false" outlineLevel="0" max="3" min="3" style="0" width="26"/>
    <col collapsed="false" customWidth="true" hidden="false" outlineLevel="0" max="4" min="4" style="0" width="24"/>
    <col collapsed="false" customWidth="true" hidden="false" outlineLevel="0" max="5" min="5" style="0" width="78"/>
    <col collapsed="false" customWidth="true" hidden="false" outlineLevel="0" max="6" min="6" style="0" width="2"/>
    <col collapsed="false" customWidth="true" hidden="false" outlineLevel="0" max="7" min="7" style="0" width="44"/>
  </cols>
  <sheetData>
    <row r="1" customFormat="false" ht="19.7" hidden="false" customHeight="false" outlineLevel="0" collapsed="false">
      <c r="B1" s="16" t="s">
        <v>949</v>
      </c>
      <c r="G1" s="2" t="s">
        <v>601</v>
      </c>
    </row>
    <row r="2" customFormat="false" ht="15" hidden="false" customHeight="false" outlineLevel="0" collapsed="false">
      <c r="B2" s="17" t="s">
        <v>950</v>
      </c>
      <c r="G2" s="2" t="s">
        <v>951</v>
      </c>
    </row>
    <row r="3" customFormat="false" ht="15" hidden="false" customHeight="false" outlineLevel="0" collapsed="false">
      <c r="B3" s="18" t="s">
        <v>952</v>
      </c>
    </row>
    <row r="5" customFormat="false" ht="15" hidden="false" customHeight="false" outlineLevel="0" collapsed="false">
      <c r="B5" s="9" t="s">
        <v>293</v>
      </c>
      <c r="C5" s="10"/>
      <c r="D5" s="10"/>
      <c r="E5" s="10"/>
    </row>
    <row r="6" customFormat="false" ht="27.75" hidden="false" customHeight="true" outlineLevel="0" collapsed="false">
      <c r="B6" s="39" t="s">
        <v>605</v>
      </c>
      <c r="C6" s="39"/>
      <c r="D6" s="39"/>
      <c r="E6" s="39"/>
    </row>
    <row r="7" customFormat="false" ht="15" hidden="false" customHeight="false" outlineLevel="0" collapsed="false">
      <c r="B7" s="20" t="s">
        <v>606</v>
      </c>
      <c r="C7" s="40"/>
      <c r="D7" s="22" t="s">
        <v>207</v>
      </c>
      <c r="E7" s="2" t="s">
        <v>607</v>
      </c>
      <c r="G7" s="23" t="s">
        <v>297</v>
      </c>
    </row>
    <row r="8" customFormat="false" ht="15" hidden="false" customHeight="false" outlineLevel="0" collapsed="false">
      <c r="B8" s="20" t="s">
        <v>608</v>
      </c>
      <c r="C8" s="41"/>
      <c r="D8" s="22" t="s">
        <v>222</v>
      </c>
      <c r="E8" s="2" t="s">
        <v>609</v>
      </c>
      <c r="G8" s="23" t="s">
        <v>297</v>
      </c>
    </row>
    <row r="9" customFormat="false" ht="15" hidden="false" customHeight="false" outlineLevel="0" collapsed="false">
      <c r="B9" s="20" t="s">
        <v>304</v>
      </c>
      <c r="C9" s="43"/>
      <c r="D9" s="22" t="s">
        <v>305</v>
      </c>
      <c r="E9" s="2" t="s">
        <v>306</v>
      </c>
      <c r="G9" s="23" t="s">
        <v>297</v>
      </c>
    </row>
    <row r="11" customFormat="false" ht="15" hidden="false" customHeight="false" outlineLevel="0" collapsed="false">
      <c r="B11" s="9" t="s">
        <v>307</v>
      </c>
      <c r="C11" s="19" t="s">
        <v>203</v>
      </c>
      <c r="D11" s="19" t="s">
        <v>204</v>
      </c>
      <c r="E11" s="19" t="s">
        <v>205</v>
      </c>
    </row>
    <row r="12" customFormat="false" ht="15" hidden="false" customHeight="false" outlineLevel="0" collapsed="false">
      <c r="B12" s="20" t="s">
        <v>953</v>
      </c>
      <c r="C12" s="21" t="n">
        <v>50000</v>
      </c>
      <c r="D12" s="22" t="s">
        <v>207</v>
      </c>
      <c r="E12" s="2" t="s">
        <v>954</v>
      </c>
      <c r="G12" s="23" t="s">
        <v>955</v>
      </c>
    </row>
    <row r="13" customFormat="false" ht="15" hidden="false" customHeight="false" outlineLevel="0" collapsed="false">
      <c r="B13" s="20" t="s">
        <v>581</v>
      </c>
      <c r="C13" s="27" t="n">
        <v>20</v>
      </c>
      <c r="D13" s="22" t="s">
        <v>226</v>
      </c>
      <c r="E13" s="2" t="s">
        <v>582</v>
      </c>
      <c r="G13" s="23" t="s">
        <v>583</v>
      </c>
    </row>
    <row r="14" customFormat="false" ht="15" hidden="false" customHeight="false" outlineLevel="0" collapsed="false">
      <c r="B14" s="20" t="s">
        <v>933</v>
      </c>
      <c r="C14" s="25" t="n">
        <v>0.05</v>
      </c>
      <c r="D14" s="22" t="s">
        <v>222</v>
      </c>
      <c r="E14" s="26" t="s">
        <v>501</v>
      </c>
      <c r="G14" s="23" t="s">
        <v>914</v>
      </c>
    </row>
    <row r="15" customFormat="false" ht="15" hidden="false" customHeight="false" outlineLevel="0" collapsed="false">
      <c r="B15" s="20" t="s">
        <v>956</v>
      </c>
      <c r="C15" s="25" t="n">
        <v>0.005</v>
      </c>
      <c r="D15" s="22" t="s">
        <v>222</v>
      </c>
      <c r="E15" s="26" t="s">
        <v>504</v>
      </c>
      <c r="G15" s="23" t="s">
        <v>957</v>
      </c>
    </row>
    <row r="16" customFormat="false" ht="15" hidden="false" customHeight="false" outlineLevel="0" collapsed="false">
      <c r="B16" s="20" t="s">
        <v>958</v>
      </c>
      <c r="C16" s="25" t="n">
        <v>0.015</v>
      </c>
      <c r="D16" s="22" t="s">
        <v>222</v>
      </c>
      <c r="E16" s="26" t="s">
        <v>504</v>
      </c>
      <c r="G16" s="23" t="s">
        <v>959</v>
      </c>
    </row>
    <row r="18" customFormat="false" ht="15" hidden="false" customHeight="false" outlineLevel="0" collapsed="false">
      <c r="B18" s="9" t="s">
        <v>321</v>
      </c>
      <c r="C18" s="10"/>
      <c r="D18" s="10"/>
      <c r="E18" s="10"/>
    </row>
    <row r="19" customFormat="false" ht="15" hidden="false" customHeight="false" outlineLevel="0" collapsed="false">
      <c r="B19" s="20" t="s">
        <v>624</v>
      </c>
      <c r="C19" s="32" t="str">
        <f aca="false">IF(COUNTA(Stmt_Total_Value,Stmt_Charges,Stmt_Statement_Date)&gt;0,"Yes","No")</f>
        <v>No</v>
      </c>
      <c r="D19" s="22"/>
      <c r="E19" s="29" t="s">
        <v>625</v>
      </c>
    </row>
    <row r="20" customFormat="false" ht="15" hidden="false" customHeight="false" outlineLevel="0" collapsed="false">
      <c r="B20" s="20" t="s">
        <v>953</v>
      </c>
      <c r="C20" s="44" t="n">
        <f aca="false">IF(ISBLANK(Stmt_Total_Value),Amount_Invested,Stmt_Total_Value)</f>
        <v>50000</v>
      </c>
      <c r="D20" s="45" t="str">
        <f aca="false">IF(ISBLANK(Stmt_Total_Value),"Your figure","From your statement")</f>
        <v>Your figure</v>
      </c>
      <c r="E20" s="36" t="s">
        <v>960</v>
      </c>
    </row>
    <row r="21" customFormat="false" ht="15" hidden="false" customHeight="false" outlineLevel="0" collapsed="false">
      <c r="B21" s="20" t="s">
        <v>961</v>
      </c>
      <c r="C21" s="46" t="n">
        <f aca="false">IF(NOT(ISBLANK(Stmt_Charges)),Stmt_Charges,IF(Statement_Uploaded="Yes",0,Fee_A))</f>
        <v>0.005</v>
      </c>
      <c r="D21" s="45" t="str">
        <f aca="false">IF(NOT(ISBLANK(Stmt_Charges)),"From your statement",IF(Statement_Uploaded="Yes","None shown on your statement","Your figure"))</f>
        <v>Your figure</v>
      </c>
      <c r="E21" s="36" t="s">
        <v>962</v>
      </c>
    </row>
    <row r="22" customFormat="false" ht="22.35" hidden="false" customHeight="false" outlineLevel="0" collapsed="false">
      <c r="B22" s="20" t="s">
        <v>327</v>
      </c>
      <c r="C22" s="32" t="str">
        <f aca="true">IF(ISBLANK(Stmt_Statement_Date),"",IF(TODAY()-Stmt_Statement_Date&gt;Statement_Max_Age_Days,"Needs a look: statement is more than 12 months old","Up to date"))</f>
        <v/>
      </c>
      <c r="D22" s="22"/>
      <c r="E22" s="29" t="s">
        <v>328</v>
      </c>
    </row>
    <row r="24" customFormat="false" ht="15" hidden="false" customHeight="false" outlineLevel="0" collapsed="false">
      <c r="B24" s="9" t="s">
        <v>238</v>
      </c>
      <c r="C24" s="19" t="s">
        <v>239</v>
      </c>
      <c r="D24" s="19" t="s">
        <v>240</v>
      </c>
      <c r="E24" s="19" t="s">
        <v>241</v>
      </c>
    </row>
    <row r="25" customFormat="false" ht="17.35" hidden="false" customHeight="false" outlineLevel="0" collapsed="false">
      <c r="B25" s="17" t="s">
        <v>963</v>
      </c>
      <c r="C25" s="28" t="n">
        <f aca="false">ABS(Value_With_Fee_A-Value_With_Fee_B)</f>
        <v>21952.5954486869</v>
      </c>
      <c r="D25" s="22" t="s">
        <v>207</v>
      </c>
      <c r="E25" s="29" t="s">
        <v>964</v>
      </c>
    </row>
    <row r="26" customFormat="false" ht="17.35" hidden="false" customHeight="false" outlineLevel="0" collapsed="false">
      <c r="B26" s="17" t="s">
        <v>965</v>
      </c>
      <c r="C26" s="28" t="n">
        <f aca="false">Used_Amount_Invested*((1+Growth_Rate)*(1-Used_Fee_A))^Years</f>
        <v>120010.045568112</v>
      </c>
      <c r="D26" s="22" t="s">
        <v>207</v>
      </c>
      <c r="E26" s="29" t="s">
        <v>966</v>
      </c>
    </row>
    <row r="27" customFormat="false" ht="17.35" hidden="false" customHeight="false" outlineLevel="0" collapsed="false">
      <c r="B27" s="17" t="s">
        <v>967</v>
      </c>
      <c r="C27" s="28" t="n">
        <f aca="false">Used_Amount_Invested*((1+Growth_Rate)*(1-Fee_B))^Years</f>
        <v>98057.4501194251</v>
      </c>
      <c r="D27" s="22" t="s">
        <v>207</v>
      </c>
      <c r="E27" s="29" t="s">
        <v>968</v>
      </c>
    </row>
    <row r="28" customFormat="false" ht="15" hidden="false" customHeight="false" outlineLevel="0" collapsed="false">
      <c r="B28" s="20" t="s">
        <v>969</v>
      </c>
      <c r="C28" s="51" t="n">
        <f aca="false">ABS(Fee_B-Used_Fee_A)</f>
        <v>0.01</v>
      </c>
      <c r="D28" s="22" t="s">
        <v>222</v>
      </c>
      <c r="E28" s="29" t="s">
        <v>970</v>
      </c>
    </row>
    <row r="30" customFormat="false" ht="15" hidden="false" customHeight="false" outlineLevel="0" collapsed="false">
      <c r="B30" s="9" t="s">
        <v>271</v>
      </c>
      <c r="C30" s="10"/>
      <c r="D30" s="10"/>
      <c r="E30" s="10"/>
    </row>
    <row r="31" customFormat="false" ht="13.5" hidden="false" customHeight="true" outlineLevel="0" collapsed="false">
      <c r="B31" s="33" t="s">
        <v>971</v>
      </c>
      <c r="C31" s="33"/>
      <c r="D31" s="33"/>
      <c r="E31" s="33"/>
    </row>
    <row r="32" customFormat="false" ht="13.5" hidden="false" customHeight="true" outlineLevel="0" collapsed="false">
      <c r="B32" s="34" t="s">
        <v>275</v>
      </c>
      <c r="C32" s="34"/>
      <c r="D32" s="34"/>
      <c r="E32" s="34"/>
    </row>
    <row r="33" customFormat="false" ht="13.5" hidden="false" customHeight="true" outlineLevel="0" collapsed="false">
      <c r="B33" s="33" t="s">
        <v>972</v>
      </c>
      <c r="C33" s="33"/>
      <c r="D33" s="33"/>
      <c r="E33" s="33"/>
    </row>
    <row r="35" customFormat="false" ht="15" hidden="false" customHeight="false" outlineLevel="0" collapsed="false">
      <c r="B35" s="9" t="s">
        <v>280</v>
      </c>
      <c r="C35" s="10"/>
      <c r="D35" s="10"/>
      <c r="E35" s="10"/>
    </row>
    <row r="36" customFormat="false" ht="15" hidden="false" customHeight="false" outlineLevel="0" collapsed="false">
      <c r="B36" s="20" t="s">
        <v>281</v>
      </c>
      <c r="C36" s="35" t="str">
        <f aca="false">"No goal"</f>
        <v>No goal</v>
      </c>
      <c r="E36" s="36" t="s">
        <v>461</v>
      </c>
    </row>
  </sheetData>
  <mergeCells count="4">
    <mergeCell ref="B6:E6"/>
    <mergeCell ref="B31:E31"/>
    <mergeCell ref="B32:E32"/>
    <mergeCell ref="B33:E33"/>
  </mergeCells>
  <dataValidations count="8">
    <dataValidation allowBlank="true" error="Please enter a date (dd/mm/yyyy)." errorStyle="stop" errorTitle="Outside the allowed range" operator="greaterThan" prompt="Unit: date. Allowed: a date (dd/mm/yyyy)." promptTitle="Statement date" showDropDown="false" showErrorMessage="true" showInputMessage="true" sqref="C9" type="date">
      <formula1>36526</formula1>
      <formula2>0</formula2>
    </dataValidation>
    <dataValidation allowBlank="false" error="Please enter 1 to 40 · steps of 1." errorStyle="stop" errorTitle="Outside the allowed range" operator="between" prompt="Unit: years. Allowed: 1 to 40 · steps of 1." promptTitle="Years" showDropDown="false" showErrorMessage="true" showInputMessage="true" sqref="C13" type="whole">
      <formula1>1</formula1>
      <formula2>40</formula2>
    </dataValidation>
    <dataValidation allowBlank="true" error="Please enter €0 to €100,000,000." errorStyle="stop" errorTitle="Outside the allowed range" operator="between" prompt="Unit: €. Allowed: €0 to €100,000,000." promptTitle="Total value" showDropDown="false" showErrorMessage="true" showInputMessage="true" sqref="C7" type="decimal">
      <formula1>0</formula1>
      <formula2>100000000</formula2>
    </dataValidation>
    <dataValidation allowBlank="true" error="Please enter 0% to 5%." errorStyle="stop" errorTitle="Outside the allowed range" operator="between" prompt="Unit: %. Allowed: 0% to 5%." promptTitle="Annual charges % (if shown)" showDropDown="false" showErrorMessage="true" showInputMessage="true" sqref="C8" type="decimal">
      <formula1>0</formula1>
      <formula2>0.05</formula2>
    </dataValidation>
    <dataValidation allowBlank="false" error="Please enter 0% to 8% · steps of 0.5%." errorStyle="stop" errorTitle="Outside the allowed range" operator="between" prompt="Suggested · change if you like. A typical mixed fund has grown 5%–6% a year before charges and tax over long periods, but not every year. Growth is never guaranteed.  Allowed: 0% to 8% · steps of 0.5%." promptTitle="Growth a year (before fees)" showDropDown="false" showErrorMessage="true" showInputMessage="true" sqref="C14" type="decimal">
      <formula1>0</formula1>
      <formula2>0.08</formula2>
    </dataValidation>
    <dataValidation allowBlank="false" error="Please enter €1,000 to €10,000,000 · steps of €100." errorStyle="stop" errorTitle="Outside the allowed range" operator="between" prompt="Unit: €. Allowed: €1,000 to €10,000,000 · steps of €100." promptTitle="Amount invested" showDropDown="false" showErrorMessage="true" showInputMessage="true" sqref="C12" type="decimal">
      <formula1>1000</formula1>
      <formula2>10000000</formula2>
    </dataValidation>
    <dataValidation allowBlank="false" error="Please enter 0% to 3% · steps of 0.1%." errorStyle="stop" errorTitle="Outside the allowed range" operator="between" prompt="Suggested · change if you like. Fund charges are often about 1% a year. Your statement shows your actual charges.  Allowed: 0% to 3% · steps of 0.1%." promptTitle="Fee A a year" showDropDown="false" showErrorMessage="true" showInputMessage="true" sqref="C15" type="decimal">
      <formula1>0</formula1>
      <formula2>0.03</formula2>
    </dataValidation>
    <dataValidation allowBlank="false" error="Please enter 0% to 3% · steps of 0.1%." errorStyle="stop" errorTitle="Outside the allowed range" operator="between" prompt="Suggested · change if you like. Fund charges are often about 1% a year. Your statement shows your actual charges.  Allowed: 0% to 3% · steps of 0.1%." promptTitle="Fee B a year" showDropDown="false" showErrorMessage="true" showInputMessage="true" sqref="C16" type="decimal">
      <formula1>0</formula1>
      <formula2>0.03</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G4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50"/>
    <col collapsed="false" customWidth="true" hidden="false" outlineLevel="0" max="3" min="3" style="0" width="26"/>
    <col collapsed="false" customWidth="true" hidden="false" outlineLevel="0" max="4" min="4" style="0" width="24"/>
    <col collapsed="false" customWidth="true" hidden="false" outlineLevel="0" max="5" min="5" style="0" width="78"/>
    <col collapsed="false" customWidth="true" hidden="false" outlineLevel="0" max="6" min="6" style="0" width="2"/>
    <col collapsed="false" customWidth="true" hidden="false" outlineLevel="0" max="7" min="7" style="0" width="44"/>
  </cols>
  <sheetData>
    <row r="1" customFormat="false" ht="19.7" hidden="false" customHeight="false" outlineLevel="0" collapsed="false">
      <c r="B1" s="16" t="s">
        <v>973</v>
      </c>
      <c r="G1" s="2" t="s">
        <v>601</v>
      </c>
    </row>
    <row r="2" customFormat="false" ht="15" hidden="false" customHeight="false" outlineLevel="0" collapsed="false">
      <c r="B2" s="17" t="s">
        <v>974</v>
      </c>
      <c r="G2" s="2" t="s">
        <v>975</v>
      </c>
    </row>
    <row r="3" customFormat="false" ht="15" hidden="false" customHeight="false" outlineLevel="0" collapsed="false">
      <c r="B3" s="18" t="s">
        <v>976</v>
      </c>
    </row>
    <row r="5" customFormat="false" ht="15" hidden="false" customHeight="false" outlineLevel="0" collapsed="false">
      <c r="B5" s="9" t="s">
        <v>293</v>
      </c>
      <c r="C5" s="10"/>
      <c r="D5" s="10"/>
      <c r="E5" s="10"/>
    </row>
    <row r="6" customFormat="false" ht="27.75" hidden="false" customHeight="true" outlineLevel="0" collapsed="false">
      <c r="B6" s="39" t="s">
        <v>605</v>
      </c>
      <c r="C6" s="39"/>
      <c r="D6" s="39"/>
      <c r="E6" s="39"/>
    </row>
    <row r="7" customFormat="false" ht="15" hidden="false" customHeight="false" outlineLevel="0" collapsed="false">
      <c r="B7" s="20" t="s">
        <v>606</v>
      </c>
      <c r="C7" s="40"/>
      <c r="D7" s="22" t="s">
        <v>207</v>
      </c>
      <c r="E7" s="2" t="s">
        <v>607</v>
      </c>
      <c r="G7" s="23" t="s">
        <v>297</v>
      </c>
    </row>
    <row r="8" customFormat="false" ht="15" hidden="false" customHeight="false" outlineLevel="0" collapsed="false">
      <c r="B8" s="20" t="s">
        <v>977</v>
      </c>
      <c r="C8" s="41"/>
      <c r="D8" s="22" t="s">
        <v>222</v>
      </c>
      <c r="E8" s="2" t="s">
        <v>978</v>
      </c>
      <c r="G8" s="23" t="s">
        <v>297</v>
      </c>
    </row>
    <row r="9" customFormat="false" ht="15" hidden="false" customHeight="false" outlineLevel="0" collapsed="false">
      <c r="B9" s="20" t="s">
        <v>304</v>
      </c>
      <c r="C9" s="43"/>
      <c r="D9" s="22" t="s">
        <v>305</v>
      </c>
      <c r="E9" s="2" t="s">
        <v>306</v>
      </c>
      <c r="G9" s="23" t="s">
        <v>297</v>
      </c>
    </row>
    <row r="11" customFormat="false" ht="15" hidden="false" customHeight="false" outlineLevel="0" collapsed="false">
      <c r="B11" s="9" t="s">
        <v>307</v>
      </c>
      <c r="C11" s="19" t="s">
        <v>203</v>
      </c>
      <c r="D11" s="19" t="s">
        <v>204</v>
      </c>
      <c r="E11" s="19" t="s">
        <v>205</v>
      </c>
    </row>
    <row r="12" customFormat="false" ht="15" hidden="false" customHeight="false" outlineLevel="0" collapsed="false">
      <c r="B12" s="20" t="s">
        <v>610</v>
      </c>
      <c r="C12" s="21" t="n">
        <v>20000</v>
      </c>
      <c r="D12" s="22" t="s">
        <v>207</v>
      </c>
      <c r="E12" s="2" t="s">
        <v>954</v>
      </c>
      <c r="G12" s="23" t="s">
        <v>911</v>
      </c>
    </row>
    <row r="13" customFormat="false" ht="15" hidden="false" customHeight="false" outlineLevel="0" collapsed="false">
      <c r="B13" s="20" t="s">
        <v>581</v>
      </c>
      <c r="C13" s="27" t="n">
        <v>10</v>
      </c>
      <c r="D13" s="22" t="s">
        <v>226</v>
      </c>
      <c r="E13" s="2" t="s">
        <v>495</v>
      </c>
      <c r="G13" s="23" t="s">
        <v>496</v>
      </c>
    </row>
    <row r="14" customFormat="false" ht="15" hidden="false" customHeight="false" outlineLevel="0" collapsed="false">
      <c r="B14" s="20" t="s">
        <v>979</v>
      </c>
      <c r="C14" s="27" t="n">
        <v>2</v>
      </c>
      <c r="D14" s="22" t="s">
        <v>980</v>
      </c>
      <c r="E14" s="2" t="s">
        <v>981</v>
      </c>
      <c r="G14" s="23" t="s">
        <v>982</v>
      </c>
    </row>
    <row r="15" customFormat="false" ht="15" hidden="false" customHeight="false" outlineLevel="0" collapsed="false">
      <c r="B15" s="20" t="s">
        <v>983</v>
      </c>
      <c r="C15" s="25" t="n">
        <v>0.02</v>
      </c>
      <c r="D15" s="22" t="s">
        <v>222</v>
      </c>
      <c r="E15" s="26" t="s">
        <v>501</v>
      </c>
      <c r="G15" s="23" t="s">
        <v>499</v>
      </c>
    </row>
    <row r="16" customFormat="false" ht="15" hidden="false" customHeight="false" outlineLevel="0" collapsed="false">
      <c r="B16" s="20" t="s">
        <v>984</v>
      </c>
      <c r="C16" s="25" t="n">
        <v>0.04</v>
      </c>
      <c r="D16" s="22" t="s">
        <v>222</v>
      </c>
      <c r="E16" s="26" t="s">
        <v>501</v>
      </c>
      <c r="G16" s="23" t="s">
        <v>580</v>
      </c>
    </row>
    <row r="17" customFormat="false" ht="15" hidden="false" customHeight="false" outlineLevel="0" collapsed="false">
      <c r="B17" s="20" t="s">
        <v>985</v>
      </c>
      <c r="C17" s="25" t="n">
        <v>0.06</v>
      </c>
      <c r="D17" s="22" t="s">
        <v>222</v>
      </c>
      <c r="E17" s="26" t="s">
        <v>501</v>
      </c>
      <c r="G17" s="23" t="s">
        <v>888</v>
      </c>
    </row>
    <row r="18" customFormat="false" ht="15" hidden="false" customHeight="false" outlineLevel="0" collapsed="false">
      <c r="B18" s="20" t="s">
        <v>986</v>
      </c>
      <c r="C18" s="25" t="n">
        <v>0.05</v>
      </c>
      <c r="D18" s="22" t="s">
        <v>222</v>
      </c>
      <c r="E18" s="26" t="s">
        <v>987</v>
      </c>
      <c r="G18" s="23" t="s">
        <v>914</v>
      </c>
    </row>
    <row r="19" customFormat="false" ht="15" hidden="false" customHeight="false" outlineLevel="0" collapsed="false">
      <c r="B19" s="20" t="s">
        <v>988</v>
      </c>
      <c r="C19" s="25" t="n">
        <v>0.1</v>
      </c>
      <c r="D19" s="22" t="s">
        <v>222</v>
      </c>
      <c r="E19" s="26" t="s">
        <v>987</v>
      </c>
      <c r="G19" s="23" t="s">
        <v>989</v>
      </c>
    </row>
    <row r="20" customFormat="false" ht="15" hidden="false" customHeight="false" outlineLevel="0" collapsed="false">
      <c r="B20" s="20" t="s">
        <v>990</v>
      </c>
      <c r="C20" s="25" t="n">
        <v>0.16</v>
      </c>
      <c r="D20" s="22" t="s">
        <v>222</v>
      </c>
      <c r="E20" s="26" t="s">
        <v>987</v>
      </c>
      <c r="G20" s="23" t="s">
        <v>991</v>
      </c>
    </row>
    <row r="22" customFormat="false" ht="15" hidden="false" customHeight="false" outlineLevel="0" collapsed="false">
      <c r="B22" s="9" t="s">
        <v>321</v>
      </c>
      <c r="C22" s="10"/>
      <c r="D22" s="10"/>
      <c r="E22" s="10"/>
    </row>
    <row r="23" customFormat="false" ht="15" hidden="false" customHeight="false" outlineLevel="0" collapsed="false">
      <c r="B23" s="20" t="s">
        <v>610</v>
      </c>
      <c r="C23" s="44" t="n">
        <f aca="false">IF(ISBLANK(Stmt_Total_Value),Amount,Stmt_Total_Value)</f>
        <v>20000</v>
      </c>
      <c r="D23" s="45" t="str">
        <f aca="false">IF(ISBLANK(Stmt_Total_Value),"Your figure","From your statement")</f>
        <v>Your figure</v>
      </c>
      <c r="E23" s="36" t="s">
        <v>626</v>
      </c>
    </row>
    <row r="24" customFormat="false" ht="15" hidden="false" customHeight="false" outlineLevel="0" collapsed="false">
      <c r="B24" s="20" t="s">
        <v>992</v>
      </c>
      <c r="C24" s="47" t="n">
        <f aca="false">IF(ISBLANK(Stmt_Shares_Pct),Style,IF(Stmt_Shares_Pct&gt;=Shares_For_Growth,3,IF(Stmt_Shares_Pct&gt;=Shares_For_Balanced,2,1)))</f>
        <v>2</v>
      </c>
      <c r="D24" s="45" t="str">
        <f aca="false">IF(ISBLANK(Stmt_Shares_Pct),"Your figure","From your statement (holdings in shares)")</f>
        <v>Your figure</v>
      </c>
      <c r="E24" s="36" t="s">
        <v>993</v>
      </c>
    </row>
    <row r="25" customFormat="false" ht="22.35" hidden="false" customHeight="false" outlineLevel="0" collapsed="false">
      <c r="B25" s="20" t="s">
        <v>327</v>
      </c>
      <c r="C25" s="32" t="str">
        <f aca="true">IF(ISBLANK(Stmt_Statement_Date),"",IF(TODAY()-Stmt_Statement_Date&gt;Statement_Max_Age_Days,"Needs a look: statement is more than 12 months old","Up to date"))</f>
        <v/>
      </c>
      <c r="D25" s="22"/>
      <c r="E25" s="29" t="s">
        <v>328</v>
      </c>
    </row>
    <row r="27" customFormat="false" ht="15" hidden="false" customHeight="false" outlineLevel="0" collapsed="false">
      <c r="B27" s="9" t="s">
        <v>238</v>
      </c>
      <c r="C27" s="19" t="s">
        <v>239</v>
      </c>
      <c r="D27" s="19" t="s">
        <v>240</v>
      </c>
      <c r="E27" s="19" t="s">
        <v>241</v>
      </c>
    </row>
    <row r="28" customFormat="false" ht="17.35" hidden="false" customHeight="false" outlineLevel="0" collapsed="false">
      <c r="B28" s="17" t="s">
        <v>994</v>
      </c>
      <c r="C28" s="28" t="n">
        <f aca="false">Used_Amount*(1+Middle_Growth)^Years</f>
        <v>29604.8856983669</v>
      </c>
      <c r="D28" s="49" t="str">
        <f aca="false">Style_Name&amp;" · middle outcome"</f>
        <v>Balanced · middle outcome</v>
      </c>
      <c r="E28" s="29" t="s">
        <v>995</v>
      </c>
    </row>
    <row r="29" customFormat="false" ht="17.35" hidden="false" customHeight="false" outlineLevel="0" collapsed="false">
      <c r="B29" s="17" t="s">
        <v>996</v>
      </c>
      <c r="C29" s="28" t="n">
        <f aca="false">Used_Amount*(1+Middle_Growth-Spread)^Years</f>
        <v>21740.0366081633</v>
      </c>
      <c r="D29" s="22" t="s">
        <v>207</v>
      </c>
      <c r="E29" s="29" t="s">
        <v>997</v>
      </c>
    </row>
    <row r="30" customFormat="false" ht="17.35" hidden="false" customHeight="false" outlineLevel="0" collapsed="false">
      <c r="B30" s="17" t="s">
        <v>998</v>
      </c>
      <c r="C30" s="28" t="n">
        <f aca="false">Used_Amount*(1+Middle_Growth+Spread)^Years</f>
        <v>39943.7975878142</v>
      </c>
      <c r="D30" s="22" t="s">
        <v>207</v>
      </c>
      <c r="E30" s="29" t="s">
        <v>999</v>
      </c>
    </row>
    <row r="31" customFormat="false" ht="15" hidden="false" customHeight="false" outlineLevel="0" collapsed="false">
      <c r="B31" s="20" t="s">
        <v>1000</v>
      </c>
      <c r="C31" s="51" t="n">
        <f aca="false">ROUND((Volatility*One_In_20_Z-Middle_Growth)*100,0)/100</f>
        <v>0.12</v>
      </c>
      <c r="D31" s="22" t="s">
        <v>222</v>
      </c>
      <c r="E31" s="29" t="s">
        <v>1001</v>
      </c>
    </row>
    <row r="32" customFormat="false" ht="15" hidden="false" customHeight="false" outlineLevel="0" collapsed="false">
      <c r="B32" s="20" t="s">
        <v>992</v>
      </c>
      <c r="C32" s="32" t="str">
        <f aca="false">IF(OR(Used_Style&lt;1,Used_Style&gt;3,Used_Style&lt;&gt;INT(Used_Style)),"Choose 1, 2 or 3",INDEX(Risk_Names,Used_Style))</f>
        <v>Balanced</v>
      </c>
      <c r="D32" s="22"/>
      <c r="E32" s="29" t="s">
        <v>1002</v>
      </c>
    </row>
    <row r="33" customFormat="false" ht="15" hidden="false" customHeight="false" outlineLevel="0" collapsed="false">
      <c r="B33" s="20" t="s">
        <v>1003</v>
      </c>
      <c r="C33" s="51" t="n">
        <f aca="false">CHOOSE(Used_Style,Mu_Cautious,Mu_Balanced,Mu_Growth)</f>
        <v>0.04</v>
      </c>
      <c r="D33" s="22" t="s">
        <v>222</v>
      </c>
      <c r="E33" s="29" t="s">
        <v>1004</v>
      </c>
    </row>
    <row r="34" customFormat="false" ht="15" hidden="false" customHeight="false" outlineLevel="0" collapsed="false">
      <c r="B34" s="20" t="s">
        <v>1005</v>
      </c>
      <c r="C34" s="51" t="n">
        <f aca="false">CHOOSE(Used_Style,Vol_Cautious,Vol_Balanced,Vol_Growth)</f>
        <v>0.1</v>
      </c>
      <c r="D34" s="22" t="s">
        <v>222</v>
      </c>
      <c r="E34" s="29" t="s">
        <v>1006</v>
      </c>
    </row>
    <row r="35" customFormat="false" ht="15" hidden="false" customHeight="false" outlineLevel="0" collapsed="false">
      <c r="B35" s="20" t="s">
        <v>1007</v>
      </c>
      <c r="C35" s="50" t="n">
        <f aca="false">Volatility/SQRT(Years)</f>
        <v>0.0316227766016838</v>
      </c>
      <c r="D35" s="22"/>
      <c r="E35" s="29" t="s">
        <v>1008</v>
      </c>
    </row>
    <row r="37" customFormat="false" ht="15" hidden="false" customHeight="false" outlineLevel="0" collapsed="false">
      <c r="B37" s="9" t="s">
        <v>271</v>
      </c>
      <c r="C37" s="10"/>
      <c r="D37" s="10"/>
      <c r="E37" s="10"/>
    </row>
    <row r="38" customFormat="false" ht="27.75" hidden="false" customHeight="true" outlineLevel="0" collapsed="false">
      <c r="B38" s="33" t="s">
        <v>1009</v>
      </c>
      <c r="C38" s="33"/>
      <c r="D38" s="33"/>
      <c r="E38" s="33"/>
    </row>
    <row r="39" customFormat="false" ht="13.5" hidden="false" customHeight="true" outlineLevel="0" collapsed="false">
      <c r="B39" s="33" t="s">
        <v>1010</v>
      </c>
      <c r="C39" s="33"/>
      <c r="D39" s="33"/>
      <c r="E39" s="33"/>
    </row>
    <row r="40" customFormat="false" ht="13.5" hidden="false" customHeight="true" outlineLevel="0" collapsed="false">
      <c r="B40" s="34" t="s">
        <v>275</v>
      </c>
      <c r="C40" s="34"/>
      <c r="D40" s="34"/>
      <c r="E40" s="34"/>
    </row>
    <row r="41" customFormat="false" ht="13.5" hidden="false" customHeight="true" outlineLevel="0" collapsed="false">
      <c r="B41" s="33" t="s">
        <v>1011</v>
      </c>
      <c r="C41" s="33"/>
      <c r="D41" s="33"/>
      <c r="E41" s="33"/>
    </row>
    <row r="42" customFormat="false" ht="13.5" hidden="false" customHeight="true" outlineLevel="0" collapsed="false">
      <c r="B42" s="33" t="s">
        <v>1012</v>
      </c>
      <c r="C42" s="33"/>
      <c r="D42" s="33"/>
      <c r="E42" s="33"/>
    </row>
    <row r="44" customFormat="false" ht="15" hidden="false" customHeight="false" outlineLevel="0" collapsed="false">
      <c r="B44" s="9" t="s">
        <v>280</v>
      </c>
      <c r="C44" s="10"/>
      <c r="D44" s="10"/>
      <c r="E44" s="10"/>
    </row>
    <row r="45" customFormat="false" ht="15" hidden="false" customHeight="false" outlineLevel="0" collapsed="false">
      <c r="B45" s="20" t="s">
        <v>281</v>
      </c>
      <c r="C45" s="35" t="str">
        <f aca="false">"No goal"</f>
        <v>No goal</v>
      </c>
      <c r="E45" s="36" t="s">
        <v>461</v>
      </c>
    </row>
  </sheetData>
  <mergeCells count="6">
    <mergeCell ref="B6:E6"/>
    <mergeCell ref="B38:E38"/>
    <mergeCell ref="B39:E39"/>
    <mergeCell ref="B40:E40"/>
    <mergeCell ref="B41:E41"/>
    <mergeCell ref="B42:E42"/>
  </mergeCells>
  <dataValidations count="12">
    <dataValidation allowBlank="true" error="Please enter a date (dd/mm/yyyy)." errorStyle="stop" errorTitle="Outside the allowed range" operator="greaterThan" prompt="Unit: date. Allowed: a date (dd/mm/yyyy)." promptTitle="Statement date" showDropDown="false" showErrorMessage="true" showInputMessage="true" sqref="C9" type="date">
      <formula1>36526</formula1>
      <formula2>0</formula2>
    </dataValidation>
    <dataValidation allowBlank="true" error="Please enter €0 to €100,000,000." errorStyle="stop" errorTitle="Outside the allowed range" operator="between" prompt="Unit: €. Allowed: €0 to €100,000,000." promptTitle="Total value" showDropDown="false" showErrorMessage="true" showInputMessage="true" sqref="C7" type="decimal">
      <formula1>0</formula1>
      <formula2>100000000</formula2>
    </dataValidation>
    <dataValidation allowBlank="true" error="Please enter 0% to 100%." errorStyle="stop" errorTitle="Outside the allowed range" operator="between" prompt="Unit: %. Allowed: 0% to 100%." promptTitle="Holdings in shares % (if shown)" showDropDown="false" showErrorMessage="true" showInputMessage="true" sqref="C8" type="decimal">
      <formula1>0</formula1>
      <formula2>1</formula2>
    </dataValidation>
    <dataValidation allowBlank="false" error="Please enter €1,000 to €10,000,000 · steps of €100." errorStyle="stop" errorTitle="Outside the allowed range" operator="between" prompt="Unit: €. Allowed: €1,000 to €10,000,000 · steps of €100." promptTitle="Amount" showDropDown="false" showErrorMessage="true" showInputMessage="true" sqref="C12" type="decimal">
      <formula1>1000</formula1>
      <formula2>10000000</formula2>
    </dataValidation>
    <dataValidation allowBlank="false" error="Please enter 1 to 30 · steps of 1." errorStyle="stop" errorTitle="Outside the allowed range" operator="between" prompt="Unit: years. Allowed: 1 to 30 · steps of 1." promptTitle="Years" showDropDown="false" showErrorMessage="true" showInputMessage="true" sqref="C13" type="whole">
      <formula1>1</formula1>
      <formula2>30</formula2>
    </dataValidation>
    <dataValidation allowBlank="false" error="Please enter 1 or 2 or 3." errorStyle="stop" errorTitle="Outside the allowed range" operator="between" prompt="Unit: 1, 2 or 3. Allowed: 1 or 2 or 3." promptTitle="Style: 1 Cautious · 2 Balanced ·" showDropDown="false" showErrorMessage="true" showInputMessage="true" sqref="C14" type="list">
      <formula1>"1,2,3"</formula1>
      <formula2>0</formula2>
    </dataValidation>
    <dataValidation allowBlank="false" error="Please enter 0% to 8% · steps of 0.5%." errorStyle="stop" errorTitle="Outside the allowed range" operator="between" prompt="Suggested · change if you like. Illustrations, not forecasts. Your adviser uses the fund's own risk rating (SRI 1–7).  Allowed: 0% to 8% · steps of 0.5%." promptTitle="Cautious: middle growth a year" showDropDown="false" showErrorMessage="true" showInputMessage="true" sqref="C15" type="decimal">
      <formula1>0</formula1>
      <formula2>0.08</formula2>
    </dataValidation>
    <dataValidation allowBlank="false" error="Please enter 0% to 8% · steps of 0.5%." errorStyle="stop" errorTitle="Outside the allowed range" operator="between" prompt="Suggested · change if you like. Illustrations, not forecasts. Your adviser uses the fund's own risk rating (SRI 1–7).  Allowed: 0% to 8% · steps of 0.5%." promptTitle="Balanced: middle growth a year" showDropDown="false" showErrorMessage="true" showInputMessage="true" sqref="C16" type="decimal">
      <formula1>0</formula1>
      <formula2>0.08</formula2>
    </dataValidation>
    <dataValidation allowBlank="false" error="Please enter 0% to 8% · steps of 0.5%." errorStyle="stop" errorTitle="Outside the allowed range" operator="between" prompt="Suggested · change if you like. Illustrations, not forecasts. Your adviser uses the fund's own risk rating (SRI 1–7).  Allowed: 0% to 8% · steps of 0.5%." promptTitle="Growth: middle growth a year" showDropDown="false" showErrorMessage="true" showInputMessage="true" sqref="C17" type="decimal">
      <formula1>0</formula1>
      <formula2>0.08</formula2>
    </dataValidation>
    <dataValidation allowBlank="false" error="Please enter 0% to 25% · steps of 0.5%." errorStyle="stop" errorTitle="Outside the allowed range" operator="between" prompt="Suggested · change if you like. Illustrations, not forecasts. Your adviser uses the fund's own risk rating (SRI 1–7).  Allowed: 0% to 25% · steps of 0.5%." promptTitle="Cautious: volatility a year" showDropDown="false" showErrorMessage="true" showInputMessage="true" sqref="C18" type="decimal">
      <formula1>0</formula1>
      <formula2>0.25</formula2>
    </dataValidation>
    <dataValidation allowBlank="false" error="Please enter 0% to 25% · steps of 0.5%." errorStyle="stop" errorTitle="Outside the allowed range" operator="between" prompt="Suggested · change if you like. Illustrations, not forecasts. Your adviser uses the fund's own risk rating (SRI 1–7).  Allowed: 0% to 25% · steps of 0.5%." promptTitle="Balanced: volatility a year" showDropDown="false" showErrorMessage="true" showInputMessage="true" sqref="C19" type="decimal">
      <formula1>0</formula1>
      <formula2>0.25</formula2>
    </dataValidation>
    <dataValidation allowBlank="false" error="Please enter 0% to 25% · steps of 0.5%." errorStyle="stop" errorTitle="Outside the allowed range" operator="between" prompt="Suggested · change if you like. Illustrations, not forecasts. Your adviser uses the fund's own risk rating (SRI 1–7).  Allowed: 0% to 25% · steps of 0.5%." promptTitle="Growth: volatility a year" showDropDown="false" showErrorMessage="true" showInputMessage="true" sqref="C20" type="decimal">
      <formula1>0</formula1>
      <formula2>0.25</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G4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50"/>
    <col collapsed="false" customWidth="true" hidden="false" outlineLevel="0" max="3" min="3" style="0" width="26"/>
    <col collapsed="false" customWidth="true" hidden="false" outlineLevel="0" max="4" min="4" style="0" width="24"/>
    <col collapsed="false" customWidth="true" hidden="false" outlineLevel="0" max="5" min="5" style="0" width="78"/>
    <col collapsed="false" customWidth="true" hidden="false" outlineLevel="0" max="6" min="6" style="0" width="2"/>
    <col collapsed="false" customWidth="true" hidden="false" outlineLevel="0" max="7" min="7" style="0" width="44"/>
  </cols>
  <sheetData>
    <row r="1" customFormat="false" ht="19.7" hidden="false" customHeight="false" outlineLevel="0" collapsed="false">
      <c r="B1" s="16" t="s">
        <v>1013</v>
      </c>
      <c r="G1" s="2" t="s">
        <v>1014</v>
      </c>
    </row>
    <row r="2" customFormat="false" ht="15" hidden="false" customHeight="false" outlineLevel="0" collapsed="false">
      <c r="B2" s="17" t="s">
        <v>1015</v>
      </c>
      <c r="G2" s="2" t="s">
        <v>1016</v>
      </c>
    </row>
    <row r="3" customFormat="false" ht="15" hidden="false" customHeight="false" outlineLevel="0" collapsed="false">
      <c r="B3" s="18" t="s">
        <v>1017</v>
      </c>
    </row>
    <row r="5" customFormat="false" ht="15" hidden="false" customHeight="false" outlineLevel="0" collapsed="false">
      <c r="B5" s="9" t="s">
        <v>293</v>
      </c>
      <c r="C5" s="10"/>
      <c r="D5" s="10"/>
      <c r="E5" s="10"/>
    </row>
    <row r="6" customFormat="false" ht="27.75" hidden="false" customHeight="true" outlineLevel="0" collapsed="false">
      <c r="B6" s="39" t="s">
        <v>294</v>
      </c>
      <c r="C6" s="39"/>
      <c r="D6" s="39"/>
      <c r="E6" s="39"/>
    </row>
    <row r="7" customFormat="false" ht="15" hidden="false" customHeight="false" outlineLevel="0" collapsed="false">
      <c r="B7" s="20" t="s">
        <v>295</v>
      </c>
      <c r="C7" s="40"/>
      <c r="D7" s="22" t="s">
        <v>207</v>
      </c>
      <c r="E7" s="2" t="s">
        <v>296</v>
      </c>
      <c r="G7" s="23" t="s">
        <v>297</v>
      </c>
    </row>
    <row r="8" customFormat="false" ht="15" hidden="false" customHeight="false" outlineLevel="0" collapsed="false">
      <c r="B8" s="20" t="s">
        <v>304</v>
      </c>
      <c r="C8" s="43"/>
      <c r="D8" s="22" t="s">
        <v>305</v>
      </c>
      <c r="E8" s="2" t="s">
        <v>306</v>
      </c>
      <c r="G8" s="23" t="s">
        <v>297</v>
      </c>
    </row>
    <row r="10" customFormat="false" ht="15" hidden="false" customHeight="false" outlineLevel="0" collapsed="false">
      <c r="B10" s="9" t="s">
        <v>307</v>
      </c>
      <c r="C10" s="19" t="s">
        <v>203</v>
      </c>
      <c r="D10" s="19" t="s">
        <v>204</v>
      </c>
      <c r="E10" s="19" t="s">
        <v>205</v>
      </c>
    </row>
    <row r="11" customFormat="false" ht="15" hidden="false" customHeight="false" outlineLevel="0" collapsed="false">
      <c r="B11" s="20" t="s">
        <v>206</v>
      </c>
      <c r="C11" s="21" t="n">
        <v>60000</v>
      </c>
      <c r="D11" s="22" t="s">
        <v>207</v>
      </c>
      <c r="E11" s="2" t="s">
        <v>1018</v>
      </c>
      <c r="G11" s="23" t="s">
        <v>209</v>
      </c>
    </row>
    <row r="12" customFormat="false" ht="15" hidden="false" customHeight="false" outlineLevel="0" collapsed="false">
      <c r="B12" s="20" t="s">
        <v>1019</v>
      </c>
      <c r="C12" s="27" t="n">
        <v>15</v>
      </c>
      <c r="D12" s="22" t="s">
        <v>226</v>
      </c>
      <c r="E12" s="26" t="s">
        <v>233</v>
      </c>
      <c r="G12" s="23" t="s">
        <v>1020</v>
      </c>
    </row>
    <row r="13" customFormat="false" ht="15" hidden="false" customHeight="false" outlineLevel="0" collapsed="false">
      <c r="B13" s="20" t="s">
        <v>1021</v>
      </c>
      <c r="C13" s="25" t="n">
        <v>0.6</v>
      </c>
      <c r="D13" s="22" t="s">
        <v>222</v>
      </c>
      <c r="E13" s="26" t="s">
        <v>1022</v>
      </c>
      <c r="G13" s="23" t="s">
        <v>1023</v>
      </c>
    </row>
    <row r="14" customFormat="false" ht="15" hidden="false" customHeight="false" outlineLevel="0" collapsed="false">
      <c r="B14" s="20" t="s">
        <v>398</v>
      </c>
      <c r="C14" s="21" t="n">
        <v>250000</v>
      </c>
      <c r="D14" s="22" t="s">
        <v>207</v>
      </c>
      <c r="E14" s="2" t="s">
        <v>1024</v>
      </c>
      <c r="G14" s="23" t="s">
        <v>1025</v>
      </c>
    </row>
    <row r="15" customFormat="false" ht="15" hidden="false" customHeight="false" outlineLevel="0" collapsed="false">
      <c r="B15" s="20" t="s">
        <v>1026</v>
      </c>
      <c r="C15" s="24" t="s">
        <v>217</v>
      </c>
      <c r="D15" s="22" t="s">
        <v>218</v>
      </c>
      <c r="E15" s="2" t="s">
        <v>219</v>
      </c>
      <c r="G15" s="23" t="s">
        <v>1027</v>
      </c>
    </row>
    <row r="16" customFormat="false" ht="15" hidden="false" customHeight="false" outlineLevel="0" collapsed="false">
      <c r="B16" s="20" t="s">
        <v>1028</v>
      </c>
      <c r="C16" s="21" t="n">
        <v>10000</v>
      </c>
      <c r="D16" s="22" t="s">
        <v>207</v>
      </c>
      <c r="E16" s="2" t="s">
        <v>214</v>
      </c>
      <c r="G16" s="23" t="s">
        <v>1029</v>
      </c>
    </row>
    <row r="17" customFormat="false" ht="15" hidden="false" customHeight="false" outlineLevel="0" collapsed="false">
      <c r="B17" s="20" t="s">
        <v>1030</v>
      </c>
      <c r="C17" s="21" t="n">
        <v>20000</v>
      </c>
      <c r="D17" s="22" t="s">
        <v>207</v>
      </c>
      <c r="E17" s="2" t="s">
        <v>1031</v>
      </c>
      <c r="G17" s="23" t="s">
        <v>1032</v>
      </c>
    </row>
    <row r="18" customFormat="false" ht="15" hidden="false" customHeight="false" outlineLevel="0" collapsed="false">
      <c r="B18" s="20" t="s">
        <v>1033</v>
      </c>
      <c r="C18" s="21" t="n">
        <v>100000</v>
      </c>
      <c r="D18" s="22" t="s">
        <v>207</v>
      </c>
      <c r="E18" s="2" t="s">
        <v>1034</v>
      </c>
      <c r="G18" s="23" t="s">
        <v>1035</v>
      </c>
    </row>
    <row r="19" customFormat="false" ht="15" hidden="false" customHeight="false" outlineLevel="0" collapsed="false">
      <c r="B19" s="20" t="s">
        <v>1036</v>
      </c>
      <c r="C19" s="66" t="n">
        <f aca="false">Survivor_Pension_Week</f>
        <v>259.5</v>
      </c>
      <c r="D19" s="22" t="s">
        <v>1037</v>
      </c>
      <c r="E19" s="2" t="s">
        <v>1038</v>
      </c>
      <c r="G19" s="23" t="s">
        <v>1039</v>
      </c>
    </row>
    <row r="21" customFormat="false" ht="15" hidden="false" customHeight="false" outlineLevel="0" collapsed="false">
      <c r="B21" s="9" t="s">
        <v>321</v>
      </c>
      <c r="C21" s="10"/>
      <c r="D21" s="10"/>
      <c r="E21" s="10"/>
    </row>
    <row r="22" customFormat="false" ht="15" hidden="false" customHeight="false" outlineLevel="0" collapsed="false">
      <c r="B22" s="20" t="s">
        <v>398</v>
      </c>
      <c r="C22" s="44" t="n">
        <f aca="false">IF(ISBLANK(Stmt_Balance),Mortgage_Balance,Stmt_Balance)</f>
        <v>250000</v>
      </c>
      <c r="D22" s="45" t="str">
        <f aca="false">IF(ISBLANK(Stmt_Balance),"Your figure","From your statement")</f>
        <v>Your figure</v>
      </c>
      <c r="E22" s="36" t="s">
        <v>408</v>
      </c>
    </row>
    <row r="23" customFormat="false" ht="22.35" hidden="false" customHeight="false" outlineLevel="0" collapsed="false">
      <c r="B23" s="20" t="s">
        <v>327</v>
      </c>
      <c r="C23" s="32" t="str">
        <f aca="true">IF(ISBLANK(Stmt_Statement_Date),"",IF(TODAY()-Stmt_Statement_Date&gt;Statement_Max_Age_Days,"Needs a look: statement is more than 12 months old","Up to date"))</f>
        <v/>
      </c>
      <c r="D23" s="22"/>
      <c r="E23" s="29" t="s">
        <v>328</v>
      </c>
    </row>
    <row r="25" customFormat="false" ht="15" hidden="false" customHeight="false" outlineLevel="0" collapsed="false">
      <c r="B25" s="9" t="s">
        <v>238</v>
      </c>
      <c r="C25" s="19" t="s">
        <v>239</v>
      </c>
      <c r="D25" s="19" t="s">
        <v>240</v>
      </c>
      <c r="E25" s="19" t="s">
        <v>241</v>
      </c>
    </row>
    <row r="26" customFormat="false" ht="17.35" hidden="false" customHeight="false" outlineLevel="0" collapsed="false">
      <c r="B26" s="17" t="s">
        <v>1040</v>
      </c>
      <c r="C26" s="28" t="n">
        <f aca="false">MAX(0,Income_Need+Debts_To_Clear-Already_Have)</f>
        <v>227590</v>
      </c>
      <c r="D26" s="22" t="s">
        <v>207</v>
      </c>
      <c r="E26" s="29" t="s">
        <v>1041</v>
      </c>
    </row>
    <row r="27" customFormat="false" ht="17.35" hidden="false" customHeight="false" outlineLevel="0" collapsed="false">
      <c r="B27" s="17" t="s">
        <v>1042</v>
      </c>
      <c r="C27" s="28" t="n">
        <f aca="false">MAX(0,Yearly_Income*Life_Replace-Survivor_Pension*Weeks_Per_Year)*Years_Support</f>
        <v>337590</v>
      </c>
      <c r="D27" s="22" t="s">
        <v>207</v>
      </c>
      <c r="E27" s="29" t="s">
        <v>1043</v>
      </c>
    </row>
    <row r="28" customFormat="false" ht="17.35" hidden="false" customHeight="false" outlineLevel="0" collapsed="false">
      <c r="B28" s="17" t="s">
        <v>1044</v>
      </c>
      <c r="C28" s="28" t="n">
        <f aca="false">IF(Mortgage_Protected="Yes",0,Used_Mortgage_Balance)+Other_Debts</f>
        <v>10000</v>
      </c>
      <c r="D28" s="22" t="s">
        <v>207</v>
      </c>
      <c r="E28" s="29" t="s">
        <v>1045</v>
      </c>
    </row>
    <row r="29" customFormat="false" ht="15" hidden="false" customHeight="false" outlineLevel="0" collapsed="false">
      <c r="B29" s="20" t="s">
        <v>1046</v>
      </c>
      <c r="C29" s="30" t="n">
        <f aca="false">Existing_Cover+Savings</f>
        <v>120000</v>
      </c>
      <c r="D29" s="22" t="s">
        <v>207</v>
      </c>
      <c r="E29" s="29" t="s">
        <v>1047</v>
      </c>
    </row>
    <row r="30" customFormat="false" ht="15" hidden="false" customHeight="false" outlineLevel="0" collapsed="false">
      <c r="B30" s="20" t="s">
        <v>1048</v>
      </c>
      <c r="C30" s="30" t="n">
        <f aca="false">Yearly_Income*Life_Replace*Years_Support</f>
        <v>540000</v>
      </c>
      <c r="D30" s="22" t="s">
        <v>207</v>
      </c>
      <c r="E30" s="29" t="s">
        <v>1049</v>
      </c>
    </row>
    <row r="32" customFormat="false" ht="15" hidden="false" customHeight="false" outlineLevel="0" collapsed="false">
      <c r="B32" s="9" t="s">
        <v>271</v>
      </c>
      <c r="C32" s="10"/>
      <c r="D32" s="10"/>
      <c r="E32" s="10"/>
    </row>
    <row r="33" customFormat="false" ht="13.5" hidden="false" customHeight="true" outlineLevel="0" collapsed="false">
      <c r="B33" s="33" t="s">
        <v>1050</v>
      </c>
      <c r="C33" s="33"/>
      <c r="D33" s="33"/>
      <c r="E33" s="33"/>
    </row>
    <row r="34" customFormat="false" ht="27.75" hidden="false" customHeight="true" outlineLevel="0" collapsed="false">
      <c r="B34" s="33" t="s">
        <v>1051</v>
      </c>
      <c r="C34" s="33"/>
      <c r="D34" s="33"/>
      <c r="E34" s="33"/>
    </row>
    <row r="35" customFormat="false" ht="13.5" hidden="false" customHeight="true" outlineLevel="0" collapsed="false">
      <c r="B35" s="33" t="s">
        <v>1052</v>
      </c>
      <c r="C35" s="33"/>
      <c r="D35" s="33"/>
      <c r="E35" s="33"/>
    </row>
    <row r="36" customFormat="false" ht="13.5" hidden="false" customHeight="true" outlineLevel="0" collapsed="false">
      <c r="B36" s="34" t="s">
        <v>275</v>
      </c>
      <c r="C36" s="34"/>
      <c r="D36" s="34"/>
      <c r="E36" s="34"/>
    </row>
    <row r="37" customFormat="false" ht="13.5" hidden="false" customHeight="true" outlineLevel="0" collapsed="false">
      <c r="B37" s="33" t="s">
        <v>1053</v>
      </c>
      <c r="C37" s="33"/>
      <c r="D37" s="33"/>
      <c r="E37" s="33"/>
    </row>
    <row r="38" customFormat="false" ht="13.5" hidden="false" customHeight="true" outlineLevel="0" collapsed="false">
      <c r="B38" s="33" t="s">
        <v>1054</v>
      </c>
      <c r="C38" s="33"/>
      <c r="D38" s="33"/>
      <c r="E38" s="33"/>
    </row>
    <row r="40" customFormat="false" ht="15" hidden="false" customHeight="false" outlineLevel="0" collapsed="false">
      <c r="B40" s="9" t="s">
        <v>280</v>
      </c>
      <c r="C40" s="10"/>
      <c r="D40" s="10"/>
      <c r="E40" s="10"/>
    </row>
    <row r="41" customFormat="false" ht="15" hidden="false" customHeight="false" outlineLevel="0" collapsed="false">
      <c r="B41" s="20" t="s">
        <v>281</v>
      </c>
      <c r="C41" s="35" t="str">
        <f aca="false">"No goal: record a protection need for the adviser"</f>
        <v>No goal: record a protection need for the adviser</v>
      </c>
      <c r="E41" s="36" t="s">
        <v>1055</v>
      </c>
    </row>
    <row r="42" customFormat="false" ht="15" hidden="false" customHeight="false" outlineLevel="0" collapsed="false">
      <c r="B42" s="20" t="s">
        <v>1056</v>
      </c>
      <c r="C42" s="37" t="n">
        <f aca="false">Cover_Gap</f>
        <v>227590</v>
      </c>
      <c r="E42" s="36" t="s">
        <v>1057</v>
      </c>
    </row>
    <row r="43" customFormat="false" ht="13.5" hidden="false" customHeight="true" outlineLevel="0" collapsed="false">
      <c r="B43" s="39" t="s">
        <v>1058</v>
      </c>
      <c r="C43" s="39"/>
      <c r="D43" s="39"/>
      <c r="E43" s="39"/>
    </row>
  </sheetData>
  <mergeCells count="8">
    <mergeCell ref="B6:E6"/>
    <mergeCell ref="B33:E33"/>
    <mergeCell ref="B34:E34"/>
    <mergeCell ref="B35:E35"/>
    <mergeCell ref="B36:E36"/>
    <mergeCell ref="B37:E37"/>
    <mergeCell ref="B38:E38"/>
    <mergeCell ref="B43:E43"/>
  </mergeCells>
  <dataValidations count="11">
    <dataValidation allowBlank="true" error="Please enter €0 to €10,000,000." errorStyle="stop" errorTitle="Outside the allowed range" operator="between" prompt="Unit: €. Allowed: €0 to €10,000,000." promptTitle="Outstanding balance" showDropDown="false" showErrorMessage="true" showInputMessage="true" sqref="C7" type="decimal">
      <formula1>0</formula1>
      <formula2>10000000</formula2>
    </dataValidation>
    <dataValidation allowBlank="true" error="Please enter a date (dd/mm/yyyy)." errorStyle="stop" errorTitle="Outside the allowed range" operator="greaterThan" prompt="Unit: date. Allowed: a date (dd/mm/yyyy)." promptTitle="Statement date" showDropDown="false" showErrorMessage="true" showInputMessage="true" sqref="C8" type="date">
      <formula1>36526</formula1>
      <formula2>0</formula2>
    </dataValidation>
    <dataValidation allowBlank="false" error="Please enter €0 to €3,000,000 · steps of €1,000." errorStyle="stop" errorTitle="Outside the allowed range" operator="between" prompt="Unit: €. Allowed: €0 to €3,000,000 · steps of €1,000." promptTitle="Your gross yearly income" showDropDown="false" showErrorMessage="true" showInputMessage="true" sqref="C11" type="decimal">
      <formula1>0</formula1>
      <formula2>3000000</formula2>
    </dataValidation>
    <dataValidation allowBlank="false" error="Please enter 1 to 30 · steps of 1." errorStyle="stop" errorTitle="Outside the allowed range" operator="between" prompt="Suggested · change if you like. Often until your youngest child is 23.  Allowed: 1 to 30 · steps of 1." promptTitle="Years your family would need sup" showDropDown="false" showErrorMessage="true" showInputMessage="true" sqref="C12" type="whole">
      <formula1>1</formula1>
      <formula2>30</formula2>
    </dataValidation>
    <dataValidation allowBlank="false" error="Please enter 30% to 100% · steps of 5%." errorStyle="stop" errorTitle="Outside the allowed range" operator="between" prompt="Suggested · change if you like. Families usually need less than full pay.  Allowed: 30% to 100% · steps of 5%." promptTitle="Share of your income your family" showDropDown="false" showErrorMessage="true" showInputMessage="true" sqref="C13" type="decimal">
      <formula1>0.3</formula1>
      <formula2>1</formula2>
    </dataValidation>
    <dataValidation allowBlank="false" error="Please enter €0 to €10,000,000 · steps of €5,000." errorStyle="stop" errorTitle="Outside the allowed range" operator="between" prompt="Unit: €. Allowed: €0 to €10,000,000 · steps of €5,000." promptTitle="Mortgage balance" showDropDown="false" showErrorMessage="true" showInputMessage="true" sqref="C14" type="decimal">
      <formula1>0</formula1>
      <formula2>10000000</formula2>
    </dataValidation>
    <dataValidation allowBlank="false" error="Please enter Yes or No." errorStyle="stop" errorTitle="Outside the allowed range" operator="between" prompt="Unit: Yes / No. Allowed: Yes or No." promptTitle="Is the mortgage cleared by mortg" showDropDown="false" showErrorMessage="true" showInputMessage="true" sqref="C15" type="list">
      <formula1>"Yes,No"</formula1>
      <formula2>0</formula2>
    </dataValidation>
    <dataValidation allowBlank="false" error="Please enter €0 to €2,000,000 · steps of €1,000." errorStyle="stop" errorTitle="Outside the allowed range" operator="between" prompt="Unit: €. Allowed: €0 to €2,000,000 · steps of €1,000." promptTitle="Other debts" showDropDown="false" showErrorMessage="true" showInputMessage="true" sqref="C16" type="decimal">
      <formula1>0</formula1>
      <formula2>2000000</formula2>
    </dataValidation>
    <dataValidation allowBlank="false" error="Please enter €0 to €10,000,000 · steps of €1,000." errorStyle="stop" errorTitle="Outside the allowed range" operator="between" prompt="Unit: €. Allowed: €0 to €10,000,000 · steps of €1,000." promptTitle="Savings &amp; investments" showDropDown="false" showErrorMessage="true" showInputMessage="true" sqref="C17" type="decimal">
      <formula1>0</formula1>
      <formula2>10000000</formula2>
    </dataValidation>
    <dataValidation allowBlank="false" error="Please enter €0 to €20,000,000 · steps of €10,000." errorStyle="stop" errorTitle="Outside the allowed range" operator="between" prompt="Unit: €. Allowed: €0 to €20,000,000 · steps of €10,000." promptTitle="Existing life cover (incl. throu" showDropDown="false" showErrorMessage="true" showInputMessage="true" sqref="C18" type="decimal">
      <formula1>0</formula1>
      <formula2>20000000</formula2>
    </dataValidation>
    <dataValidation allowBlank="false" error="Please enter €0 to €1,000 · steps of €0.50." errorStyle="stop" errorTitle="Outside the allowed range" operator="between" prompt="A State survivor's pension may help: €259.50 a week under 66 (€299.30 at 66+). Cohabiting partners can now qualify (Bereaved Partner's Pension). Enter 0 if it would not be paid.  Allowed: €0 to €1,000 · steps of €0.50." promptTitle="State survivor's pension a week " showDropDown="false" showErrorMessage="true" showInputMessage="true" sqref="C19" type="decimal">
      <formula1>0</formula1>
      <formula2>1000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G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50"/>
    <col collapsed="false" customWidth="true" hidden="false" outlineLevel="0" max="3" min="3" style="0" width="26"/>
    <col collapsed="false" customWidth="true" hidden="false" outlineLevel="0" max="4" min="4" style="0" width="24"/>
    <col collapsed="false" customWidth="true" hidden="false" outlineLevel="0" max="5" min="5" style="0" width="78"/>
    <col collapsed="false" customWidth="true" hidden="false" outlineLevel="0" max="6" min="6" style="0" width="2"/>
    <col collapsed="false" customWidth="true" hidden="false" outlineLevel="0" max="7" min="7" style="0" width="44"/>
  </cols>
  <sheetData>
    <row r="1" customFormat="false" ht="19.7" hidden="false" customHeight="false" outlineLevel="0" collapsed="false">
      <c r="B1" s="16" t="s">
        <v>1059</v>
      </c>
      <c r="G1" s="2" t="s">
        <v>1014</v>
      </c>
    </row>
    <row r="2" customFormat="false" ht="15" hidden="false" customHeight="false" outlineLevel="0" collapsed="false">
      <c r="B2" s="17" t="s">
        <v>1060</v>
      </c>
      <c r="G2" s="2" t="s">
        <v>1061</v>
      </c>
    </row>
    <row r="3" customFormat="false" ht="15" hidden="false" customHeight="false" outlineLevel="0" collapsed="false">
      <c r="B3" s="18" t="s">
        <v>1062</v>
      </c>
    </row>
    <row r="5" customFormat="false" ht="15" hidden="false" customHeight="false" outlineLevel="0" collapsed="false">
      <c r="B5" s="9" t="s">
        <v>202</v>
      </c>
      <c r="C5" s="19" t="s">
        <v>203</v>
      </c>
      <c r="D5" s="19" t="s">
        <v>204</v>
      </c>
      <c r="E5" s="19" t="s">
        <v>205</v>
      </c>
    </row>
    <row r="6" customFormat="false" ht="15" hidden="false" customHeight="false" outlineLevel="0" collapsed="false">
      <c r="B6" s="20" t="s">
        <v>652</v>
      </c>
      <c r="C6" s="21" t="n">
        <v>2500</v>
      </c>
      <c r="D6" s="22" t="s">
        <v>207</v>
      </c>
      <c r="E6" s="2" t="s">
        <v>653</v>
      </c>
      <c r="G6" s="23" t="s">
        <v>654</v>
      </c>
    </row>
    <row r="7" customFormat="false" ht="15" hidden="false" customHeight="false" outlineLevel="0" collapsed="false">
      <c r="B7" s="20" t="s">
        <v>1063</v>
      </c>
      <c r="C7" s="27" t="n">
        <v>3</v>
      </c>
      <c r="D7" s="22" t="s">
        <v>656</v>
      </c>
      <c r="E7" s="2" t="s">
        <v>1064</v>
      </c>
      <c r="G7" s="23" t="s">
        <v>546</v>
      </c>
    </row>
    <row r="8" customFormat="false" ht="15" hidden="false" customHeight="false" outlineLevel="0" collapsed="false">
      <c r="B8" s="20" t="s">
        <v>661</v>
      </c>
      <c r="C8" s="21" t="n">
        <v>8000</v>
      </c>
      <c r="D8" s="22" t="s">
        <v>207</v>
      </c>
      <c r="E8" s="2" t="s">
        <v>368</v>
      </c>
      <c r="G8" s="23" t="s">
        <v>1065</v>
      </c>
    </row>
    <row r="9" customFormat="false" ht="15" hidden="false" customHeight="false" outlineLevel="0" collapsed="false">
      <c r="B9" s="20" t="s">
        <v>206</v>
      </c>
      <c r="C9" s="21" t="n">
        <v>60000</v>
      </c>
      <c r="D9" s="22" t="s">
        <v>207</v>
      </c>
      <c r="E9" s="2" t="s">
        <v>1018</v>
      </c>
      <c r="G9" s="23" t="s">
        <v>209</v>
      </c>
    </row>
    <row r="10" customFormat="false" ht="15" hidden="false" customHeight="false" outlineLevel="0" collapsed="false">
      <c r="B10" s="20" t="s">
        <v>1066</v>
      </c>
      <c r="C10" s="66" t="n">
        <f aca="false">Illness_Benefit_Week</f>
        <v>254</v>
      </c>
      <c r="D10" s="22" t="s">
        <v>1037</v>
      </c>
      <c r="E10" s="2" t="s">
        <v>1067</v>
      </c>
      <c r="G10" s="23" t="s">
        <v>1068</v>
      </c>
    </row>
    <row r="12" customFormat="false" ht="15" hidden="false" customHeight="false" outlineLevel="0" collapsed="false">
      <c r="B12" s="9" t="s">
        <v>238</v>
      </c>
      <c r="C12" s="19" t="s">
        <v>239</v>
      </c>
      <c r="D12" s="19" t="s">
        <v>240</v>
      </c>
      <c r="E12" s="19" t="s">
        <v>241</v>
      </c>
    </row>
    <row r="13" customFormat="false" ht="17.35" hidden="false" customHeight="false" outlineLevel="0" collapsed="false">
      <c r="B13" s="17" t="s">
        <v>1069</v>
      </c>
      <c r="C13" s="56" t="n">
        <f aca="false">IF(Monthly_Gap=0,"Indefinitely",Sick_Pay_Months+Savings/Monthly_Gap)</f>
        <v>8.71700809909481</v>
      </c>
      <c r="D13" s="22" t="s">
        <v>656</v>
      </c>
      <c r="E13" s="29" t="s">
        <v>1070</v>
      </c>
    </row>
    <row r="14" customFormat="false" ht="17.35" hidden="false" customHeight="false" outlineLevel="0" collapsed="false">
      <c r="B14" s="17" t="s">
        <v>1071</v>
      </c>
      <c r="C14" s="28" t="n">
        <f aca="false">MAX(0,Essential_Spending-Illness_Benefit_Month)</f>
        <v>1399.33333333333</v>
      </c>
      <c r="D14" s="22" t="s">
        <v>207</v>
      </c>
      <c r="E14" s="29" t="s">
        <v>1072</v>
      </c>
    </row>
    <row r="15" customFormat="false" ht="17.35" hidden="false" customHeight="false" outlineLevel="0" collapsed="false">
      <c r="B15" s="17" t="s">
        <v>1073</v>
      </c>
      <c r="C15" s="28" t="n">
        <f aca="false">MIN(Monthly_Gap,IP_Max)</f>
        <v>1399.33333333333</v>
      </c>
      <c r="D15" s="22" t="s">
        <v>207</v>
      </c>
      <c r="E15" s="29" t="s">
        <v>1074</v>
      </c>
    </row>
    <row r="16" customFormat="false" ht="15" hidden="false" customHeight="false" outlineLevel="0" collapsed="false">
      <c r="B16" s="20" t="s">
        <v>1075</v>
      </c>
      <c r="C16" s="30" t="n">
        <f aca="false">Illness_Benefit*Weeks_Per_Year/12</f>
        <v>1100.66666666667</v>
      </c>
      <c r="D16" s="22" t="s">
        <v>207</v>
      </c>
      <c r="E16" s="29" t="s">
        <v>1076</v>
      </c>
    </row>
    <row r="17" customFormat="false" ht="15" hidden="false" customHeight="false" outlineLevel="0" collapsed="false">
      <c r="B17" s="20" t="s">
        <v>1077</v>
      </c>
      <c r="C17" s="67" t="n">
        <f aca="false">IF(Monthly_Gap=0,"Indefinitely",Savings/Monthly_Gap)</f>
        <v>5.71700809909481</v>
      </c>
      <c r="D17" s="22" t="s">
        <v>656</v>
      </c>
      <c r="E17" s="29" t="s">
        <v>1078</v>
      </c>
    </row>
    <row r="18" customFormat="false" ht="15" hidden="false" customHeight="false" outlineLevel="0" collapsed="false">
      <c r="B18" s="20" t="s">
        <v>1079</v>
      </c>
      <c r="C18" s="30" t="n">
        <f aca="false">MAX(0,Gross_Income*IP_Max_Pct/12-Illness_Benefit_Month)</f>
        <v>2649.33333333333</v>
      </c>
      <c r="D18" s="22" t="s">
        <v>207</v>
      </c>
      <c r="E18" s="29" t="s">
        <v>1080</v>
      </c>
    </row>
    <row r="20" customFormat="false" ht="15" hidden="false" customHeight="false" outlineLevel="0" collapsed="false">
      <c r="B20" s="9" t="s">
        <v>271</v>
      </c>
      <c r="C20" s="10"/>
      <c r="D20" s="10"/>
      <c r="E20" s="10"/>
    </row>
    <row r="21" customFormat="false" ht="27.75" hidden="false" customHeight="true" outlineLevel="0" collapsed="false">
      <c r="B21" s="33" t="s">
        <v>1081</v>
      </c>
      <c r="C21" s="33"/>
      <c r="D21" s="33"/>
      <c r="E21" s="33"/>
    </row>
    <row r="22" customFormat="false" ht="13.5" hidden="false" customHeight="true" outlineLevel="0" collapsed="false">
      <c r="B22" s="33" t="s">
        <v>1082</v>
      </c>
      <c r="C22" s="33"/>
      <c r="D22" s="33"/>
      <c r="E22" s="33"/>
    </row>
    <row r="23" customFormat="false" ht="13.5" hidden="false" customHeight="true" outlineLevel="0" collapsed="false">
      <c r="B23" s="33" t="s">
        <v>1083</v>
      </c>
      <c r="C23" s="33"/>
      <c r="D23" s="33"/>
      <c r="E23" s="33"/>
    </row>
    <row r="24" customFormat="false" ht="13.5" hidden="false" customHeight="true" outlineLevel="0" collapsed="false">
      <c r="B24" s="34" t="s">
        <v>275</v>
      </c>
      <c r="C24" s="34"/>
      <c r="D24" s="34"/>
      <c r="E24" s="34"/>
    </row>
    <row r="25" customFormat="false" ht="13.5" hidden="false" customHeight="true" outlineLevel="0" collapsed="false">
      <c r="B25" s="33" t="s">
        <v>1084</v>
      </c>
      <c r="C25" s="33"/>
      <c r="D25" s="33"/>
      <c r="E25" s="33"/>
    </row>
    <row r="26" customFormat="false" ht="13.5" hidden="false" customHeight="true" outlineLevel="0" collapsed="false">
      <c r="B26" s="33" t="s">
        <v>1085</v>
      </c>
      <c r="C26" s="33"/>
      <c r="D26" s="33"/>
      <c r="E26" s="33"/>
    </row>
    <row r="28" customFormat="false" ht="15" hidden="false" customHeight="false" outlineLevel="0" collapsed="false">
      <c r="B28" s="9" t="s">
        <v>280</v>
      </c>
      <c r="C28" s="10"/>
      <c r="D28" s="10"/>
      <c r="E28" s="10"/>
    </row>
    <row r="29" customFormat="false" ht="15" hidden="false" customHeight="false" outlineLevel="0" collapsed="false">
      <c r="B29" s="20" t="s">
        <v>281</v>
      </c>
      <c r="C29" s="35" t="str">
        <f aca="false">"No goal: record an income protection need for the adviser"</f>
        <v>No goal: record an income protection need for the adviser</v>
      </c>
      <c r="E29" s="36" t="s">
        <v>1086</v>
      </c>
    </row>
    <row r="30" customFormat="false" ht="15" hidden="false" customHeight="false" outlineLevel="0" collapsed="false">
      <c r="B30" s="20" t="s">
        <v>1087</v>
      </c>
      <c r="C30" s="37" t="n">
        <f aca="false">IP_Needed</f>
        <v>1399.33333333333</v>
      </c>
      <c r="E30" s="36" t="s">
        <v>1088</v>
      </c>
    </row>
  </sheetData>
  <mergeCells count="6">
    <mergeCell ref="B21:E21"/>
    <mergeCell ref="B22:E22"/>
    <mergeCell ref="B23:E23"/>
    <mergeCell ref="B24:E24"/>
    <mergeCell ref="B25:E25"/>
    <mergeCell ref="B26:E26"/>
  </mergeCells>
  <dataValidations count="5">
    <dataValidation allowBlank="false" error="Please enter €500 to €100,000 · steps of €100." errorStyle="stop" errorTitle="Outside the allowed range" operator="between" prompt="Unit: €. Allowed: €500 to €100,000 · steps of €100." promptTitle="Essential monthly spending" showDropDown="false" showErrorMessage="true" showInputMessage="true" sqref="C6" type="decimal">
      <formula1>500</formula1>
      <formula2>100000</formula2>
    </dataValidation>
    <dataValidation allowBlank="false" error="Please enter 0 to 12 · steps of 1." errorStyle="stop" errorTitle="Outside the allowed range" operator="between" prompt="Unit: months. Allowed: 0 to 12 · steps of 1." promptTitle="Months of sick pay from your emp" showDropDown="false" showErrorMessage="true" showInputMessage="true" sqref="C7" type="whole">
      <formula1>0</formula1>
      <formula2>12</formula2>
    </dataValidation>
    <dataValidation allowBlank="false" error="Please enter €0 to €2,000,000 · steps of €500." errorStyle="stop" errorTitle="Outside the allowed range" operator="between" prompt="Unit: €. Allowed: €0 to €2,000,000 · steps of €500." promptTitle="Easy-access savings" showDropDown="false" showErrorMessage="true" showInputMessage="true" sqref="C8" type="decimal">
      <formula1>0</formula1>
      <formula2>2000000</formula2>
    </dataValidation>
    <dataValidation allowBlank="false" error="Please enter €0 to €3,000,000 · steps of €1,000." errorStyle="stop" errorTitle="Outside the allowed range" operator="between" prompt="Unit: €. Allowed: €0 to €3,000,000 · steps of €1,000." promptTitle="Your gross yearly income" showDropDown="false" showErrorMessage="true" showInputMessage="true" sqref="C9" type="decimal">
      <formula1>0</formula1>
      <formula2>3000000</formula2>
    </dataValidation>
    <dataValidation allowBlank="false" error="Please enter €0 to €500 · steps of €0.50." errorStyle="stop" errorTitle="Outside the allowed range" operator="between" prompt="Paid if you have enough PRSI. Lower rates apply if you earned under €300 a week.  Allowed: €0 to €500 · steps of €0.50." promptTitle="Illness Benefit a week" showDropDown="false" showErrorMessage="true" showInputMessage="true" sqref="C10" type="decimal">
      <formula1>0</formula1>
      <formula2>500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G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50"/>
    <col collapsed="false" customWidth="true" hidden="false" outlineLevel="0" max="3" min="3" style="0" width="26"/>
    <col collapsed="false" customWidth="true" hidden="false" outlineLevel="0" max="4" min="4" style="0" width="24"/>
    <col collapsed="false" customWidth="true" hidden="false" outlineLevel="0" max="5" min="5" style="0" width="78"/>
    <col collapsed="false" customWidth="true" hidden="false" outlineLevel="0" max="6" min="6" style="0" width="2"/>
    <col collapsed="false" customWidth="true" hidden="false" outlineLevel="0" max="7" min="7" style="0" width="44"/>
  </cols>
  <sheetData>
    <row r="1" customFormat="false" ht="19.7" hidden="false" customHeight="false" outlineLevel="0" collapsed="false">
      <c r="B1" s="16" t="s">
        <v>1089</v>
      </c>
      <c r="G1" s="2" t="s">
        <v>1014</v>
      </c>
    </row>
    <row r="2" customFormat="false" ht="15" hidden="false" customHeight="false" outlineLevel="0" collapsed="false">
      <c r="B2" s="17" t="s">
        <v>1090</v>
      </c>
      <c r="G2" s="2" t="s">
        <v>1091</v>
      </c>
    </row>
    <row r="3" customFormat="false" ht="15" hidden="false" customHeight="false" outlineLevel="0" collapsed="false">
      <c r="B3" s="18" t="s">
        <v>1092</v>
      </c>
    </row>
    <row r="5" customFormat="false" ht="15" hidden="false" customHeight="false" outlineLevel="0" collapsed="false">
      <c r="B5" s="9" t="s">
        <v>293</v>
      </c>
      <c r="C5" s="10"/>
      <c r="D5" s="10"/>
      <c r="E5" s="10"/>
    </row>
    <row r="6" customFormat="false" ht="27.75" hidden="false" customHeight="true" outlineLevel="0" collapsed="false">
      <c r="B6" s="39" t="s">
        <v>294</v>
      </c>
      <c r="C6" s="39"/>
      <c r="D6" s="39"/>
      <c r="E6" s="39"/>
    </row>
    <row r="7" customFormat="false" ht="15" hidden="false" customHeight="false" outlineLevel="0" collapsed="false">
      <c r="B7" s="20" t="s">
        <v>295</v>
      </c>
      <c r="C7" s="40"/>
      <c r="D7" s="22" t="s">
        <v>207</v>
      </c>
      <c r="E7" s="2" t="s">
        <v>296</v>
      </c>
      <c r="G7" s="23" t="s">
        <v>297</v>
      </c>
    </row>
    <row r="8" customFormat="false" ht="15" hidden="false" customHeight="false" outlineLevel="0" collapsed="false">
      <c r="B8" s="20" t="s">
        <v>298</v>
      </c>
      <c r="C8" s="41"/>
      <c r="D8" s="22" t="s">
        <v>222</v>
      </c>
      <c r="E8" s="2" t="s">
        <v>299</v>
      </c>
      <c r="G8" s="23" t="s">
        <v>297</v>
      </c>
    </row>
    <row r="9" customFormat="false" ht="15" hidden="false" customHeight="false" outlineLevel="0" collapsed="false">
      <c r="B9" s="20" t="s">
        <v>300</v>
      </c>
      <c r="C9" s="42"/>
      <c r="D9" s="22" t="s">
        <v>226</v>
      </c>
      <c r="E9" s="2" t="s">
        <v>301</v>
      </c>
      <c r="G9" s="23" t="s">
        <v>297</v>
      </c>
    </row>
    <row r="10" customFormat="false" ht="15" hidden="false" customHeight="false" outlineLevel="0" collapsed="false">
      <c r="B10" s="20" t="s">
        <v>302</v>
      </c>
      <c r="C10" s="40"/>
      <c r="D10" s="22" t="s">
        <v>207</v>
      </c>
      <c r="E10" s="2" t="s">
        <v>303</v>
      </c>
      <c r="G10" s="23" t="s">
        <v>297</v>
      </c>
    </row>
    <row r="11" customFormat="false" ht="15" hidden="false" customHeight="false" outlineLevel="0" collapsed="false">
      <c r="B11" s="20" t="s">
        <v>304</v>
      </c>
      <c r="C11" s="43"/>
      <c r="D11" s="22" t="s">
        <v>305</v>
      </c>
      <c r="E11" s="2" t="s">
        <v>306</v>
      </c>
      <c r="G11" s="23" t="s">
        <v>297</v>
      </c>
    </row>
    <row r="13" customFormat="false" ht="15" hidden="false" customHeight="false" outlineLevel="0" collapsed="false">
      <c r="B13" s="9" t="s">
        <v>307</v>
      </c>
      <c r="C13" s="19" t="s">
        <v>203</v>
      </c>
      <c r="D13" s="19" t="s">
        <v>204</v>
      </c>
      <c r="E13" s="19" t="s">
        <v>205</v>
      </c>
    </row>
    <row r="14" customFormat="false" ht="15" hidden="false" customHeight="false" outlineLevel="0" collapsed="false">
      <c r="B14" s="20" t="s">
        <v>398</v>
      </c>
      <c r="C14" s="21" t="n">
        <v>250000</v>
      </c>
      <c r="D14" s="22" t="s">
        <v>207</v>
      </c>
      <c r="E14" s="2" t="s">
        <v>1093</v>
      </c>
      <c r="G14" s="23" t="s">
        <v>400</v>
      </c>
    </row>
    <row r="15" customFormat="false" ht="15" hidden="false" customHeight="false" outlineLevel="0" collapsed="false">
      <c r="B15" s="20" t="s">
        <v>298</v>
      </c>
      <c r="C15" s="25" t="n">
        <v>0.0375</v>
      </c>
      <c r="D15" s="22" t="s">
        <v>222</v>
      </c>
      <c r="E15" s="26" t="s">
        <v>223</v>
      </c>
      <c r="G15" s="23" t="s">
        <v>401</v>
      </c>
    </row>
    <row r="16" customFormat="false" ht="15" hidden="false" customHeight="false" outlineLevel="0" collapsed="false">
      <c r="B16" s="20" t="s">
        <v>402</v>
      </c>
      <c r="C16" s="27" t="n">
        <v>25</v>
      </c>
      <c r="D16" s="22" t="s">
        <v>226</v>
      </c>
      <c r="E16" s="2" t="s">
        <v>313</v>
      </c>
      <c r="G16" s="23" t="s">
        <v>404</v>
      </c>
    </row>
    <row r="17" customFormat="false" ht="15" hidden="false" customHeight="false" outlineLevel="0" collapsed="false">
      <c r="B17" s="20" t="s">
        <v>315</v>
      </c>
      <c r="C17" s="21" t="n">
        <v>0</v>
      </c>
      <c r="D17" s="22" t="s">
        <v>207</v>
      </c>
      <c r="E17" s="2" t="s">
        <v>316</v>
      </c>
      <c r="G17" s="23" t="s">
        <v>317</v>
      </c>
    </row>
    <row r="19" customFormat="false" ht="15" hidden="false" customHeight="false" outlineLevel="0" collapsed="false">
      <c r="B19" s="9" t="s">
        <v>321</v>
      </c>
      <c r="C19" s="10"/>
      <c r="D19" s="10"/>
      <c r="E19" s="10"/>
    </row>
    <row r="20" customFormat="false" ht="15" hidden="false" customHeight="false" outlineLevel="0" collapsed="false">
      <c r="B20" s="20" t="s">
        <v>398</v>
      </c>
      <c r="C20" s="44" t="n">
        <f aca="false">IF(ISBLANK(Stmt_Balance),Mortgage_Balance,Stmt_Balance)</f>
        <v>250000</v>
      </c>
      <c r="D20" s="45" t="str">
        <f aca="false">IF(ISBLANK(Stmt_Balance),"Your figure","From your statement")</f>
        <v>Your figure</v>
      </c>
      <c r="E20" s="36" t="s">
        <v>408</v>
      </c>
    </row>
    <row r="21" customFormat="false" ht="15" hidden="false" customHeight="false" outlineLevel="0" collapsed="false">
      <c r="B21" s="20" t="s">
        <v>298</v>
      </c>
      <c r="C21" s="46" t="n">
        <f aca="false">IF(ISBLANK(Stmt_Rate),Interest_Rate,Stmt_Rate)</f>
        <v>0.0375</v>
      </c>
      <c r="D21" s="45" t="str">
        <f aca="false">IF(ISBLANK(Stmt_Rate),"Your figure","From your statement")</f>
        <v>Your figure</v>
      </c>
      <c r="E21" s="36" t="s">
        <v>323</v>
      </c>
    </row>
    <row r="22" customFormat="false" ht="15" hidden="false" customHeight="false" outlineLevel="0" collapsed="false">
      <c r="B22" s="20" t="s">
        <v>402</v>
      </c>
      <c r="C22" s="47" t="n">
        <f aca="false">IF(ISBLANK(Stmt_Term),Years_Left,Stmt_Term)</f>
        <v>25</v>
      </c>
      <c r="D22" s="45" t="str">
        <f aca="false">IF(ISBLANK(Stmt_Term),"Your figure","From your statement")</f>
        <v>Your figure</v>
      </c>
      <c r="E22" s="36" t="s">
        <v>409</v>
      </c>
    </row>
    <row r="23" customFormat="false" ht="15" hidden="false" customHeight="false" outlineLevel="0" collapsed="false">
      <c r="B23" s="20" t="s">
        <v>325</v>
      </c>
      <c r="C23" s="44" t="n">
        <f aca="false">IF(ISBLANK(Stmt_Repayment),Actual_Repayment,Stmt_Repayment)</f>
        <v>0</v>
      </c>
      <c r="D23" s="45" t="str">
        <f aca="false">IF(ISBLANK(Stmt_Repayment),"Your figure","From your statement")</f>
        <v>Your figure</v>
      </c>
      <c r="E23" s="36" t="s">
        <v>326</v>
      </c>
    </row>
    <row r="24" customFormat="false" ht="22.35" hidden="false" customHeight="false" outlineLevel="0" collapsed="false">
      <c r="B24" s="20" t="s">
        <v>327</v>
      </c>
      <c r="C24" s="32" t="str">
        <f aca="true">IF(ISBLANK(Stmt_Statement_Date),"",IF(TODAY()-Stmt_Statement_Date&gt;Statement_Max_Age_Days,"Needs a look: statement is more than 12 months old","Up to date"))</f>
        <v/>
      </c>
      <c r="D24" s="22"/>
      <c r="E24" s="29" t="s">
        <v>328</v>
      </c>
    </row>
    <row r="26" customFormat="false" ht="15" hidden="false" customHeight="false" outlineLevel="0" collapsed="false">
      <c r="B26" s="9" t="s">
        <v>238</v>
      </c>
      <c r="C26" s="19" t="s">
        <v>239</v>
      </c>
      <c r="D26" s="19" t="s">
        <v>240</v>
      </c>
      <c r="E26" s="19" t="s">
        <v>241</v>
      </c>
    </row>
    <row r="27" customFormat="false" ht="17.35" hidden="false" customHeight="false" outlineLevel="0" collapsed="false">
      <c r="B27" s="17" t="s">
        <v>1094</v>
      </c>
      <c r="C27" s="28" t="n">
        <f aca="false">Used_Mortgage_Balance</f>
        <v>250000</v>
      </c>
      <c r="D27" s="22" t="s">
        <v>207</v>
      </c>
      <c r="E27" s="29" t="s">
        <v>1095</v>
      </c>
    </row>
    <row r="28" customFormat="false" ht="15" hidden="false" customHeight="false" outlineLevel="0" collapsed="false">
      <c r="B28" s="58" t="s">
        <v>753</v>
      </c>
      <c r="C28" s="59" t="str">
        <f aca="false">IF(Repayment&lt;=Used_Mortgage_Balance*Monthly_Rate,"Your repayment doesn't cover the interest: please check the figures.","")</f>
        <v/>
      </c>
      <c r="D28" s="59"/>
      <c r="E28" s="59"/>
    </row>
    <row r="29" customFormat="false" ht="17.35" hidden="false" customHeight="false" outlineLevel="0" collapsed="false">
      <c r="B29" s="17" t="s">
        <v>1096</v>
      </c>
      <c r="C29" s="28" t="n">
        <f aca="false">IF(Warning&lt;&gt;"","—",MAX(0,-FV(Monthly_Rate,MP_Year_1*12,-Repayment,Used_Mortgage_Balance)))</f>
        <v>216790.914338077</v>
      </c>
      <c r="D29" s="22" t="s">
        <v>207</v>
      </c>
      <c r="E29" s="29" t="s">
        <v>1097</v>
      </c>
    </row>
    <row r="30" customFormat="false" ht="17.35" hidden="false" customHeight="false" outlineLevel="0" collapsed="false">
      <c r="B30" s="17" t="s">
        <v>1098</v>
      </c>
      <c r="C30" s="28" t="n">
        <f aca="false">IF(Warning&lt;&gt;"","—",MAX(0,-FV(Monthly_Rate,MP_Year_2*12,-Repayment,Used_Mortgage_Balance)))</f>
        <v>176744.820237754</v>
      </c>
      <c r="D30" s="22" t="s">
        <v>207</v>
      </c>
      <c r="E30" s="29" t="s">
        <v>1099</v>
      </c>
    </row>
    <row r="31" customFormat="false" ht="17.35" hidden="false" customHeight="false" outlineLevel="0" collapsed="false">
      <c r="B31" s="17" t="s">
        <v>1100</v>
      </c>
      <c r="C31" s="28" t="n">
        <f aca="false">IF(Warning&lt;&gt;"","—",MAX(0,-FV(Monthly_Rate,MP_Year_3*12,-Repayment,Used_Mortgage_Balance)))</f>
        <v>128454.130484415</v>
      </c>
      <c r="D31" s="22" t="s">
        <v>207</v>
      </c>
      <c r="E31" s="29" t="s">
        <v>1101</v>
      </c>
    </row>
    <row r="32" customFormat="false" ht="15" hidden="false" customHeight="false" outlineLevel="0" collapsed="false">
      <c r="B32" s="20" t="s">
        <v>336</v>
      </c>
      <c r="C32" s="50" t="n">
        <f aca="false">Used_Interest_Rate/12</f>
        <v>0.003125</v>
      </c>
      <c r="D32" s="22"/>
      <c r="E32" s="29" t="s">
        <v>337</v>
      </c>
    </row>
    <row r="33" customFormat="false" ht="15" hidden="false" customHeight="false" outlineLevel="0" collapsed="false">
      <c r="B33" s="20" t="s">
        <v>1102</v>
      </c>
      <c r="C33" s="30" t="n">
        <f aca="false">IF(Used_Actual_Repayment&gt;0,Used_Actual_Repayment,PMT(Monthly_Rate,Used_Years_Left*12,-Used_Mortgage_Balance))</f>
        <v>1285.32799900589</v>
      </c>
      <c r="D33" s="22" t="s">
        <v>207</v>
      </c>
      <c r="E33" s="29" t="s">
        <v>419</v>
      </c>
    </row>
    <row r="35" customFormat="false" ht="15" hidden="false" customHeight="false" outlineLevel="0" collapsed="false">
      <c r="B35" s="9" t="s">
        <v>271</v>
      </c>
      <c r="C35" s="10"/>
      <c r="D35" s="10"/>
      <c r="E35" s="10"/>
    </row>
    <row r="36" customFormat="false" ht="13.5" hidden="false" customHeight="true" outlineLevel="0" collapsed="false">
      <c r="B36" s="33" t="s">
        <v>1103</v>
      </c>
      <c r="C36" s="33"/>
      <c r="D36" s="33"/>
      <c r="E36" s="33"/>
    </row>
    <row r="37" customFormat="false" ht="13.5" hidden="false" customHeight="true" outlineLevel="0" collapsed="false">
      <c r="B37" s="34" t="s">
        <v>275</v>
      </c>
      <c r="C37" s="34"/>
      <c r="D37" s="34"/>
      <c r="E37" s="34"/>
    </row>
    <row r="38" customFormat="false" ht="13.5" hidden="false" customHeight="true" outlineLevel="0" collapsed="false">
      <c r="B38" s="33" t="s">
        <v>1104</v>
      </c>
      <c r="C38" s="33"/>
      <c r="D38" s="33"/>
      <c r="E38" s="33"/>
    </row>
    <row r="40" customFormat="false" ht="15" hidden="false" customHeight="false" outlineLevel="0" collapsed="false">
      <c r="B40" s="9" t="s">
        <v>280</v>
      </c>
      <c r="C40" s="10"/>
      <c r="D40" s="10"/>
      <c r="E40" s="10"/>
    </row>
    <row r="41" customFormat="false" ht="15" hidden="false" customHeight="false" outlineLevel="0" collapsed="false">
      <c r="B41" s="20" t="s">
        <v>281</v>
      </c>
      <c r="C41" s="35" t="str">
        <f aca="false">"No goal"</f>
        <v>No goal</v>
      </c>
      <c r="E41" s="36" t="s">
        <v>461</v>
      </c>
    </row>
  </sheetData>
  <mergeCells count="5">
    <mergeCell ref="B6:E6"/>
    <mergeCell ref="C28:E28"/>
    <mergeCell ref="B36:E36"/>
    <mergeCell ref="B37:E37"/>
    <mergeCell ref="B38:E38"/>
  </mergeCells>
  <dataValidations count="9">
    <dataValidation allowBlank="true" error="Please enter €0 to €10,000,000." errorStyle="stop" errorTitle="Outside the allowed range" operator="between" prompt="Unit: €. Allowed: €0 to €10,000,000." promptTitle="Outstanding balance" showDropDown="false" showErrorMessage="true" showInputMessage="true" sqref="C7" type="decimal">
      <formula1>0</formula1>
      <formula2>10000000</formula2>
    </dataValidation>
    <dataValidation allowBlank="true" error="Please enter 0% to 15%." errorStyle="stop" errorTitle="Outside the allowed range" operator="between" prompt="Unit: %. Allowed: 0% to 15%." promptTitle="Interest rate" showDropDown="false" showErrorMessage="true" showInputMessage="true" sqref="C8" type="decimal">
      <formula1>0</formula1>
      <formula2>0.15</formula2>
    </dataValidation>
    <dataValidation allowBlank="true" error="Please enter 0 to 40." errorStyle="stop" errorTitle="Outside the allowed range" operator="between" prompt="Unit: years. Allowed: 0 to 40." promptTitle="Term remaining" showDropDown="false" showErrorMessage="true" showInputMessage="true" sqref="C9" type="whole">
      <formula1>0</formula1>
      <formula2>40</formula2>
    </dataValidation>
    <dataValidation allowBlank="true" error="Please enter €0 to €100,000." errorStyle="stop" errorTitle="Outside the allowed range" operator="between" prompt="Unit: €. Allowed: €0 to €100,000." promptTitle="Monthly repayment" showDropDown="false" showErrorMessage="true" showInputMessage="true" sqref="C10" type="decimal">
      <formula1>0</formula1>
      <formula2>100000</formula2>
    </dataValidation>
    <dataValidation allowBlank="true" error="Please enter a date (dd/mm/yyyy)." errorStyle="stop" errorTitle="Outside the allowed range" operator="greaterThan" prompt="Unit: date. Allowed: a date (dd/mm/yyyy)." promptTitle="Statement date" showDropDown="false" showErrorMessage="true" showInputMessage="true" sqref="C11" type="date">
      <formula1>36526</formula1>
      <formula2>0</formula2>
    </dataValidation>
    <dataValidation allowBlank="false" error="Please enter 1% to 8% · steps of 0.05%." errorStyle="stop" errorTitle="Outside the allowed range" operator="between" prompt="Suggested · change if you like. New Irish mortgages averaged about 3.5% in mid-2026. The ECB raised rates in September 2026, so new rates may rise. Your statement shows your own rate.  Allowed: 1% to 8% · steps of 0.05%." promptTitle="Interest rate" showDropDown="false" showErrorMessage="true" showInputMessage="true" sqref="C15" type="decimal">
      <formula1>0.01</formula1>
      <formula2>0.08</formula2>
    </dataValidation>
    <dataValidation allowBlank="false" error="Please enter €0 to €100,000 · steps of €1." errorStyle="stop" errorTitle="Outside the allowed range" operator="between" prompt="Unit: €. Allowed: €0 to €100,000 · steps of €1." promptTitle="Your actual monthly repayment (o" showDropDown="false" showErrorMessage="true" showInputMessage="true" sqref="C17" type="decimal">
      <formula1>0</formula1>
      <formula2>100000</formula2>
    </dataValidation>
    <dataValidation allowBlank="false" error="Please enter 5 to 35 · steps of 1." errorStyle="stop" errorTitle="Outside the allowed range" operator="between" prompt="Unit: years. Allowed: 5 to 35 · steps of 1." promptTitle="Years left" showDropDown="false" showErrorMessage="true" showInputMessage="true" sqref="C16" type="whole">
      <formula1>5</formula1>
      <formula2>35</formula2>
    </dataValidation>
    <dataValidation allowBlank="false" error="Please enter €20,000 to €10,000,000 · steps of €5,000." errorStyle="stop" errorTitle="Outside the allowed range" operator="between" prompt="Unit: €. Allowed: €20,000 to €10,000,000 · steps of €5,000." promptTitle="Mortgage balance" showDropDown="false" showErrorMessage="true" showInputMessage="true" sqref="C14" type="decimal">
      <formula1>20000</formula1>
      <formula2>10000000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G3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50"/>
    <col collapsed="false" customWidth="true" hidden="false" outlineLevel="0" max="3" min="3" style="0" width="26"/>
    <col collapsed="false" customWidth="true" hidden="false" outlineLevel="0" max="4" min="4" style="0" width="24"/>
    <col collapsed="false" customWidth="true" hidden="false" outlineLevel="0" max="5" min="5" style="0" width="78"/>
    <col collapsed="false" customWidth="true" hidden="false" outlineLevel="0" max="6" min="6" style="0" width="2"/>
    <col collapsed="false" customWidth="true" hidden="false" outlineLevel="0" max="7" min="7" style="0" width="44"/>
  </cols>
  <sheetData>
    <row r="1" customFormat="false" ht="19.7" hidden="false" customHeight="false" outlineLevel="0" collapsed="false">
      <c r="B1" s="16" t="s">
        <v>1105</v>
      </c>
      <c r="G1" s="2" t="s">
        <v>1106</v>
      </c>
    </row>
    <row r="2" customFormat="false" ht="15" hidden="false" customHeight="false" outlineLevel="0" collapsed="false">
      <c r="B2" s="17" t="s">
        <v>1107</v>
      </c>
      <c r="G2" s="2" t="s">
        <v>1108</v>
      </c>
    </row>
    <row r="3" customFormat="false" ht="15" hidden="false" customHeight="false" outlineLevel="0" collapsed="false">
      <c r="B3" s="18" t="s">
        <v>1109</v>
      </c>
    </row>
    <row r="5" customFormat="false" ht="15" hidden="false" customHeight="false" outlineLevel="0" collapsed="false">
      <c r="B5" s="9" t="s">
        <v>293</v>
      </c>
      <c r="C5" s="10"/>
      <c r="D5" s="10"/>
      <c r="E5" s="10"/>
    </row>
    <row r="6" customFormat="false" ht="27.75" hidden="false" customHeight="true" outlineLevel="0" collapsed="false">
      <c r="B6" s="39" t="s">
        <v>1110</v>
      </c>
      <c r="C6" s="39"/>
      <c r="D6" s="39"/>
      <c r="E6" s="39"/>
    </row>
    <row r="7" customFormat="false" ht="15" hidden="false" customHeight="false" outlineLevel="0" collapsed="false">
      <c r="B7" s="20" t="s">
        <v>295</v>
      </c>
      <c r="C7" s="40"/>
      <c r="D7" s="22" t="s">
        <v>207</v>
      </c>
      <c r="E7" s="2" t="s">
        <v>296</v>
      </c>
      <c r="G7" s="23" t="s">
        <v>297</v>
      </c>
    </row>
    <row r="8" customFormat="false" ht="15" hidden="false" customHeight="false" outlineLevel="0" collapsed="false">
      <c r="B8" s="20" t="s">
        <v>1111</v>
      </c>
      <c r="C8" s="40"/>
      <c r="D8" s="22" t="s">
        <v>207</v>
      </c>
      <c r="E8" s="2" t="s">
        <v>607</v>
      </c>
      <c r="G8" s="23" t="s">
        <v>297</v>
      </c>
    </row>
    <row r="9" customFormat="false" ht="15" hidden="false" customHeight="false" outlineLevel="0" collapsed="false">
      <c r="B9" s="20" t="s">
        <v>682</v>
      </c>
      <c r="C9" s="40"/>
      <c r="D9" s="22" t="s">
        <v>207</v>
      </c>
      <c r="E9" s="2" t="s">
        <v>683</v>
      </c>
      <c r="G9" s="23" t="s">
        <v>297</v>
      </c>
    </row>
    <row r="10" customFormat="false" ht="15" hidden="false" customHeight="false" outlineLevel="0" collapsed="false">
      <c r="B10" s="20" t="s">
        <v>606</v>
      </c>
      <c r="C10" s="40"/>
      <c r="D10" s="22" t="s">
        <v>207</v>
      </c>
      <c r="E10" s="2" t="s">
        <v>607</v>
      </c>
      <c r="G10" s="23" t="s">
        <v>297</v>
      </c>
    </row>
    <row r="12" customFormat="false" ht="15" hidden="false" customHeight="false" outlineLevel="0" collapsed="false">
      <c r="B12" s="9" t="s">
        <v>307</v>
      </c>
      <c r="C12" s="19" t="s">
        <v>203</v>
      </c>
      <c r="D12" s="19" t="s">
        <v>204</v>
      </c>
      <c r="E12" s="19" t="s">
        <v>205</v>
      </c>
    </row>
    <row r="13" customFormat="false" ht="15" hidden="false" customHeight="false" outlineLevel="0" collapsed="false">
      <c r="B13" s="20" t="s">
        <v>1112</v>
      </c>
      <c r="C13" s="21" t="n">
        <v>15000</v>
      </c>
      <c r="D13" s="22" t="s">
        <v>207</v>
      </c>
      <c r="E13" s="2" t="s">
        <v>1113</v>
      </c>
      <c r="G13" s="23" t="s">
        <v>1114</v>
      </c>
    </row>
    <row r="14" customFormat="false" ht="15" hidden="false" customHeight="false" outlineLevel="0" collapsed="false">
      <c r="B14" s="20" t="s">
        <v>49</v>
      </c>
      <c r="C14" s="21" t="n">
        <v>10000</v>
      </c>
      <c r="D14" s="22" t="s">
        <v>207</v>
      </c>
      <c r="E14" s="2" t="s">
        <v>1115</v>
      </c>
      <c r="G14" s="23" t="s">
        <v>1116</v>
      </c>
    </row>
    <row r="15" customFormat="false" ht="15" hidden="false" customHeight="false" outlineLevel="0" collapsed="false">
      <c r="B15" s="20" t="s">
        <v>1117</v>
      </c>
      <c r="C15" s="21" t="n">
        <v>60000</v>
      </c>
      <c r="D15" s="22" t="s">
        <v>207</v>
      </c>
      <c r="E15" s="2" t="s">
        <v>1118</v>
      </c>
      <c r="G15" s="23" t="s">
        <v>1119</v>
      </c>
    </row>
    <row r="16" customFormat="false" ht="15" hidden="false" customHeight="false" outlineLevel="0" collapsed="false">
      <c r="B16" s="20" t="s">
        <v>1120</v>
      </c>
      <c r="C16" s="21" t="n">
        <v>350000</v>
      </c>
      <c r="D16" s="22" t="s">
        <v>207</v>
      </c>
      <c r="E16" s="2" t="s">
        <v>1121</v>
      </c>
      <c r="G16" s="23" t="s">
        <v>1122</v>
      </c>
    </row>
    <row r="17" customFormat="false" ht="15" hidden="false" customHeight="false" outlineLevel="0" collapsed="false">
      <c r="B17" s="20" t="s">
        <v>515</v>
      </c>
      <c r="C17" s="21" t="n">
        <v>250000</v>
      </c>
      <c r="D17" s="22" t="s">
        <v>207</v>
      </c>
      <c r="E17" s="2" t="s">
        <v>1123</v>
      </c>
      <c r="G17" s="23" t="s">
        <v>1025</v>
      </c>
    </row>
    <row r="18" customFormat="false" ht="15" hidden="false" customHeight="false" outlineLevel="0" collapsed="false">
      <c r="B18" s="20" t="s">
        <v>1124</v>
      </c>
      <c r="C18" s="21" t="n">
        <v>8000</v>
      </c>
      <c r="D18" s="22" t="s">
        <v>207</v>
      </c>
      <c r="E18" s="2" t="s">
        <v>1125</v>
      </c>
      <c r="G18" s="23" t="s">
        <v>1126</v>
      </c>
    </row>
    <row r="20" customFormat="false" ht="15" hidden="false" customHeight="false" outlineLevel="0" collapsed="false">
      <c r="B20" s="9" t="s">
        <v>321</v>
      </c>
      <c r="C20" s="10"/>
      <c r="D20" s="10"/>
      <c r="E20" s="10"/>
    </row>
    <row r="21" customFormat="false" ht="15" hidden="false" customHeight="false" outlineLevel="0" collapsed="false">
      <c r="B21" s="20" t="s">
        <v>515</v>
      </c>
      <c r="C21" s="44" t="n">
        <f aca="false">IF(ISBLANK(Stmt_Mortgage_Balance),Mortgage,Stmt_Mortgage_Balance)</f>
        <v>250000</v>
      </c>
      <c r="D21" s="45" t="str">
        <f aca="false">IF(ISBLANK(Stmt_Mortgage_Balance),"Your figure","From your statement")</f>
        <v>Your figure</v>
      </c>
      <c r="E21" s="36" t="s">
        <v>1127</v>
      </c>
    </row>
    <row r="22" customFormat="false" ht="15" hidden="false" customHeight="false" outlineLevel="0" collapsed="false">
      <c r="B22" s="20" t="s">
        <v>1120</v>
      </c>
      <c r="C22" s="44" t="n">
        <f aca="false">IF(ISBLANK(Stmt_Property_Value),Property,Stmt_Property_Value)</f>
        <v>350000</v>
      </c>
      <c r="D22" s="45" t="str">
        <f aca="false">IF(ISBLANK(Stmt_Property_Value),"Your figure","From your statement")</f>
        <v>Your figure</v>
      </c>
      <c r="E22" s="36" t="s">
        <v>1128</v>
      </c>
    </row>
    <row r="23" customFormat="false" ht="15" hidden="false" customHeight="false" outlineLevel="0" collapsed="false">
      <c r="B23" s="20" t="s">
        <v>1117</v>
      </c>
      <c r="C23" s="44" t="n">
        <f aca="false">IF(ISBLANK(Stmt_Pension_Value),Pensions,Stmt_Pension_Value)</f>
        <v>60000</v>
      </c>
      <c r="D23" s="45" t="str">
        <f aca="false">IF(ISBLANK(Stmt_Pension_Value),"Your figure","From your statement")</f>
        <v>Your figure</v>
      </c>
      <c r="E23" s="36" t="s">
        <v>1129</v>
      </c>
    </row>
    <row r="24" customFormat="false" ht="15" hidden="false" customHeight="false" outlineLevel="0" collapsed="false">
      <c r="B24" s="20" t="s">
        <v>49</v>
      </c>
      <c r="C24" s="44" t="n">
        <f aca="false">IF(ISBLANK(Stmt_Investment_Value),Investments,Stmt_Investment_Value)</f>
        <v>10000</v>
      </c>
      <c r="D24" s="45" t="str">
        <f aca="false">IF(ISBLANK(Stmt_Investment_Value),"Your figure","From your statement")</f>
        <v>Your figure</v>
      </c>
      <c r="E24" s="36" t="s">
        <v>1130</v>
      </c>
    </row>
    <row r="26" customFormat="false" ht="15" hidden="false" customHeight="false" outlineLevel="0" collapsed="false">
      <c r="B26" s="9" t="s">
        <v>238</v>
      </c>
      <c r="C26" s="19" t="s">
        <v>239</v>
      </c>
      <c r="D26" s="19" t="s">
        <v>240</v>
      </c>
      <c r="E26" s="19" t="s">
        <v>241</v>
      </c>
    </row>
    <row r="27" customFormat="false" ht="17.35" hidden="false" customHeight="false" outlineLevel="0" collapsed="false">
      <c r="B27" s="17" t="s">
        <v>1131</v>
      </c>
      <c r="C27" s="28" t="n">
        <f aca="false">You_Own-You_Owe</f>
        <v>177000</v>
      </c>
      <c r="D27" s="22" t="s">
        <v>207</v>
      </c>
      <c r="E27" s="29" t="s">
        <v>1132</v>
      </c>
    </row>
    <row r="28" customFormat="false" ht="17.35" hidden="false" customHeight="false" outlineLevel="0" collapsed="false">
      <c r="B28" s="17" t="s">
        <v>1133</v>
      </c>
      <c r="C28" s="28" t="n">
        <f aca="false">Savings+Used_Investments+Used_Pensions+Used_Property</f>
        <v>435000</v>
      </c>
      <c r="D28" s="22" t="s">
        <v>207</v>
      </c>
      <c r="E28" s="29" t="s">
        <v>1134</v>
      </c>
    </row>
    <row r="29" customFormat="false" ht="17.35" hidden="false" customHeight="false" outlineLevel="0" collapsed="false">
      <c r="B29" s="17" t="s">
        <v>1135</v>
      </c>
      <c r="C29" s="28" t="n">
        <f aca="false">Used_Mortgage+Other_Loans</f>
        <v>258000</v>
      </c>
      <c r="D29" s="22" t="s">
        <v>207</v>
      </c>
      <c r="E29" s="29" t="s">
        <v>1136</v>
      </c>
    </row>
    <row r="31" customFormat="false" ht="15" hidden="false" customHeight="false" outlineLevel="0" collapsed="false">
      <c r="B31" s="9" t="s">
        <v>271</v>
      </c>
      <c r="C31" s="10"/>
      <c r="D31" s="10"/>
      <c r="E31" s="10"/>
    </row>
    <row r="32" customFormat="false" ht="13.5" hidden="false" customHeight="true" outlineLevel="0" collapsed="false">
      <c r="B32" s="33" t="s">
        <v>1137</v>
      </c>
      <c r="C32" s="33"/>
      <c r="D32" s="33"/>
      <c r="E32" s="33"/>
    </row>
    <row r="33" customFormat="false" ht="13.5" hidden="false" customHeight="true" outlineLevel="0" collapsed="false">
      <c r="B33" s="34" t="s">
        <v>275</v>
      </c>
      <c r="C33" s="34"/>
      <c r="D33" s="34"/>
      <c r="E33" s="34"/>
    </row>
    <row r="34" customFormat="false" ht="13.5" hidden="false" customHeight="true" outlineLevel="0" collapsed="false">
      <c r="B34" s="33" t="s">
        <v>1138</v>
      </c>
      <c r="C34" s="33"/>
      <c r="D34" s="33"/>
      <c r="E34" s="33"/>
    </row>
    <row r="36" customFormat="false" ht="15" hidden="false" customHeight="false" outlineLevel="0" collapsed="false">
      <c r="B36" s="9" t="s">
        <v>280</v>
      </c>
      <c r="C36" s="10"/>
      <c r="D36" s="10"/>
      <c r="E36" s="10"/>
    </row>
    <row r="37" customFormat="false" ht="15" hidden="false" customHeight="false" outlineLevel="0" collapsed="false">
      <c r="B37" s="20" t="s">
        <v>281</v>
      </c>
      <c r="C37" s="35" t="str">
        <f aca="false">"No goal"</f>
        <v>No goal</v>
      </c>
      <c r="E37" s="36" t="s">
        <v>461</v>
      </c>
    </row>
  </sheetData>
  <mergeCells count="4">
    <mergeCell ref="B6:E6"/>
    <mergeCell ref="B32:E32"/>
    <mergeCell ref="B33:E33"/>
    <mergeCell ref="B34:E34"/>
  </mergeCells>
  <dataValidations count="10">
    <dataValidation allowBlank="true" error="Please enter €0 to €10,000,000." errorStyle="stop" errorTitle="Outside the allowed range" operator="between" prompt="Unit: €. Allowed: €0 to €10,000,000." promptTitle="Outstanding balance" showDropDown="false" showErrorMessage="true" showInputMessage="true" sqref="C7" type="decimal">
      <formula1>0</formula1>
      <formula2>10000000</formula2>
    </dataValidation>
    <dataValidation allowBlank="true" error="Please enter €0 to €100,000,000." errorStyle="stop" errorTitle="Outside the allowed range" operator="between" prompt="Unit: €. Allowed: €0 to €100,000,000." promptTitle="Total value" showDropDown="false" showErrorMessage="true" showInputMessage="true" sqref="C10" type="decimal">
      <formula1>0</formula1>
      <formula2>100000000</formula2>
    </dataValidation>
    <dataValidation allowBlank="true" error="Please enter €0 to €50,000,000." errorStyle="stop" errorTitle="Outside the allowed range" operator="between" prompt="Unit: €. Allowed: €0 to €50,000,000." promptTitle="Fund value today" showDropDown="false" showErrorMessage="true" showInputMessage="true" sqref="C9" type="decimal">
      <formula1>0</formula1>
      <formula2>50000000</formula2>
    </dataValidation>
    <dataValidation allowBlank="true" error="Please enter €0 to €100,000,000." errorStyle="stop" errorTitle="Outside the allowed range" operator="between" prompt="Unit: €. Allowed: €0 to €100,000,000." promptTitle="Property value (valuation)" showDropDown="false" showErrorMessage="true" showInputMessage="true" sqref="C8" type="decimal">
      <formula1>0</formula1>
      <formula2>100000000</formula2>
    </dataValidation>
    <dataValidation allowBlank="false" error="Please enter €0 to €10,000,000 · steps of €500." errorStyle="stop" errorTitle="Outside the allowed range" operator="between" prompt="Unit: €. Allowed: €0 to €10,000,000 · steps of €500." promptTitle="Savings" showDropDown="false" showErrorMessage="true" showInputMessage="true" sqref="C13" type="decimal">
      <formula1>0</formula1>
      <formula2>10000000</formula2>
    </dataValidation>
    <dataValidation allowBlank="false" error="Please enter €0 to €20,000,000 · steps of €1,000." errorStyle="stop" errorTitle="Outside the allowed range" operator="between" prompt="Unit: €. Allowed: €0 to €20,000,000 · steps of €1,000." promptTitle="Investments" showDropDown="false" showErrorMessage="true" showInputMessage="true" sqref="C14" type="decimal">
      <formula1>0</formula1>
      <formula2>20000000</formula2>
    </dataValidation>
    <dataValidation allowBlank="false" error="Please enter €0 to €30,000,000 · steps of €1,000." errorStyle="stop" errorTitle="Outside the allowed range" operator="between" prompt="Unit: €. Allowed: €0 to €30,000,000 · steps of €1,000." promptTitle="Pensions" showDropDown="false" showErrorMessage="true" showInputMessage="true" sqref="C15" type="decimal">
      <formula1>0</formula1>
      <formula2>30000000</formula2>
    </dataValidation>
    <dataValidation allowBlank="false" error="Please enter €0 to €50,000,000 · steps of €5,000." errorStyle="stop" errorTitle="Outside the allowed range" operator="between" prompt="Unit: €. Allowed: €0 to €50,000,000 · steps of €5,000." promptTitle="Property value" showDropDown="false" showErrorMessage="true" showInputMessage="true" sqref="C16" type="decimal">
      <formula1>0</formula1>
      <formula2>50000000</formula2>
    </dataValidation>
    <dataValidation allowBlank="false" error="Please enter €0 to €30,000,000 · steps of €5,000." errorStyle="stop" errorTitle="Outside the allowed range" operator="between" prompt="Unit: €. Allowed: €0 to €30,000,000 · steps of €5,000." promptTitle="Mortgage" showDropDown="false" showErrorMessage="true" showInputMessage="true" sqref="C17" type="decimal">
      <formula1>0</formula1>
      <formula2>30000000</formula2>
    </dataValidation>
    <dataValidation allowBlank="false" error="Please enter €0 to €5,000,000 · steps of €500." errorStyle="stop" errorTitle="Outside the allowed range" operator="between" prompt="Unit: €. Allowed: €0 to €5,000,000 · steps of €500." promptTitle="Other loans" showDropDown="false" showErrorMessage="true" showInputMessage="true" sqref="C18" type="decimal">
      <formula1>0</formula1>
      <formula2>5000000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G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50"/>
    <col collapsed="false" customWidth="true" hidden="false" outlineLevel="0" max="3" min="3" style="0" width="26"/>
    <col collapsed="false" customWidth="true" hidden="false" outlineLevel="0" max="4" min="4" style="0" width="24"/>
    <col collapsed="false" customWidth="true" hidden="false" outlineLevel="0" max="5" min="5" style="0" width="78"/>
    <col collapsed="false" customWidth="true" hidden="false" outlineLevel="0" max="6" min="6" style="0" width="2"/>
    <col collapsed="false" customWidth="true" hidden="false" outlineLevel="0" max="7" min="7" style="0" width="44"/>
  </cols>
  <sheetData>
    <row r="1" customFormat="false" ht="19.7" hidden="false" customHeight="false" outlineLevel="0" collapsed="false">
      <c r="B1" s="16" t="s">
        <v>1139</v>
      </c>
      <c r="G1" s="2" t="s">
        <v>1106</v>
      </c>
    </row>
    <row r="2" customFormat="false" ht="15" hidden="false" customHeight="false" outlineLevel="0" collapsed="false">
      <c r="B2" s="17" t="s">
        <v>1140</v>
      </c>
      <c r="G2" s="2" t="s">
        <v>1141</v>
      </c>
    </row>
    <row r="3" customFormat="false" ht="15" hidden="false" customHeight="false" outlineLevel="0" collapsed="false">
      <c r="B3" s="18" t="s">
        <v>1142</v>
      </c>
    </row>
    <row r="5" customFormat="false" ht="15" hidden="false" customHeight="false" outlineLevel="0" collapsed="false">
      <c r="B5" s="9" t="s">
        <v>202</v>
      </c>
      <c r="C5" s="19" t="s">
        <v>203</v>
      </c>
      <c r="D5" s="19" t="s">
        <v>204</v>
      </c>
      <c r="E5" s="19" t="s">
        <v>205</v>
      </c>
    </row>
    <row r="6" customFormat="false" ht="15" hidden="false" customHeight="false" outlineLevel="0" collapsed="false">
      <c r="B6" s="20" t="s">
        <v>1143</v>
      </c>
      <c r="C6" s="21"/>
      <c r="D6" s="22" t="s">
        <v>207</v>
      </c>
      <c r="E6" s="2" t="s">
        <v>1144</v>
      </c>
      <c r="G6" s="23" t="s">
        <v>1145</v>
      </c>
    </row>
    <row r="7" customFormat="false" ht="15" hidden="false" customHeight="false" outlineLevel="0" collapsed="false">
      <c r="B7" s="20" t="s">
        <v>1146</v>
      </c>
      <c r="C7" s="21" t="n">
        <v>2000</v>
      </c>
      <c r="D7" s="22" t="s">
        <v>207</v>
      </c>
      <c r="E7" s="2" t="s">
        <v>1147</v>
      </c>
      <c r="G7" s="23" t="s">
        <v>1148</v>
      </c>
    </row>
    <row r="8" customFormat="false" ht="15" hidden="false" customHeight="false" outlineLevel="0" collapsed="false">
      <c r="B8" s="20" t="s">
        <v>1149</v>
      </c>
      <c r="C8" s="21" t="n">
        <v>800</v>
      </c>
      <c r="D8" s="22" t="s">
        <v>207</v>
      </c>
      <c r="E8" s="2" t="s">
        <v>1150</v>
      </c>
      <c r="G8" s="23" t="s">
        <v>372</v>
      </c>
    </row>
    <row r="9" customFormat="false" ht="15" hidden="false" customHeight="false" outlineLevel="0" collapsed="false">
      <c r="B9" s="20" t="s">
        <v>1151</v>
      </c>
      <c r="C9" s="21" t="n">
        <v>200</v>
      </c>
      <c r="D9" s="22" t="s">
        <v>207</v>
      </c>
      <c r="E9" s="2" t="s">
        <v>1152</v>
      </c>
      <c r="G9" s="23" t="s">
        <v>1153</v>
      </c>
    </row>
    <row r="11" customFormat="false" ht="15" hidden="false" customHeight="false" outlineLevel="0" collapsed="false">
      <c r="B11" s="9" t="s">
        <v>321</v>
      </c>
      <c r="C11" s="10"/>
      <c r="D11" s="10"/>
      <c r="E11" s="10"/>
    </row>
    <row r="12" customFormat="false" ht="15" hidden="false" customHeight="false" outlineLevel="0" collapsed="false">
      <c r="B12" s="20" t="s">
        <v>1154</v>
      </c>
      <c r="C12" s="44" t="n">
        <f aca="false">IF(ISBLANK(Take_Home),TE_Take_Home_Month,Take_Home)</f>
        <v>3738.09833333333</v>
      </c>
      <c r="D12" s="45" t="str">
        <f aca="false">IF(ISBLANK(Take_Home),"From the Tax engine","Your figure")</f>
        <v>From the Tax engine</v>
      </c>
      <c r="E12" s="36" t="s">
        <v>1155</v>
      </c>
    </row>
    <row r="14" customFormat="false" ht="15" hidden="false" customHeight="false" outlineLevel="0" collapsed="false">
      <c r="B14" s="9" t="s">
        <v>238</v>
      </c>
      <c r="C14" s="19" t="s">
        <v>239</v>
      </c>
      <c r="D14" s="19" t="s">
        <v>240</v>
      </c>
      <c r="E14" s="19" t="s">
        <v>241</v>
      </c>
    </row>
    <row r="15" customFormat="false" ht="23.85" hidden="false" customHeight="false" outlineLevel="0" collapsed="false">
      <c r="B15" s="17" t="s">
        <v>1156</v>
      </c>
      <c r="C15" s="28" t="n">
        <f aca="false">Used_Take_Home-Essentials-Lifestyle-Debt_Repayments</f>
        <v>738.098333333333</v>
      </c>
      <c r="D15" s="49" t="str">
        <f aca="false">IF(Surplus&gt;0,"About "&amp;ROUND(Surplus/Used_Take_Home*100,0)&amp;"% of take-home is free for goals",IF(Surplus=0,"Nothing left over this month","Spending is above income"))</f>
        <v>About 20% of take-home is free for goals</v>
      </c>
      <c r="E15" s="29" t="s">
        <v>1157</v>
      </c>
    </row>
    <row r="16" customFormat="false" ht="17.35" hidden="false" customHeight="false" outlineLevel="0" collapsed="false">
      <c r="B16" s="17" t="s">
        <v>1158</v>
      </c>
      <c r="C16" s="28" t="n">
        <f aca="false">Essentials+Lifestyle+Debt_Repayments</f>
        <v>3000</v>
      </c>
      <c r="D16" s="22" t="s">
        <v>207</v>
      </c>
      <c r="E16" s="29" t="s">
        <v>1159</v>
      </c>
    </row>
    <row r="18" customFormat="false" ht="15" hidden="false" customHeight="false" outlineLevel="0" collapsed="false">
      <c r="B18" s="9" t="s">
        <v>271</v>
      </c>
      <c r="C18" s="10"/>
      <c r="D18" s="10"/>
      <c r="E18" s="10"/>
    </row>
    <row r="19" customFormat="false" ht="13.5" hidden="false" customHeight="true" outlineLevel="0" collapsed="false">
      <c r="B19" s="33" t="s">
        <v>1160</v>
      </c>
      <c r="C19" s="33"/>
      <c r="D19" s="33"/>
      <c r="E19" s="33"/>
    </row>
    <row r="20" customFormat="false" ht="13.5" hidden="false" customHeight="true" outlineLevel="0" collapsed="false">
      <c r="B20" s="34" t="s">
        <v>275</v>
      </c>
      <c r="C20" s="34"/>
      <c r="D20" s="34"/>
      <c r="E20" s="34"/>
    </row>
    <row r="21" customFormat="false" ht="13.5" hidden="false" customHeight="true" outlineLevel="0" collapsed="false">
      <c r="B21" s="33" t="s">
        <v>1161</v>
      </c>
      <c r="C21" s="33"/>
      <c r="D21" s="33"/>
      <c r="E21" s="33"/>
    </row>
    <row r="23" customFormat="false" ht="15" hidden="false" customHeight="false" outlineLevel="0" collapsed="false">
      <c r="B23" s="9" t="s">
        <v>280</v>
      </c>
      <c r="C23" s="10"/>
      <c r="D23" s="10"/>
      <c r="E23" s="10"/>
    </row>
    <row r="24" customFormat="false" ht="15" hidden="false" customHeight="false" outlineLevel="0" collapsed="false">
      <c r="B24" s="20" t="s">
        <v>281</v>
      </c>
      <c r="C24" s="35" t="str">
        <f aca="false">IF(Surplus&gt;0,"Save my surplus (plan kind pot)","No goal")</f>
        <v>Save my surplus (plan kind pot)</v>
      </c>
      <c r="E24" s="36" t="s">
        <v>1162</v>
      </c>
    </row>
    <row r="25" customFormat="false" ht="15" hidden="false" customHeight="false" outlineLevel="0" collapsed="false">
      <c r="B25" s="20" t="s">
        <v>1163</v>
      </c>
      <c r="C25" s="37" t="n">
        <f aca="false">IF(Surplus&gt;0,ROUND(Surplus*12,0),"—")</f>
        <v>8857</v>
      </c>
      <c r="E25" s="36" t="s">
        <v>1164</v>
      </c>
    </row>
    <row r="26" customFormat="false" ht="15" hidden="false" customHeight="false" outlineLevel="0" collapsed="false">
      <c r="B26" s="20" t="s">
        <v>287</v>
      </c>
      <c r="C26" s="38" t="n">
        <f aca="false">IF(Surplus&gt;0,1,"—")</f>
        <v>1</v>
      </c>
      <c r="E26" s="36" t="s">
        <v>1165</v>
      </c>
    </row>
  </sheetData>
  <mergeCells count="3">
    <mergeCell ref="B19:E19"/>
    <mergeCell ref="B20:E20"/>
    <mergeCell ref="B21:E21"/>
  </mergeCells>
  <dataValidations count="4">
    <dataValidation allowBlank="true" error="Please enter €500 to €200,000 · steps of €50." errorStyle="stop" errorTitle="Outside the allowed range" operator="between" prompt="Unit: €. Allowed: €500 to €200,000 · steps of €50." promptTitle="Take-home pay per month (leave b" showDropDown="false" showErrorMessage="true" showInputMessage="true" sqref="C6" type="decimal">
      <formula1>500</formula1>
      <formula2>200000</formula2>
    </dataValidation>
    <dataValidation allowBlank="false" error="Please enter €0 to €150,000 · steps of €50." errorStyle="stop" errorTitle="Outside the allowed range" operator="between" prompt="Unit: €. Allowed: €0 to €150,000 · steps of €50." promptTitle="Essentials (rent/mortgage, bills" showDropDown="false" showErrorMessage="true" showInputMessage="true" sqref="C7" type="decimal">
      <formula1>0</formula1>
      <formula2>150000</formula2>
    </dataValidation>
    <dataValidation allowBlank="false" error="Please enter €0 to €100,000 · steps of €50." errorStyle="stop" errorTitle="Outside the allowed range" operator="between" prompt="Unit: €. Allowed: €0 to €100,000 · steps of €50." promptTitle="Lifestyle spending" showDropDown="false" showErrorMessage="true" showInputMessage="true" sqref="C8" type="decimal">
      <formula1>0</formula1>
      <formula2>100000</formula2>
    </dataValidation>
    <dataValidation allowBlank="false" error="Please enter €0 to €50,000 · steps of €25." errorStyle="stop" errorTitle="Outside the allowed range" operator="between" prompt="Unit: €. Allowed: €0 to €50,000 · steps of €25." promptTitle="Debt repayments" showDropDown="false" showErrorMessage="true" showInputMessage="true" sqref="C9" type="decimal">
      <formula1>0</formula1>
      <formula2>50000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G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50"/>
    <col collapsed="false" customWidth="true" hidden="false" outlineLevel="0" max="3" min="3" style="0" width="26"/>
    <col collapsed="false" customWidth="true" hidden="false" outlineLevel="0" max="4" min="4" style="0" width="24"/>
    <col collapsed="false" customWidth="true" hidden="false" outlineLevel="0" max="5" min="5" style="0" width="78"/>
    <col collapsed="false" customWidth="true" hidden="false" outlineLevel="0" max="6" min="6" style="0" width="2"/>
    <col collapsed="false" customWidth="true" hidden="false" outlineLevel="0" max="7" min="7" style="0" width="44"/>
  </cols>
  <sheetData>
    <row r="1" customFormat="false" ht="19.7" hidden="false" customHeight="false" outlineLevel="0" collapsed="false">
      <c r="B1" s="16" t="s">
        <v>1166</v>
      </c>
      <c r="G1" s="2" t="s">
        <v>1106</v>
      </c>
    </row>
    <row r="2" customFormat="false" ht="15" hidden="false" customHeight="false" outlineLevel="0" collapsed="false">
      <c r="B2" s="17" t="s">
        <v>1167</v>
      </c>
      <c r="G2" s="2" t="s">
        <v>1168</v>
      </c>
    </row>
    <row r="3" customFormat="false" ht="15" hidden="false" customHeight="false" outlineLevel="0" collapsed="false">
      <c r="B3" s="18" t="s">
        <v>1169</v>
      </c>
    </row>
    <row r="5" customFormat="false" ht="15" hidden="false" customHeight="false" outlineLevel="0" collapsed="false">
      <c r="B5" s="9" t="s">
        <v>202</v>
      </c>
      <c r="C5" s="19" t="s">
        <v>203</v>
      </c>
      <c r="D5" s="19" t="s">
        <v>204</v>
      </c>
      <c r="E5" s="19" t="s">
        <v>205</v>
      </c>
    </row>
    <row r="6" customFormat="false" ht="15" hidden="false" customHeight="false" outlineLevel="0" collapsed="false">
      <c r="B6" s="20" t="s">
        <v>1143</v>
      </c>
      <c r="C6" s="21"/>
      <c r="D6" s="22" t="s">
        <v>207</v>
      </c>
      <c r="E6" s="2" t="s">
        <v>1144</v>
      </c>
      <c r="G6" s="23" t="s">
        <v>1145</v>
      </c>
    </row>
    <row r="7" customFormat="false" ht="15" hidden="false" customHeight="false" outlineLevel="0" collapsed="false">
      <c r="B7" s="20" t="s">
        <v>1170</v>
      </c>
      <c r="C7" s="25" t="n">
        <v>0.5</v>
      </c>
      <c r="D7" s="22" t="s">
        <v>222</v>
      </c>
      <c r="E7" s="26" t="s">
        <v>1171</v>
      </c>
      <c r="G7" s="23" t="s">
        <v>1172</v>
      </c>
    </row>
    <row r="8" customFormat="false" ht="15" hidden="false" customHeight="false" outlineLevel="0" collapsed="false">
      <c r="B8" s="20" t="s">
        <v>1173</v>
      </c>
      <c r="C8" s="25" t="n">
        <v>0.3</v>
      </c>
      <c r="D8" s="22" t="s">
        <v>222</v>
      </c>
      <c r="E8" s="26" t="s">
        <v>1171</v>
      </c>
      <c r="G8" s="23" t="s">
        <v>1174</v>
      </c>
    </row>
    <row r="9" customFormat="false" ht="15" hidden="false" customHeight="false" outlineLevel="0" collapsed="false">
      <c r="B9" s="20" t="s">
        <v>1175</v>
      </c>
      <c r="C9" s="25" t="n">
        <v>0.2</v>
      </c>
      <c r="D9" s="22" t="s">
        <v>222</v>
      </c>
      <c r="E9" s="26" t="s">
        <v>1171</v>
      </c>
      <c r="G9" s="23" t="s">
        <v>1176</v>
      </c>
    </row>
    <row r="11" customFormat="false" ht="15" hidden="false" customHeight="false" outlineLevel="0" collapsed="false">
      <c r="B11" s="9" t="s">
        <v>321</v>
      </c>
      <c r="C11" s="10"/>
      <c r="D11" s="10"/>
      <c r="E11" s="10"/>
    </row>
    <row r="12" customFormat="false" ht="15" hidden="false" customHeight="false" outlineLevel="0" collapsed="false">
      <c r="B12" s="20" t="s">
        <v>1154</v>
      </c>
      <c r="C12" s="44" t="n">
        <f aca="false">IF(ISBLANK(Take_Home),TE_Take_Home_Month,Take_Home)</f>
        <v>3738.09833333333</v>
      </c>
      <c r="D12" s="45" t="str">
        <f aca="false">IF(ISBLANK(Take_Home),"From the Tax engine","Your figure")</f>
        <v>From the Tax engine</v>
      </c>
      <c r="E12" s="36" t="s">
        <v>1155</v>
      </c>
    </row>
    <row r="14" customFormat="false" ht="15" hidden="false" customHeight="false" outlineLevel="0" collapsed="false">
      <c r="B14" s="9" t="s">
        <v>238</v>
      </c>
      <c r="C14" s="19" t="s">
        <v>239</v>
      </c>
      <c r="D14" s="19" t="s">
        <v>240</v>
      </c>
      <c r="E14" s="19" t="s">
        <v>241</v>
      </c>
    </row>
    <row r="15" customFormat="false" ht="15" hidden="false" customHeight="false" outlineLevel="0" collapsed="false">
      <c r="B15" s="58" t="s">
        <v>753</v>
      </c>
      <c r="C15" s="59" t="str">
        <f aca="false">IF(ROUND(Budget_Needs+Budget_Wants+Budget_Save,6)&lt;&gt;1,"Your shares add up to "&amp;TEXT(Budget_Needs+Budget_Wants+Budget_Save,"0%")&amp;", not 100%.","")</f>
        <v/>
      </c>
      <c r="D15" s="59"/>
      <c r="E15" s="59"/>
    </row>
    <row r="16" customFormat="false" ht="17.35" hidden="false" customHeight="false" outlineLevel="0" collapsed="false">
      <c r="B16" s="17" t="s">
        <v>1177</v>
      </c>
      <c r="C16" s="28" t="n">
        <f aca="false">Used_Take_Home*Budget_Save</f>
        <v>747.619666666667</v>
      </c>
      <c r="D16" s="22" t="s">
        <v>207</v>
      </c>
      <c r="E16" s="29" t="s">
        <v>1178</v>
      </c>
    </row>
    <row r="17" customFormat="false" ht="17.35" hidden="false" customHeight="false" outlineLevel="0" collapsed="false">
      <c r="B17" s="17" t="s">
        <v>1179</v>
      </c>
      <c r="C17" s="28" t="n">
        <f aca="false">Used_Take_Home*Budget_Needs</f>
        <v>1869.04916666667</v>
      </c>
      <c r="D17" s="22" t="s">
        <v>207</v>
      </c>
      <c r="E17" s="29" t="s">
        <v>1180</v>
      </c>
    </row>
    <row r="18" customFormat="false" ht="17.35" hidden="false" customHeight="false" outlineLevel="0" collapsed="false">
      <c r="B18" s="17" t="s">
        <v>1181</v>
      </c>
      <c r="C18" s="28" t="n">
        <f aca="false">Used_Take_Home*Budget_Wants</f>
        <v>1121.4295</v>
      </c>
      <c r="D18" s="22" t="s">
        <v>207</v>
      </c>
      <c r="E18" s="29" t="s">
        <v>1182</v>
      </c>
    </row>
    <row r="20" customFormat="false" ht="15" hidden="false" customHeight="false" outlineLevel="0" collapsed="false">
      <c r="B20" s="9" t="s">
        <v>271</v>
      </c>
      <c r="C20" s="10"/>
      <c r="D20" s="10"/>
      <c r="E20" s="10"/>
    </row>
    <row r="21" customFormat="false" ht="13.5" hidden="false" customHeight="true" outlineLevel="0" collapsed="false">
      <c r="B21" s="33" t="s">
        <v>1183</v>
      </c>
      <c r="C21" s="33"/>
      <c r="D21" s="33"/>
      <c r="E21" s="33"/>
    </row>
    <row r="22" customFormat="false" ht="13.5" hidden="false" customHeight="true" outlineLevel="0" collapsed="false">
      <c r="B22" s="34" t="s">
        <v>275</v>
      </c>
      <c r="C22" s="34"/>
      <c r="D22" s="34"/>
      <c r="E22" s="34"/>
    </row>
    <row r="23" customFormat="false" ht="13.5" hidden="false" customHeight="true" outlineLevel="0" collapsed="false">
      <c r="B23" s="33" t="s">
        <v>1184</v>
      </c>
      <c r="C23" s="33"/>
      <c r="D23" s="33"/>
      <c r="E23" s="33"/>
    </row>
    <row r="25" customFormat="false" ht="15" hidden="false" customHeight="false" outlineLevel="0" collapsed="false">
      <c r="B25" s="9" t="s">
        <v>280</v>
      </c>
      <c r="C25" s="10"/>
      <c r="D25" s="10"/>
      <c r="E25" s="10"/>
    </row>
    <row r="26" customFormat="false" ht="15" hidden="false" customHeight="false" outlineLevel="0" collapsed="false">
      <c r="B26" s="20" t="s">
        <v>281</v>
      </c>
      <c r="C26" s="35" t="str">
        <f aca="false">"No goal"</f>
        <v>No goal</v>
      </c>
      <c r="E26" s="36" t="s">
        <v>461</v>
      </c>
    </row>
  </sheetData>
  <mergeCells count="4">
    <mergeCell ref="C15:E15"/>
    <mergeCell ref="B21:E21"/>
    <mergeCell ref="B22:E22"/>
    <mergeCell ref="B23:E23"/>
  </mergeCells>
  <dataValidations count="4">
    <dataValidation allowBlank="true" error="Please enter €500 to €200,000 · steps of €50." errorStyle="stop" errorTitle="Outside the allowed range" operator="between" prompt="Unit: €. Allowed: €500 to €200,000 · steps of €50." promptTitle="Take-home pay per month (leave b" showDropDown="false" showErrorMessage="true" showInputMessage="true" sqref="C6" type="decimal">
      <formula1>500</formula1>
      <formula2>200000</formula2>
    </dataValidation>
    <dataValidation allowBlank="false" error="Please enter 0% to 100% · steps of 5%." errorStyle="stop" errorTitle="Outside the allowed range" operator="between" prompt="Suggested · change if you like. A starting point. Adjust it to fit your life.  Allowed: 0% to 100% · steps of 5%." promptTitle="Share for needs" showDropDown="false" showErrorMessage="true" showInputMessage="true" sqref="C7" type="decimal">
      <formula1>0</formula1>
      <formula2>1</formula2>
    </dataValidation>
    <dataValidation allowBlank="false" error="Please enter 0% to 100% · steps of 5%." errorStyle="stop" errorTitle="Outside the allowed range" operator="between" prompt="Suggested · change if you like. A starting point. Adjust it to fit your life.  Allowed: 0% to 100% · steps of 5%." promptTitle="Share for wants" showDropDown="false" showErrorMessage="true" showInputMessage="true" sqref="C8" type="decimal">
      <formula1>0</formula1>
      <formula2>1</formula2>
    </dataValidation>
    <dataValidation allowBlank="false" error="Please enter 0% to 100% · steps of 5%." errorStyle="stop" errorTitle="Outside the allowed range" operator="between" prompt="Suggested · change if you like. A starting point. Adjust it to fit your life.  Allowed: 0% to 100% · steps of 5%." promptTitle="Share for savings and debt" showDropDown="false" showErrorMessage="true" showInputMessage="true" sqref="C9" type="decimal">
      <formula1>0</formula1>
      <formula2>1</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G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50"/>
    <col collapsed="false" customWidth="true" hidden="false" outlineLevel="0" max="3" min="3" style="0" width="26"/>
    <col collapsed="false" customWidth="true" hidden="false" outlineLevel="0" max="4" min="4" style="0" width="24"/>
    <col collapsed="false" customWidth="true" hidden="false" outlineLevel="0" max="5" min="5" style="0" width="78"/>
    <col collapsed="false" customWidth="true" hidden="false" outlineLevel="0" max="6" min="6" style="0" width="2"/>
    <col collapsed="false" customWidth="true" hidden="false" outlineLevel="0" max="7" min="7" style="0" width="44"/>
  </cols>
  <sheetData>
    <row r="1" customFormat="false" ht="19.7" hidden="false" customHeight="false" outlineLevel="0" collapsed="false">
      <c r="B1" s="16" t="s">
        <v>1185</v>
      </c>
      <c r="G1" s="2" t="s">
        <v>1106</v>
      </c>
    </row>
    <row r="2" customFormat="false" ht="15" hidden="false" customHeight="false" outlineLevel="0" collapsed="false">
      <c r="B2" s="17" t="s">
        <v>1186</v>
      </c>
      <c r="G2" s="2" t="s">
        <v>1187</v>
      </c>
    </row>
    <row r="3" customFormat="false" ht="15" hidden="false" customHeight="false" outlineLevel="0" collapsed="false">
      <c r="B3" s="18" t="s">
        <v>1188</v>
      </c>
    </row>
    <row r="5" customFormat="false" ht="15" hidden="false" customHeight="false" outlineLevel="0" collapsed="false">
      <c r="B5" s="9" t="s">
        <v>202</v>
      </c>
      <c r="C5" s="19" t="s">
        <v>203</v>
      </c>
      <c r="D5" s="19" t="s">
        <v>204</v>
      </c>
      <c r="E5" s="19" t="s">
        <v>205</v>
      </c>
    </row>
    <row r="6" customFormat="false" ht="15" hidden="false" customHeight="false" outlineLevel="0" collapsed="false">
      <c r="B6" s="20" t="s">
        <v>1189</v>
      </c>
      <c r="C6" s="21" t="n">
        <v>5000</v>
      </c>
      <c r="D6" s="22" t="s">
        <v>207</v>
      </c>
      <c r="E6" s="2" t="s">
        <v>1190</v>
      </c>
      <c r="G6" s="23" t="s">
        <v>1191</v>
      </c>
    </row>
    <row r="7" customFormat="false" ht="15" hidden="false" customHeight="false" outlineLevel="0" collapsed="false">
      <c r="B7" s="20" t="s">
        <v>1192</v>
      </c>
      <c r="C7" s="25" t="n">
        <v>0.2</v>
      </c>
      <c r="D7" s="22" t="s">
        <v>222</v>
      </c>
      <c r="E7" s="26" t="s">
        <v>1193</v>
      </c>
      <c r="G7" s="23" t="s">
        <v>1194</v>
      </c>
    </row>
    <row r="8" customFormat="false" ht="15" hidden="false" customHeight="false" outlineLevel="0" collapsed="false">
      <c r="B8" s="20" t="s">
        <v>1195</v>
      </c>
      <c r="C8" s="21" t="n">
        <v>250</v>
      </c>
      <c r="D8" s="22" t="s">
        <v>207</v>
      </c>
      <c r="E8" s="2" t="s">
        <v>1196</v>
      </c>
      <c r="G8" s="23" t="s">
        <v>1197</v>
      </c>
    </row>
    <row r="9" customFormat="false" ht="15" hidden="false" customHeight="false" outlineLevel="0" collapsed="false">
      <c r="B9" s="20" t="s">
        <v>1198</v>
      </c>
      <c r="C9" s="21" t="n">
        <v>0</v>
      </c>
      <c r="D9" s="22" t="s">
        <v>207</v>
      </c>
      <c r="E9" s="2" t="s">
        <v>1199</v>
      </c>
      <c r="G9" s="23" t="s">
        <v>237</v>
      </c>
    </row>
    <row r="11" customFormat="false" ht="15" hidden="false" customHeight="false" outlineLevel="0" collapsed="false">
      <c r="B11" s="9" t="s">
        <v>238</v>
      </c>
      <c r="C11" s="19" t="s">
        <v>239</v>
      </c>
      <c r="D11" s="19" t="s">
        <v>240</v>
      </c>
      <c r="E11" s="19" t="s">
        <v>241</v>
      </c>
    </row>
    <row r="12" customFormat="false" ht="17.35" hidden="false" customHeight="false" outlineLevel="0" collapsed="false">
      <c r="B12" s="17" t="s">
        <v>1200</v>
      </c>
      <c r="C12" s="48" t="n">
        <f aca="false">IF(Payment&lt;=Balance*Monthly_Rate,"Never",ROUNDUP(ROUND(NPER(Monthly_Rate,-Payment,Balance),6),0))</f>
        <v>25</v>
      </c>
      <c r="D12" s="49" t="str">
        <f aca="false">IF(Months_To_Clear="Never","Never at this repayment",IF(Months_To_Clear&gt;Cap_Months,"Payment too low to clear this debt in a reasonable time (over 100 years)",IF(INT(Months_To_Clear/12)=0,MOD(Months_To_Clear,12)&amp;IF(MOD(Months_To_Clear,12)=1," month"," months"),INT(Months_To_Clear/12)&amp;IF(INT(Months_To_Clear/12)=1," year"," years")&amp;IF(MOD(Months_To_Clear,12)=0,""," "&amp;MOD(Months_To_Clear,12)&amp;IF(MOD(Months_To_Clear,12)=1," month"," months")))))</f>
        <v>2 years 1 month</v>
      </c>
      <c r="E12" s="29" t="s">
        <v>1201</v>
      </c>
    </row>
    <row r="13" customFormat="false" ht="17.35" hidden="false" customHeight="false" outlineLevel="0" collapsed="false">
      <c r="B13" s="17" t="s">
        <v>332</v>
      </c>
      <c r="C13" s="28" t="n">
        <f aca="false">IF(Months_To_Clear="Never","—",Payment*(Months_To_Clear-1)+Final_Payment-Balance)</f>
        <v>1015.13318369631</v>
      </c>
      <c r="D13" s="22" t="s">
        <v>207</v>
      </c>
      <c r="E13" s="29" t="s">
        <v>1202</v>
      </c>
    </row>
    <row r="14" customFormat="false" ht="15" hidden="false" customHeight="false" outlineLevel="0" collapsed="false">
      <c r="B14" s="20" t="s">
        <v>1203</v>
      </c>
      <c r="C14" s="50" t="n">
        <f aca="false">(1+APR)^(1/12)-1</f>
        <v>0.0153094704997312</v>
      </c>
      <c r="D14" s="22"/>
      <c r="E14" s="29" t="s">
        <v>1204</v>
      </c>
    </row>
    <row r="15" customFormat="false" ht="15" hidden="false" customHeight="false" outlineLevel="0" collapsed="false">
      <c r="B15" s="20" t="s">
        <v>1205</v>
      </c>
      <c r="C15" s="30" t="n">
        <f aca="false">Monthly_Payment+Extra_Payment</f>
        <v>250</v>
      </c>
      <c r="D15" s="22" t="s">
        <v>207</v>
      </c>
      <c r="E15" s="29" t="s">
        <v>1206</v>
      </c>
    </row>
    <row r="16" customFormat="false" ht="15" hidden="false" customHeight="false" outlineLevel="0" collapsed="false">
      <c r="B16" s="20" t="s">
        <v>340</v>
      </c>
      <c r="C16" s="30" t="n">
        <f aca="false">IF(Months_To_Clear="Never","—",-FV(Monthly_Rate,Months_To_Clear-1,-Payment,Balance)*(1+Monthly_Rate))</f>
        <v>15.133183696314</v>
      </c>
      <c r="D16" s="22" t="s">
        <v>207</v>
      </c>
      <c r="E16" s="29" t="s">
        <v>1207</v>
      </c>
    </row>
    <row r="18" customFormat="false" ht="15" hidden="false" customHeight="false" outlineLevel="0" collapsed="false">
      <c r="B18" s="9" t="s">
        <v>271</v>
      </c>
      <c r="C18" s="10"/>
      <c r="D18" s="10"/>
      <c r="E18" s="10"/>
    </row>
    <row r="19" customFormat="false" ht="13.5" hidden="false" customHeight="true" outlineLevel="0" collapsed="false">
      <c r="B19" s="33" t="s">
        <v>1208</v>
      </c>
      <c r="C19" s="33"/>
      <c r="D19" s="33"/>
      <c r="E19" s="33"/>
    </row>
    <row r="20" customFormat="false" ht="13.5" hidden="false" customHeight="true" outlineLevel="0" collapsed="false">
      <c r="B20" s="33" t="s">
        <v>1209</v>
      </c>
      <c r="C20" s="33"/>
      <c r="D20" s="33"/>
      <c r="E20" s="33"/>
    </row>
    <row r="21" customFormat="false" ht="13.5" hidden="false" customHeight="true" outlineLevel="0" collapsed="false">
      <c r="B21" s="34" t="s">
        <v>275</v>
      </c>
      <c r="C21" s="34"/>
      <c r="D21" s="34"/>
      <c r="E21" s="34"/>
    </row>
    <row r="22" customFormat="false" ht="27.75" hidden="false" customHeight="true" outlineLevel="0" collapsed="false">
      <c r="B22" s="33" t="s">
        <v>351</v>
      </c>
      <c r="C22" s="33"/>
      <c r="D22" s="33"/>
      <c r="E22" s="33"/>
    </row>
    <row r="23" customFormat="false" ht="13.5" hidden="false" customHeight="true" outlineLevel="0" collapsed="false">
      <c r="B23" s="33" t="s">
        <v>1210</v>
      </c>
      <c r="C23" s="33"/>
      <c r="D23" s="33"/>
      <c r="E23" s="33"/>
    </row>
    <row r="24" customFormat="false" ht="27.75" hidden="false" customHeight="true" outlineLevel="0" collapsed="false">
      <c r="B24" s="33" t="s">
        <v>353</v>
      </c>
      <c r="C24" s="33"/>
      <c r="D24" s="33"/>
      <c r="E24" s="33"/>
    </row>
    <row r="25" customFormat="false" ht="13.5" hidden="false" customHeight="true" outlineLevel="0" collapsed="false">
      <c r="B25" s="33" t="s">
        <v>279</v>
      </c>
      <c r="C25" s="33"/>
      <c r="D25" s="33"/>
      <c r="E25" s="33"/>
    </row>
    <row r="27" customFormat="false" ht="15" hidden="false" customHeight="false" outlineLevel="0" collapsed="false">
      <c r="B27" s="9" t="s">
        <v>280</v>
      </c>
      <c r="C27" s="10"/>
      <c r="D27" s="10"/>
      <c r="E27" s="10"/>
    </row>
    <row r="28" customFormat="false" ht="15" hidden="false" customHeight="false" outlineLevel="0" collapsed="false">
      <c r="B28" s="20" t="s">
        <v>281</v>
      </c>
      <c r="C28" s="35" t="str">
        <f aca="false">"No goal (the plan already repays this debt)"</f>
        <v>No goal (the plan already repays this debt)</v>
      </c>
      <c r="E28" s="36" t="s">
        <v>1211</v>
      </c>
    </row>
    <row r="29" customFormat="false" ht="13.5" hidden="false" customHeight="true" outlineLevel="0" collapsed="false">
      <c r="B29" s="39" t="s">
        <v>1212</v>
      </c>
      <c r="C29" s="39"/>
      <c r="D29" s="39"/>
      <c r="E29" s="39"/>
    </row>
  </sheetData>
  <mergeCells count="8">
    <mergeCell ref="B19:E19"/>
    <mergeCell ref="B20:E20"/>
    <mergeCell ref="B21:E21"/>
    <mergeCell ref="B22:E22"/>
    <mergeCell ref="B23:E23"/>
    <mergeCell ref="B24:E24"/>
    <mergeCell ref="B25:E25"/>
    <mergeCell ref="B29:E29"/>
  </mergeCells>
  <dataValidations count="4">
    <dataValidation allowBlank="false" error="Please enter €100 to €1,000,000 · steps of €100." errorStyle="stop" errorTitle="Outside the allowed range" operator="between" prompt="Unit: €. Allowed: €100 to €1,000,000 · steps of €100." promptTitle="Balance" showDropDown="false" showErrorMessage="true" showInputMessage="true" sqref="C6" type="decimal">
      <formula1>100</formula1>
      <formula2>1000000</formula2>
    </dataValidation>
    <dataValidation allowBlank="false" error="Please enter 0% to 35% · steps of 0.5%." errorStyle="stop" errorTitle="Outside the allowed range" operator="between" prompt="Suggested · change if you like. Most Irish cards charge 13%–23% APR. Your statement shows yours.  Allowed: 0% to 35% · steps of 0.5%." promptTitle="Interest (APR)" showDropDown="false" showErrorMessage="true" showInputMessage="true" sqref="C7" type="decimal">
      <formula1>0</formula1>
      <formula2>0.35</formula2>
    </dataValidation>
    <dataValidation allowBlank="false" error="Please enter €10 to €50,000 · steps of €10." errorStyle="stop" errorTitle="Outside the allowed range" operator="between" prompt="Unit: €. Allowed: €10 to €50,000 · steps of €10." promptTitle="Monthly payment" showDropDown="false" showErrorMessage="true" showInputMessage="true" sqref="C8" type="decimal">
      <formula1>10</formula1>
      <formula2>50000</formula2>
    </dataValidation>
    <dataValidation allowBlank="false" error="Please enter €0 to €10,000 · steps of €10." errorStyle="stop" errorTitle="Outside the allowed range" operator="between" prompt="Unit: €. Allowed: €0 to €10,000 · steps of €10." promptTitle="What if: pay extra each month" showDropDown="false" showErrorMessage="true" showInputMessage="true" sqref="C9" type="decimal">
      <formula1>0</formula1>
      <formula2>10000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G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50"/>
    <col collapsed="false" customWidth="true" hidden="false" outlineLevel="0" max="3" min="3" style="0" width="26"/>
    <col collapsed="false" customWidth="true" hidden="false" outlineLevel="0" max="4" min="4" style="0" width="24"/>
    <col collapsed="false" customWidth="true" hidden="false" outlineLevel="0" max="5" min="5" style="0" width="78"/>
    <col collapsed="false" customWidth="true" hidden="false" outlineLevel="0" max="6" min="6" style="0" width="2"/>
    <col collapsed="false" customWidth="true" hidden="false" outlineLevel="0" max="7" min="7" style="0" width="44"/>
  </cols>
  <sheetData>
    <row r="1" customFormat="false" ht="19.7" hidden="false" customHeight="false" outlineLevel="0" collapsed="false">
      <c r="B1" s="16" t="s">
        <v>1213</v>
      </c>
      <c r="G1" s="2" t="s">
        <v>1106</v>
      </c>
    </row>
    <row r="2" customFormat="false" ht="15" hidden="false" customHeight="false" outlineLevel="0" collapsed="false">
      <c r="B2" s="17" t="s">
        <v>1214</v>
      </c>
      <c r="G2" s="2" t="s">
        <v>1215</v>
      </c>
    </row>
    <row r="3" customFormat="false" ht="15" hidden="false" customHeight="false" outlineLevel="0" collapsed="false">
      <c r="B3" s="18" t="s">
        <v>1216</v>
      </c>
    </row>
    <row r="5" customFormat="false" ht="15" hidden="false" customHeight="false" outlineLevel="0" collapsed="false">
      <c r="B5" s="9" t="s">
        <v>202</v>
      </c>
      <c r="C5" s="19" t="s">
        <v>203</v>
      </c>
      <c r="D5" s="19" t="s">
        <v>204</v>
      </c>
      <c r="E5" s="19" t="s">
        <v>205</v>
      </c>
    </row>
    <row r="6" customFormat="false" ht="15" hidden="false" customHeight="false" outlineLevel="0" collapsed="false">
      <c r="B6" s="20" t="s">
        <v>1217</v>
      </c>
      <c r="C6" s="21" t="n">
        <v>15000</v>
      </c>
      <c r="D6" s="22" t="s">
        <v>207</v>
      </c>
      <c r="E6" s="2" t="s">
        <v>1218</v>
      </c>
      <c r="G6" s="23" t="s">
        <v>544</v>
      </c>
    </row>
    <row r="7" customFormat="false" ht="15" hidden="false" customHeight="false" outlineLevel="0" collapsed="false">
      <c r="B7" s="20" t="s">
        <v>1192</v>
      </c>
      <c r="C7" s="25" t="n">
        <v>0.08</v>
      </c>
      <c r="D7" s="22" t="s">
        <v>222</v>
      </c>
      <c r="E7" s="26" t="s">
        <v>987</v>
      </c>
      <c r="G7" s="23" t="s">
        <v>1219</v>
      </c>
    </row>
    <row r="8" customFormat="false" ht="15" hidden="false" customHeight="false" outlineLevel="0" collapsed="false">
      <c r="B8" s="20" t="s">
        <v>581</v>
      </c>
      <c r="C8" s="27" t="n">
        <v>5</v>
      </c>
      <c r="D8" s="22" t="s">
        <v>226</v>
      </c>
      <c r="E8" s="2" t="s">
        <v>1220</v>
      </c>
      <c r="G8" s="23" t="s">
        <v>1221</v>
      </c>
    </row>
    <row r="10" customFormat="false" ht="15" hidden="false" customHeight="false" outlineLevel="0" collapsed="false">
      <c r="B10" s="9" t="s">
        <v>238</v>
      </c>
      <c r="C10" s="19" t="s">
        <v>239</v>
      </c>
      <c r="D10" s="19" t="s">
        <v>240</v>
      </c>
      <c r="E10" s="19" t="s">
        <v>241</v>
      </c>
    </row>
    <row r="11" customFormat="false" ht="17.35" hidden="false" customHeight="false" outlineLevel="0" collapsed="false">
      <c r="B11" s="17" t="s">
        <v>302</v>
      </c>
      <c r="C11" s="28" t="n">
        <f aca="false">PMT(Monthly_Rate,Years*12,-Loan_Amount)</f>
        <v>302.145819361451</v>
      </c>
      <c r="D11" s="22" t="s">
        <v>207</v>
      </c>
      <c r="E11" s="29" t="s">
        <v>1222</v>
      </c>
    </row>
    <row r="12" customFormat="false" ht="17.35" hidden="false" customHeight="false" outlineLevel="0" collapsed="false">
      <c r="B12" s="17" t="s">
        <v>332</v>
      </c>
      <c r="C12" s="28" t="n">
        <f aca="false">Total_Repaid-Loan_Amount</f>
        <v>3128.74916168706</v>
      </c>
      <c r="D12" s="22" t="s">
        <v>207</v>
      </c>
      <c r="E12" s="29" t="s">
        <v>1223</v>
      </c>
    </row>
    <row r="13" customFormat="false" ht="15" hidden="false" customHeight="false" outlineLevel="0" collapsed="false">
      <c r="B13" s="20" t="s">
        <v>334</v>
      </c>
      <c r="C13" s="30" t="n">
        <f aca="false">Monthly_Repayment*Years*12</f>
        <v>18128.7491616871</v>
      </c>
      <c r="D13" s="22" t="s">
        <v>207</v>
      </c>
      <c r="E13" s="29" t="s">
        <v>1224</v>
      </c>
    </row>
    <row r="14" customFormat="false" ht="15" hidden="false" customHeight="false" outlineLevel="0" collapsed="false">
      <c r="B14" s="20" t="s">
        <v>1203</v>
      </c>
      <c r="C14" s="50" t="n">
        <f aca="false">(1+APR)^(1/12)-1</f>
        <v>0.00643403011000343</v>
      </c>
      <c r="D14" s="22"/>
      <c r="E14" s="29" t="s">
        <v>1204</v>
      </c>
    </row>
    <row r="16" customFormat="false" ht="15" hidden="false" customHeight="false" outlineLevel="0" collapsed="false">
      <c r="B16" s="9" t="s">
        <v>271</v>
      </c>
      <c r="C16" s="10"/>
      <c r="D16" s="10"/>
      <c r="E16" s="10"/>
    </row>
    <row r="17" customFormat="false" ht="13.5" hidden="false" customHeight="true" outlineLevel="0" collapsed="false">
      <c r="B17" s="33" t="s">
        <v>1225</v>
      </c>
      <c r="C17" s="33"/>
      <c r="D17" s="33"/>
      <c r="E17" s="33"/>
    </row>
    <row r="18" customFormat="false" ht="13.5" hidden="false" customHeight="true" outlineLevel="0" collapsed="false">
      <c r="B18" s="33" t="s">
        <v>1226</v>
      </c>
      <c r="C18" s="33"/>
      <c r="D18" s="33"/>
      <c r="E18" s="33"/>
    </row>
    <row r="19" customFormat="false" ht="13.5" hidden="false" customHeight="true" outlineLevel="0" collapsed="false">
      <c r="B19" s="34" t="s">
        <v>275</v>
      </c>
      <c r="C19" s="34"/>
      <c r="D19" s="34"/>
      <c r="E19" s="34"/>
    </row>
    <row r="20" customFormat="false" ht="13.5" hidden="false" customHeight="true" outlineLevel="0" collapsed="false">
      <c r="B20" s="33" t="s">
        <v>279</v>
      </c>
      <c r="C20" s="33"/>
      <c r="D20" s="33"/>
      <c r="E20" s="33"/>
    </row>
    <row r="22" customFormat="false" ht="15" hidden="false" customHeight="false" outlineLevel="0" collapsed="false">
      <c r="B22" s="9" t="s">
        <v>280</v>
      </c>
      <c r="C22" s="10"/>
      <c r="D22" s="10"/>
      <c r="E22" s="10"/>
    </row>
    <row r="23" customFormat="false" ht="15" hidden="false" customHeight="false" outlineLevel="0" collapsed="false">
      <c r="B23" s="20" t="s">
        <v>281</v>
      </c>
      <c r="C23" s="35" t="str">
        <f aca="false">"No goal"</f>
        <v>No goal</v>
      </c>
      <c r="E23" s="36" t="s">
        <v>461</v>
      </c>
    </row>
  </sheetData>
  <mergeCells count="4">
    <mergeCell ref="B17:E17"/>
    <mergeCell ref="B18:E18"/>
    <mergeCell ref="B19:E19"/>
    <mergeCell ref="B20:E20"/>
  </mergeCells>
  <dataValidations count="3">
    <dataValidation allowBlank="false" error="Please enter €500 to €1,000,000 · steps of €500." errorStyle="stop" errorTitle="Outside the allowed range" operator="between" prompt="Unit: €. Allowed: €500 to €1,000,000 · steps of €500." promptTitle="Loan amount" showDropDown="false" showErrorMessage="true" showInputMessage="true" sqref="C6" type="decimal">
      <formula1>500</formula1>
      <formula2>1000000</formula2>
    </dataValidation>
    <dataValidation allowBlank="false" error="Please enter 0% to 25% · steps of 0.5%." errorStyle="stop" errorTitle="Outside the allowed range" operator="between" prompt="Suggested · change if you like. New Irish personal loans averaged about 7.5% in mid-2026. Credit unions often charge less.  Allowed: 0% to 25% · steps of 0.5%." promptTitle="Interest (APR)" showDropDown="false" showErrorMessage="true" showInputMessage="true" sqref="C7" type="decimal">
      <formula1>0</formula1>
      <formula2>0.25</formula2>
    </dataValidation>
    <dataValidation allowBlank="false" error="Please enter 1 to 10 · steps of 1." errorStyle="stop" errorTitle="Outside the allowed range" operator="between" prompt="Unit: years. Allowed: 1 to 10 · steps of 1." promptTitle="Years" showDropDown="false" showErrorMessage="true" showInputMessage="true" sqref="C8" type="whole">
      <formula1>1</formula1>
      <formula2>10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R4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44"/>
    <col collapsed="false" customWidth="true" hidden="false" outlineLevel="0" max="3" min="3" style="0" width="18"/>
    <col collapsed="false" customWidth="true" hidden="false" outlineLevel="0" max="4" min="4" style="0" width="20"/>
    <col collapsed="false" customWidth="true" hidden="false" outlineLevel="0" max="5" min="5" style="0" width="90"/>
    <col collapsed="false" customWidth="true" hidden="false" outlineLevel="0" max="18" min="6" style="0" width="13"/>
  </cols>
  <sheetData>
    <row r="1" customFormat="false" ht="19.7" hidden="false" customHeight="false" outlineLevel="0" collapsed="false">
      <c r="B1" s="16" t="s">
        <v>1227</v>
      </c>
    </row>
    <row r="2" customFormat="false" ht="15" hidden="false" customHeight="false" outlineLevel="0" collapsed="false">
      <c r="B2" s="68" t="s">
        <v>1228</v>
      </c>
    </row>
    <row r="4" customFormat="false" ht="15" hidden="false" customHeight="false" outlineLevel="0" collapsed="false">
      <c r="B4" s="9" t="s">
        <v>202</v>
      </c>
      <c r="C4" s="10"/>
      <c r="D4" s="10"/>
      <c r="E4" s="10"/>
    </row>
    <row r="5" customFormat="false" ht="15" hidden="false" customHeight="false" outlineLevel="0" collapsed="false">
      <c r="B5" s="20" t="s">
        <v>1229</v>
      </c>
      <c r="C5" s="24" t="s">
        <v>1230</v>
      </c>
      <c r="E5" s="2" t="s">
        <v>1231</v>
      </c>
    </row>
    <row r="6" customFormat="false" ht="15" hidden="false" customHeight="false" outlineLevel="0" collapsed="false">
      <c r="B6" s="20" t="s">
        <v>1232</v>
      </c>
      <c r="C6" s="21" t="n">
        <v>60000</v>
      </c>
      <c r="E6" s="2" t="s">
        <v>1233</v>
      </c>
    </row>
    <row r="7" customFormat="false" ht="15" hidden="false" customHeight="false" outlineLevel="0" collapsed="false">
      <c r="B7" s="20" t="s">
        <v>1234</v>
      </c>
      <c r="C7" s="21" t="n">
        <v>0</v>
      </c>
      <c r="E7" s="2" t="s">
        <v>1235</v>
      </c>
    </row>
    <row r="8" customFormat="false" ht="15" hidden="false" customHeight="false" outlineLevel="0" collapsed="false">
      <c r="B8" s="20" t="s">
        <v>1236</v>
      </c>
      <c r="C8" s="24" t="s">
        <v>622</v>
      </c>
      <c r="E8" s="2" t="s">
        <v>1237</v>
      </c>
    </row>
    <row r="9" customFormat="false" ht="15" hidden="false" customHeight="false" outlineLevel="0" collapsed="false">
      <c r="B9" s="20" t="s">
        <v>1238</v>
      </c>
      <c r="C9" s="24" t="s">
        <v>622</v>
      </c>
      <c r="E9" s="2" t="s">
        <v>1239</v>
      </c>
    </row>
    <row r="10" customFormat="false" ht="15" hidden="false" customHeight="false" outlineLevel="0" collapsed="false">
      <c r="B10" s="20" t="s">
        <v>1240</v>
      </c>
      <c r="C10" s="24" t="s">
        <v>1241</v>
      </c>
      <c r="E10" s="2" t="s">
        <v>1242</v>
      </c>
    </row>
    <row r="12" customFormat="false" ht="15" hidden="false" customHeight="false" outlineLevel="0" collapsed="false">
      <c r="B12" s="9" t="s">
        <v>1243</v>
      </c>
      <c r="C12" s="10"/>
      <c r="D12" s="10"/>
      <c r="E12" s="10"/>
    </row>
    <row r="13" customFormat="false" ht="15" hidden="false" customHeight="true" outlineLevel="0" collapsed="false">
      <c r="B13" s="20" t="s">
        <v>1244</v>
      </c>
      <c r="C13" s="69" t="n">
        <f aca="false">IF(TE_PRSI_Basis="Calendar 2026 blend",PRSI_Rate_2026_Blend,PRSI_Rate)</f>
        <v>0.0435</v>
      </c>
      <c r="E13" s="70" t="s">
        <v>1245</v>
      </c>
    </row>
    <row r="14" customFormat="false" ht="15" hidden="false" customHeight="true" outlineLevel="0" collapsed="false">
      <c r="B14" s="20" t="s">
        <v>1246</v>
      </c>
      <c r="C14" s="71" t="n">
        <f aca="false">IF(TE_Status="Married two earners",TE_Gross_2,0)</f>
        <v>0</v>
      </c>
      <c r="E14" s="70" t="s">
        <v>1247</v>
      </c>
    </row>
    <row r="15" customFormat="false" ht="30" hidden="false" customHeight="true" outlineLevel="0" collapsed="false">
      <c r="B15" s="20" t="s">
        <v>1248</v>
      </c>
      <c r="C15" s="71" t="n">
        <f aca="false">IF(TE_Status="Single",Band_Single,IF(TE_Status="Single parent",Band_Single_Parent,IF(TE_Status="Married one earner",Band_Married,Band_Married+MIN(MIN(TE_Gross_1,TE_Gross_2),Band_Second_Earner_Max))))</f>
        <v>44000</v>
      </c>
      <c r="E15" s="70" t="s">
        <v>1249</v>
      </c>
    </row>
    <row r="16" customFormat="false" ht="15" hidden="false" customHeight="true" outlineLevel="0" collapsed="false">
      <c r="B16" s="20" t="s">
        <v>1250</v>
      </c>
      <c r="C16" s="71" t="n">
        <f aca="false">TE_Gross_1+TE_Earner_2</f>
        <v>60000</v>
      </c>
      <c r="E16" s="70" t="s">
        <v>1251</v>
      </c>
    </row>
    <row r="17" customFormat="false" ht="15" hidden="false" customHeight="true" outlineLevel="0" collapsed="false">
      <c r="B17" s="20" t="s">
        <v>1252</v>
      </c>
      <c r="C17" s="72" t="n">
        <f aca="false">Rate_Standard*MIN(TE_Taxable,TE_Band)+Rate_Higher*MAX(0,TE_Taxable-TE_Band)</f>
        <v>15200</v>
      </c>
      <c r="E17" s="70" t="s">
        <v>1253</v>
      </c>
    </row>
    <row r="18" customFormat="false" ht="30" hidden="false" customHeight="true" outlineLevel="0" collapsed="false">
      <c r="B18" s="20" t="s">
        <v>1254</v>
      </c>
      <c r="C18" s="72" t="n">
        <f aca="false">IF(OR(TE_Status="Single",TE_Status="Single parent"),Credit_Personal_Single,Credit_Personal_Married)+IF(TE_Status="Single parent",Credit_SPCCC,0)+MIN(Credit_PAYE,Credit_PAYE_Cap_Pct*TE_Gross_1)+IF(TE_Earner_2&gt;0,MIN(Credit_PAYE,Credit_PAYE_Cap_Pct*TE_Earner_2),0)+IF(TE_Rent_Credit="Yes",IF(LEFT(TE_Status,7)="Married",Credit_Rent_Joint,Credit_Rent_Single),0)+IF(AND(TE_Home_Carer="Yes",TE_Status="Married one earner"),Credit_Home_Carer,0)</f>
        <v>4000</v>
      </c>
      <c r="E18" s="70" t="s">
        <v>1255</v>
      </c>
    </row>
    <row r="19" customFormat="false" ht="15" hidden="false" customHeight="true" outlineLevel="0" collapsed="false">
      <c r="B19" s="6" t="s">
        <v>1256</v>
      </c>
      <c r="C19" s="73" t="n">
        <f aca="false">MAX(0,TE_Tax_Before_Credits-TE_Credits)</f>
        <v>11200</v>
      </c>
      <c r="E19" s="70" t="s">
        <v>1257</v>
      </c>
    </row>
    <row r="20" customFormat="false" ht="30" hidden="false" customHeight="true" outlineLevel="0" collapsed="false">
      <c r="B20" s="6" t="s">
        <v>1258</v>
      </c>
      <c r="C20" s="73" t="n">
        <f aca="false">IF(TE_Gross_1&lt;=USC_Exempt,0,USC_Rate_1*MIN(TE_Gross_1,USC_Band_1)+USC_Rate_2*MAX(0,MIN(TE_Gross_1,USC_Band_2)-USC_Band_1)+USC_Rate_3*MAX(0,MIN(TE_Gross_1,USC_Band_3)-USC_Band_2)+USC_Rate_4*MAX(0,TE_Gross_1-USC_Band_3))+IF(TE_Earner_2&lt;=USC_Exempt,0,USC_Rate_1*MIN(TE_Earner_2,USC_Band_1)+USC_Rate_2*MAX(0,MIN(TE_Earner_2,USC_Band_2)-USC_Band_1)+USC_Rate_3*MAX(0,MIN(TE_Earner_2,USC_Band_3)-USC_Band_2)+USC_Rate_4*MAX(0,TE_Earner_2-USC_Band_3))</f>
        <v>1332.82</v>
      </c>
      <c r="E20" s="70" t="s">
        <v>1259</v>
      </c>
    </row>
    <row r="21" customFormat="false" ht="30" hidden="false" customHeight="true" outlineLevel="0" collapsed="false">
      <c r="B21" s="6" t="s">
        <v>1260</v>
      </c>
      <c r="C21" s="73" t="n">
        <f aca="false">IF(TE_Gross_1/Weeks_Per_Year&lt;=PRSI_Free_Week,0,MAX(0,TE_Gross_1/Weeks_Per_Year*TE_PRSI_Rate_Used-IF(TE_Gross_1/Weeks_Per_Year&lt;=PRSI_Credit_Top,MAX(0,PRSI_Credit_Max-(TE_Gross_1/Weeks_Per_Year-(PRSI_Free_Week+0.01))/PRSI_Credit_Taper),0))*Weeks_Per_Year)+IF(TE_Earner_2/Weeks_Per_Year&lt;=PRSI_Free_Week,0,MAX(0,TE_Earner_2/Weeks_Per_Year*TE_PRSI_Rate_Used-IF(TE_Earner_2/Weeks_Per_Year&lt;=PRSI_Credit_Top,MAX(0,PRSI_Credit_Max-(TE_Earner_2/Weeks_Per_Year-(PRSI_Free_Week+0.01))/PRSI_Credit_Taper),0))*Weeks_Per_Year)</f>
        <v>2610</v>
      </c>
      <c r="E21" s="70" t="s">
        <v>1261</v>
      </c>
    </row>
    <row r="22" customFormat="false" ht="15" hidden="false" customHeight="true" outlineLevel="0" collapsed="false">
      <c r="B22" s="6" t="s">
        <v>1262</v>
      </c>
      <c r="C22" s="73" t="n">
        <f aca="false">TE_Taxable-TE_Income_Tax-TE_USC-TE_PRSI</f>
        <v>44857.18</v>
      </c>
      <c r="E22" s="70" t="s">
        <v>1263</v>
      </c>
    </row>
    <row r="23" customFormat="false" ht="15" hidden="false" customHeight="true" outlineLevel="0" collapsed="false">
      <c r="B23" s="6" t="s">
        <v>1264</v>
      </c>
      <c r="C23" s="73" t="n">
        <f aca="false">TE_Take_Home/12</f>
        <v>3738.09833333333</v>
      </c>
      <c r="E23" s="70" t="s">
        <v>1265</v>
      </c>
    </row>
    <row r="24" customFormat="false" ht="15" hidden="false" customHeight="true" outlineLevel="0" collapsed="false">
      <c r="B24" s="6" t="s">
        <v>1266</v>
      </c>
      <c r="C24" s="74" t="n">
        <f aca="false">IF(TE_Taxable&gt;TE_Band,Rate_Higher,Rate_Standard)</f>
        <v>0.4</v>
      </c>
      <c r="E24" s="70" t="s">
        <v>1267</v>
      </c>
    </row>
    <row r="26" customFormat="false" ht="15" hidden="false" customHeight="false" outlineLevel="0" collapsed="false">
      <c r="B26" s="9" t="s">
        <v>271</v>
      </c>
      <c r="C26" s="10"/>
      <c r="D26" s="10"/>
      <c r="E26" s="10"/>
    </row>
    <row r="27" customFormat="false" ht="15" hidden="false" customHeight="false" outlineLevel="0" collapsed="false">
      <c r="B27" s="75" t="s">
        <v>1268</v>
      </c>
      <c r="C27" s="75"/>
      <c r="D27" s="75"/>
      <c r="E27" s="75"/>
    </row>
    <row r="28" customFormat="false" ht="15" hidden="false" customHeight="false" outlineLevel="0" collapsed="false">
      <c r="B28" s="75" t="s">
        <v>1269</v>
      </c>
      <c r="C28" s="75"/>
      <c r="D28" s="75"/>
      <c r="E28" s="75"/>
    </row>
    <row r="29" customFormat="false" ht="15" hidden="false" customHeight="false" outlineLevel="0" collapsed="false">
      <c r="B29" s="75" t="s">
        <v>1270</v>
      </c>
      <c r="C29" s="75"/>
      <c r="D29" s="75"/>
      <c r="E29" s="75"/>
    </row>
    <row r="30" customFormat="false" ht="15" hidden="false" customHeight="false" outlineLevel="0" collapsed="false">
      <c r="B30" s="75" t="s">
        <v>1271</v>
      </c>
      <c r="C30" s="75"/>
      <c r="D30" s="75"/>
      <c r="E30" s="75"/>
    </row>
    <row r="32" customFormat="false" ht="15" hidden="false" customHeight="false" outlineLevel="0" collapsed="false">
      <c r="B32" s="9" t="s">
        <v>1272</v>
      </c>
      <c r="C32" s="10"/>
      <c r="D32" s="10"/>
      <c r="E32" s="10"/>
      <c r="F32" s="10"/>
      <c r="G32" s="10"/>
      <c r="H32" s="10"/>
      <c r="I32" s="10"/>
      <c r="J32" s="10"/>
      <c r="K32" s="10"/>
      <c r="L32" s="10"/>
      <c r="M32" s="10"/>
      <c r="N32" s="10"/>
      <c r="O32" s="10"/>
      <c r="P32" s="10"/>
      <c r="Q32" s="10"/>
      <c r="R32" s="10"/>
    </row>
    <row r="33" customFormat="false" ht="30" hidden="false" customHeight="true" outlineLevel="0" collapsed="false">
      <c r="B33" s="76" t="s">
        <v>1273</v>
      </c>
      <c r="C33" s="76" t="s">
        <v>1274</v>
      </c>
      <c r="D33" s="76" t="s">
        <v>1275</v>
      </c>
      <c r="E33" s="76" t="s">
        <v>1276</v>
      </c>
      <c r="F33" s="76" t="s">
        <v>1256</v>
      </c>
      <c r="G33" s="76" t="s">
        <v>1277</v>
      </c>
      <c r="H33" s="76" t="s">
        <v>1278</v>
      </c>
      <c r="I33" s="76" t="s">
        <v>1279</v>
      </c>
      <c r="J33" s="76" t="s">
        <v>1280</v>
      </c>
      <c r="K33" s="76" t="s">
        <v>1281</v>
      </c>
      <c r="L33" s="76" t="s">
        <v>1282</v>
      </c>
      <c r="M33" s="76" t="s">
        <v>1283</v>
      </c>
      <c r="N33" s="76" t="s">
        <v>1284</v>
      </c>
      <c r="O33" s="76" t="s">
        <v>1285</v>
      </c>
      <c r="P33" s="76" t="s">
        <v>1286</v>
      </c>
      <c r="Q33" s="76" t="s">
        <v>239</v>
      </c>
      <c r="R33" s="76"/>
    </row>
    <row r="34" customFormat="false" ht="15" hidden="false" customHeight="false" outlineLevel="0" collapsed="false">
      <c r="B34" s="8" t="s">
        <v>1287</v>
      </c>
      <c r="C34" s="64" t="n">
        <v>25000</v>
      </c>
      <c r="D34" s="8" t="s">
        <v>1230</v>
      </c>
      <c r="E34" s="8" t="s">
        <v>1288</v>
      </c>
      <c r="F34" s="77" t="n">
        <f aca="false">MAX(0,Rate_Standard*MIN(C34,IF(D34="Single",Band_Single,IF(D34="Single parent",Band_Single_Parent,IF(D34="Married one earner",Band_Married,Band_Married+MIN(MIN(C34,0),Band_Second_Earner_Max)))))+Rate_Higher*MAX(0,C34-IF(D34="Single",Band_Single,IF(D34="Single parent",Band_Single_Parent,IF(D34="Married one earner",Band_Married,Band_Married+MIN(MIN(C34,0),Band_Second_Earner_Max)))))-(IF(OR(D34="Single",D34="Single parent"),Credit_Personal_Single,Credit_Personal_Married)+IF(D34="Single parent",Credit_SPCCC,0)+MIN(Credit_PAYE,Credit_PAYE_Cap_Pct*C34)+IF(0&gt;0,MIN(Credit_PAYE,Credit_PAYE_Cap_Pct*0),0)+IF("No"="Yes",IF(LEFT(D34,7)="Married",Credit_Rent_Joint,Credit_Rent_Single),0)+IF(AND("No"="Yes",D34="Married one earner"),Credit_Home_Carer,0)))</f>
        <v>1000</v>
      </c>
      <c r="G34" s="77" t="n">
        <f aca="false">IF(C34&lt;=USC_Exempt,0,USC_Rate_1*MIN(C34,USC_Band_1)+USC_Rate_2*MAX(0,MIN(C34,USC_Band_2)-USC_Band_1)+USC_Rate_3*MAX(0,MIN(C34,USC_Band_3)-USC_Band_2)+USC_Rate_4*MAX(0,C34-USC_Band_3))</f>
        <v>319.82</v>
      </c>
      <c r="H34" s="77" t="n">
        <f aca="false">IF(C34/Weeks_Per_Year&lt;=PRSI_Free_Week,0,MAX(0,C34/Weeks_Per_Year*PRSI_Rate-IF(C34/Weeks_Per_Year&lt;=PRSI_Credit_Top,MAX(0,PRSI_Credit_Max-(C34/Weeks_Per_Year-(PRSI_Free_Week+0.01))/PRSI_Credit_Taper),0))*Weeks_Per_Year)</f>
        <v>1087.5</v>
      </c>
      <c r="I34" s="77" t="n">
        <f aca="false">IF(C34/Weeks_Per_Year&lt;=PRSI_Free_Week,0,MAX(0,C34/Weeks_Per_Year*PRSI_Rate_2026_Blend-IF(C34/Weeks_Per_Year&lt;=PRSI_Credit_Top,MAX(0,PRSI_Credit_Max-(C34/Weeks_Per_Year-(PRSI_Free_Week+0.01))/PRSI_Credit_Taper),0))*Weeks_Per_Year)</f>
        <v>1059.375</v>
      </c>
      <c r="J34" s="77" t="n">
        <f aca="false">C34-F34-G34-H34</f>
        <v>22592.68</v>
      </c>
      <c r="K34" s="77" t="n">
        <f aca="false">C34-F34-G34-I34</f>
        <v>22620.805</v>
      </c>
      <c r="L34" s="77" t="n">
        <v>1000</v>
      </c>
      <c r="M34" s="77" t="n">
        <v>319.82</v>
      </c>
      <c r="N34" s="77" t="n">
        <v>22592.68</v>
      </c>
      <c r="O34" s="77" t="n">
        <v>22620.81</v>
      </c>
      <c r="P34" s="77" t="n">
        <f aca="false">MAX(ABS(ROUND(F34,2)-L34),ABS(ROUND(G34,2)-M34),ABS(ROUND(J34,2)-N34),ABS(ROUND(K34,2)-O34))</f>
        <v>0</v>
      </c>
      <c r="Q34" s="14" t="str">
        <f aca="false">IF(P34&lt;0.005,"PASS","FAIL")</f>
        <v>PASS</v>
      </c>
    </row>
    <row r="35" customFormat="false" ht="15" hidden="false" customHeight="false" outlineLevel="0" collapsed="false">
      <c r="B35" s="8" t="s">
        <v>1289</v>
      </c>
      <c r="C35" s="64" t="n">
        <v>25000</v>
      </c>
      <c r="D35" s="8" t="s">
        <v>1290</v>
      </c>
      <c r="E35" s="8" t="s">
        <v>1288</v>
      </c>
      <c r="F35" s="77" t="n">
        <f aca="false">MAX(0,Rate_Standard*MIN(C35,IF(D35="Single",Band_Single,IF(D35="Single parent",Band_Single_Parent,IF(D35="Married one earner",Band_Married,Band_Married+MIN(MIN(C35,0),Band_Second_Earner_Max)))))+Rate_Higher*MAX(0,C35-IF(D35="Single",Band_Single,IF(D35="Single parent",Band_Single_Parent,IF(D35="Married one earner",Band_Married,Band_Married+MIN(MIN(C35,0),Band_Second_Earner_Max)))))-(IF(OR(D35="Single",D35="Single parent"),Credit_Personal_Single,Credit_Personal_Married)+IF(D35="Single parent",Credit_SPCCC,0)+MIN(Credit_PAYE,Credit_PAYE_Cap_Pct*C35)+IF(0&gt;0,MIN(Credit_PAYE,Credit_PAYE_Cap_Pct*0),0)+IF("No"="Yes",IF(LEFT(D35,7)="Married",Credit_Rent_Joint,Credit_Rent_Single),0)+IF(AND("No"="Yes",D35="Married one earner"),Credit_Home_Carer,0)))</f>
        <v>0</v>
      </c>
      <c r="G35" s="77" t="n">
        <f aca="false">IF(C35&lt;=USC_Exempt,0,USC_Rate_1*MIN(C35,USC_Band_1)+USC_Rate_2*MAX(0,MIN(C35,USC_Band_2)-USC_Band_1)+USC_Rate_3*MAX(0,MIN(C35,USC_Band_3)-USC_Band_2)+USC_Rate_4*MAX(0,C35-USC_Band_3))</f>
        <v>319.82</v>
      </c>
      <c r="H35" s="77" t="n">
        <f aca="false">IF(C35/Weeks_Per_Year&lt;=PRSI_Free_Week,0,MAX(0,C35/Weeks_Per_Year*PRSI_Rate-IF(C35/Weeks_Per_Year&lt;=PRSI_Credit_Top,MAX(0,PRSI_Credit_Max-(C35/Weeks_Per_Year-(PRSI_Free_Week+0.01))/PRSI_Credit_Taper),0))*Weeks_Per_Year)</f>
        <v>1087.5</v>
      </c>
      <c r="I35" s="77" t="n">
        <f aca="false">IF(C35/Weeks_Per_Year&lt;=PRSI_Free_Week,0,MAX(0,C35/Weeks_Per_Year*PRSI_Rate_2026_Blend-IF(C35/Weeks_Per_Year&lt;=PRSI_Credit_Top,MAX(0,PRSI_Credit_Max-(C35/Weeks_Per_Year-(PRSI_Free_Week+0.01))/PRSI_Credit_Taper),0))*Weeks_Per_Year)</f>
        <v>1059.375</v>
      </c>
      <c r="J35" s="77" t="n">
        <f aca="false">C35-F35-G35-H35</f>
        <v>23592.68</v>
      </c>
      <c r="K35" s="77" t="n">
        <f aca="false">C35-F35-G35-I35</f>
        <v>23620.805</v>
      </c>
      <c r="L35" s="77" t="n">
        <v>0</v>
      </c>
      <c r="M35" s="77" t="n">
        <v>319.82</v>
      </c>
      <c r="N35" s="77" t="n">
        <v>23592.68</v>
      </c>
      <c r="O35" s="77" t="n">
        <v>23620.81</v>
      </c>
      <c r="P35" s="77" t="n">
        <f aca="false">MAX(ABS(ROUND(F35,2)-L35),ABS(ROUND(G35,2)-M35),ABS(ROUND(J35,2)-N35),ABS(ROUND(K35,2)-O35))</f>
        <v>0</v>
      </c>
      <c r="Q35" s="14" t="str">
        <f aca="false">IF(P35&lt;0.005,"PASS","FAIL")</f>
        <v>PASS</v>
      </c>
    </row>
    <row r="36" customFormat="false" ht="15" hidden="false" customHeight="false" outlineLevel="0" collapsed="false">
      <c r="B36" s="8" t="s">
        <v>1291</v>
      </c>
      <c r="C36" s="64" t="n">
        <v>45000</v>
      </c>
      <c r="D36" s="8" t="s">
        <v>1230</v>
      </c>
      <c r="E36" s="8" t="s">
        <v>1288</v>
      </c>
      <c r="F36" s="77" t="n">
        <f aca="false">MAX(0,Rate_Standard*MIN(C36,IF(D36="Single",Band_Single,IF(D36="Single parent",Band_Single_Parent,IF(D36="Married one earner",Band_Married,Band_Married+MIN(MIN(C36,0),Band_Second_Earner_Max)))))+Rate_Higher*MAX(0,C36-IF(D36="Single",Band_Single,IF(D36="Single parent",Band_Single_Parent,IF(D36="Married one earner",Band_Married,Band_Married+MIN(MIN(C36,0),Band_Second_Earner_Max)))))-(IF(OR(D36="Single",D36="Single parent"),Credit_Personal_Single,Credit_Personal_Married)+IF(D36="Single parent",Credit_SPCCC,0)+MIN(Credit_PAYE,Credit_PAYE_Cap_Pct*C36)+IF(0&gt;0,MIN(Credit_PAYE,Credit_PAYE_Cap_Pct*0),0)+IF("No"="Yes",IF(LEFT(D36,7)="Married",Credit_Rent_Joint,Credit_Rent_Single),0)+IF(AND("No"="Yes",D36="Married one earner"),Credit_Home_Carer,0)))</f>
        <v>5200</v>
      </c>
      <c r="G36" s="77" t="n">
        <f aca="false">IF(C36&lt;=USC_Exempt,0,USC_Rate_1*MIN(C36,USC_Band_1)+USC_Rate_2*MAX(0,MIN(C36,USC_Band_2)-USC_Band_1)+USC_Rate_3*MAX(0,MIN(C36,USC_Band_3)-USC_Band_2)+USC_Rate_4*MAX(0,C36-USC_Band_3))</f>
        <v>882.82</v>
      </c>
      <c r="H36" s="77" t="n">
        <f aca="false">IF(C36/Weeks_Per_Year&lt;=PRSI_Free_Week,0,MAX(0,C36/Weeks_Per_Year*PRSI_Rate-IF(C36/Weeks_Per_Year&lt;=PRSI_Credit_Top,MAX(0,PRSI_Credit_Max-(C36/Weeks_Per_Year-(PRSI_Free_Week+0.01))/PRSI_Credit_Taper),0))*Weeks_Per_Year)</f>
        <v>1957.5</v>
      </c>
      <c r="I36" s="77" t="n">
        <f aca="false">IF(C36/Weeks_Per_Year&lt;=PRSI_Free_Week,0,MAX(0,C36/Weeks_Per_Year*PRSI_Rate_2026_Blend-IF(C36/Weeks_Per_Year&lt;=PRSI_Credit_Top,MAX(0,PRSI_Credit_Max-(C36/Weeks_Per_Year-(PRSI_Free_Week+0.01))/PRSI_Credit_Taper),0))*Weeks_Per_Year)</f>
        <v>1906.875</v>
      </c>
      <c r="J36" s="77" t="n">
        <f aca="false">C36-F36-G36-H36</f>
        <v>36959.68</v>
      </c>
      <c r="K36" s="77" t="n">
        <f aca="false">C36-F36-G36-I36</f>
        <v>37010.305</v>
      </c>
      <c r="L36" s="77" t="n">
        <v>5200</v>
      </c>
      <c r="M36" s="77" t="n">
        <v>882.82</v>
      </c>
      <c r="N36" s="77" t="n">
        <v>36959.68</v>
      </c>
      <c r="O36" s="77" t="n">
        <v>37010.31</v>
      </c>
      <c r="P36" s="77" t="n">
        <f aca="false">MAX(ABS(ROUND(F36,2)-L36),ABS(ROUND(G36,2)-M36),ABS(ROUND(J36,2)-N36),ABS(ROUND(K36,2)-O36))</f>
        <v>0</v>
      </c>
      <c r="Q36" s="14" t="str">
        <f aca="false">IF(P36&lt;0.005,"PASS","FAIL")</f>
        <v>PASS</v>
      </c>
    </row>
    <row r="37" customFormat="false" ht="15" hidden="false" customHeight="false" outlineLevel="0" collapsed="false">
      <c r="B37" s="8" t="s">
        <v>1292</v>
      </c>
      <c r="C37" s="64" t="n">
        <v>45000</v>
      </c>
      <c r="D37" s="8" t="s">
        <v>1290</v>
      </c>
      <c r="E37" s="8" t="s">
        <v>1288</v>
      </c>
      <c r="F37" s="77" t="n">
        <f aca="false">MAX(0,Rate_Standard*MIN(C37,IF(D37="Single",Band_Single,IF(D37="Single parent",Band_Single_Parent,IF(D37="Married one earner",Band_Married,Band_Married+MIN(MIN(C37,0),Band_Second_Earner_Max)))))+Rate_Higher*MAX(0,C37-IF(D37="Single",Band_Single,IF(D37="Single parent",Band_Single_Parent,IF(D37="Married one earner",Band_Married,Band_Married+MIN(MIN(C37,0),Band_Second_Earner_Max)))))-(IF(OR(D37="Single",D37="Single parent"),Credit_Personal_Single,Credit_Personal_Married)+IF(D37="Single parent",Credit_SPCCC,0)+MIN(Credit_PAYE,Credit_PAYE_Cap_Pct*C37)+IF(0&gt;0,MIN(Credit_PAYE,Credit_PAYE_Cap_Pct*0),0)+IF("No"="Yes",IF(LEFT(D37,7)="Married",Credit_Rent_Joint,Credit_Rent_Single),0)+IF(AND("No"="Yes",D37="Married one earner"),Credit_Home_Carer,0)))</f>
        <v>3000</v>
      </c>
      <c r="G37" s="77" t="n">
        <f aca="false">IF(C37&lt;=USC_Exempt,0,USC_Rate_1*MIN(C37,USC_Band_1)+USC_Rate_2*MAX(0,MIN(C37,USC_Band_2)-USC_Band_1)+USC_Rate_3*MAX(0,MIN(C37,USC_Band_3)-USC_Band_2)+USC_Rate_4*MAX(0,C37-USC_Band_3))</f>
        <v>882.82</v>
      </c>
      <c r="H37" s="77" t="n">
        <f aca="false">IF(C37/Weeks_Per_Year&lt;=PRSI_Free_Week,0,MAX(0,C37/Weeks_Per_Year*PRSI_Rate-IF(C37/Weeks_Per_Year&lt;=PRSI_Credit_Top,MAX(0,PRSI_Credit_Max-(C37/Weeks_Per_Year-(PRSI_Free_Week+0.01))/PRSI_Credit_Taper),0))*Weeks_Per_Year)</f>
        <v>1957.5</v>
      </c>
      <c r="I37" s="77" t="n">
        <f aca="false">IF(C37/Weeks_Per_Year&lt;=PRSI_Free_Week,0,MAX(0,C37/Weeks_Per_Year*PRSI_Rate_2026_Blend-IF(C37/Weeks_Per_Year&lt;=PRSI_Credit_Top,MAX(0,PRSI_Credit_Max-(C37/Weeks_Per_Year-(PRSI_Free_Week+0.01))/PRSI_Credit_Taper),0))*Weeks_Per_Year)</f>
        <v>1906.875</v>
      </c>
      <c r="J37" s="77" t="n">
        <f aca="false">C37-F37-G37-H37</f>
        <v>39159.68</v>
      </c>
      <c r="K37" s="77" t="n">
        <f aca="false">C37-F37-G37-I37</f>
        <v>39210.305</v>
      </c>
      <c r="L37" s="77" t="n">
        <v>3000</v>
      </c>
      <c r="M37" s="77" t="n">
        <v>882.82</v>
      </c>
      <c r="N37" s="77" t="n">
        <v>39159.68</v>
      </c>
      <c r="O37" s="77" t="n">
        <v>39210.31</v>
      </c>
      <c r="P37" s="77" t="n">
        <f aca="false">MAX(ABS(ROUND(F37,2)-L37),ABS(ROUND(G37,2)-M37),ABS(ROUND(J37,2)-N37),ABS(ROUND(K37,2)-O37))</f>
        <v>0</v>
      </c>
      <c r="Q37" s="14" t="str">
        <f aca="false">IF(P37&lt;0.005,"PASS","FAIL")</f>
        <v>PASS</v>
      </c>
    </row>
    <row r="38" customFormat="false" ht="15" hidden="false" customHeight="false" outlineLevel="0" collapsed="false">
      <c r="B38" s="8" t="s">
        <v>1293</v>
      </c>
      <c r="C38" s="64" t="n">
        <v>80000</v>
      </c>
      <c r="D38" s="8" t="s">
        <v>1230</v>
      </c>
      <c r="E38" s="8" t="s">
        <v>1288</v>
      </c>
      <c r="F38" s="77" t="n">
        <f aca="false">MAX(0,Rate_Standard*MIN(C38,IF(D38="Single",Band_Single,IF(D38="Single parent",Band_Single_Parent,IF(D38="Married one earner",Band_Married,Band_Married+MIN(MIN(C38,0),Band_Second_Earner_Max)))))+Rate_Higher*MAX(0,C38-IF(D38="Single",Band_Single,IF(D38="Single parent",Band_Single_Parent,IF(D38="Married one earner",Band_Married,Band_Married+MIN(MIN(C38,0),Band_Second_Earner_Max)))))-(IF(OR(D38="Single",D38="Single parent"),Credit_Personal_Single,Credit_Personal_Married)+IF(D38="Single parent",Credit_SPCCC,0)+MIN(Credit_PAYE,Credit_PAYE_Cap_Pct*C38)+IF(0&gt;0,MIN(Credit_PAYE,Credit_PAYE_Cap_Pct*0),0)+IF("No"="Yes",IF(LEFT(D38,7)="Married",Credit_Rent_Joint,Credit_Rent_Single),0)+IF(AND("No"="Yes",D38="Married one earner"),Credit_Home_Carer,0)))</f>
        <v>19200</v>
      </c>
      <c r="G38" s="77" t="n">
        <f aca="false">IF(C38&lt;=USC_Exempt,0,USC_Rate_1*MIN(C38,USC_Band_1)+USC_Rate_2*MAX(0,MIN(C38,USC_Band_2)-USC_Band_1)+USC_Rate_3*MAX(0,MIN(C38,USC_Band_3)-USC_Band_2)+USC_Rate_4*MAX(0,C38-USC_Band_3))</f>
        <v>2430.62</v>
      </c>
      <c r="H38" s="77" t="n">
        <f aca="false">IF(C38/Weeks_Per_Year&lt;=PRSI_Free_Week,0,MAX(0,C38/Weeks_Per_Year*PRSI_Rate-IF(C38/Weeks_Per_Year&lt;=PRSI_Credit_Top,MAX(0,PRSI_Credit_Max-(C38/Weeks_Per_Year-(PRSI_Free_Week+0.01))/PRSI_Credit_Taper),0))*Weeks_Per_Year)</f>
        <v>3480</v>
      </c>
      <c r="I38" s="77" t="n">
        <f aca="false">IF(C38/Weeks_Per_Year&lt;=PRSI_Free_Week,0,MAX(0,C38/Weeks_Per_Year*PRSI_Rate_2026_Blend-IF(C38/Weeks_Per_Year&lt;=PRSI_Credit_Top,MAX(0,PRSI_Credit_Max-(C38/Weeks_Per_Year-(PRSI_Free_Week+0.01))/PRSI_Credit_Taper),0))*Weeks_Per_Year)</f>
        <v>3390</v>
      </c>
      <c r="J38" s="77" t="n">
        <f aca="false">C38-F38-G38-H38</f>
        <v>54889.38</v>
      </c>
      <c r="K38" s="77" t="n">
        <f aca="false">C38-F38-G38-I38</f>
        <v>54979.38</v>
      </c>
      <c r="L38" s="77" t="n">
        <v>19200</v>
      </c>
      <c r="M38" s="77" t="n">
        <v>2430.62</v>
      </c>
      <c r="N38" s="77" t="n">
        <v>54889.38</v>
      </c>
      <c r="O38" s="77" t="n">
        <v>54979.38</v>
      </c>
      <c r="P38" s="77" t="n">
        <f aca="false">MAX(ABS(ROUND(F38,2)-L38),ABS(ROUND(G38,2)-M38),ABS(ROUND(J38,2)-N38),ABS(ROUND(K38,2)-O38))</f>
        <v>0</v>
      </c>
      <c r="Q38" s="14" t="str">
        <f aca="false">IF(P38&lt;0.005,"PASS","FAIL")</f>
        <v>PASS</v>
      </c>
    </row>
    <row r="39" customFormat="false" ht="15" hidden="false" customHeight="false" outlineLevel="0" collapsed="false">
      <c r="B39" s="8" t="s">
        <v>1294</v>
      </c>
      <c r="C39" s="64" t="n">
        <v>80000</v>
      </c>
      <c r="D39" s="8" t="s">
        <v>1290</v>
      </c>
      <c r="E39" s="8" t="s">
        <v>1288</v>
      </c>
      <c r="F39" s="77" t="n">
        <f aca="false">MAX(0,Rate_Standard*MIN(C39,IF(D39="Single",Band_Single,IF(D39="Single parent",Band_Single_Parent,IF(D39="Married one earner",Band_Married,Band_Married+MIN(MIN(C39,0),Band_Second_Earner_Max)))))+Rate_Higher*MAX(0,C39-IF(D39="Single",Band_Single,IF(D39="Single parent",Band_Single_Parent,IF(D39="Married one earner",Band_Married,Band_Married+MIN(MIN(C39,0),Band_Second_Earner_Max)))))-(IF(OR(D39="Single",D39="Single parent"),Credit_Personal_Single,Credit_Personal_Married)+IF(D39="Single parent",Credit_SPCCC,0)+MIN(Credit_PAYE,Credit_PAYE_Cap_Pct*C39)+IF(0&gt;0,MIN(Credit_PAYE,Credit_PAYE_Cap_Pct*0),0)+IF("No"="Yes",IF(LEFT(D39,7)="Married",Credit_Rent_Joint,Credit_Rent_Single),0)+IF(AND("No"="Yes",D39="Married one earner"),Credit_Home_Carer,0)))</f>
        <v>15400</v>
      </c>
      <c r="G39" s="77" t="n">
        <f aca="false">IF(C39&lt;=USC_Exempt,0,USC_Rate_1*MIN(C39,USC_Band_1)+USC_Rate_2*MAX(0,MIN(C39,USC_Band_2)-USC_Band_1)+USC_Rate_3*MAX(0,MIN(C39,USC_Band_3)-USC_Band_2)+USC_Rate_4*MAX(0,C39-USC_Band_3))</f>
        <v>2430.62</v>
      </c>
      <c r="H39" s="77" t="n">
        <f aca="false">IF(C39/Weeks_Per_Year&lt;=PRSI_Free_Week,0,MAX(0,C39/Weeks_Per_Year*PRSI_Rate-IF(C39/Weeks_Per_Year&lt;=PRSI_Credit_Top,MAX(0,PRSI_Credit_Max-(C39/Weeks_Per_Year-(PRSI_Free_Week+0.01))/PRSI_Credit_Taper),0))*Weeks_Per_Year)</f>
        <v>3480</v>
      </c>
      <c r="I39" s="77" t="n">
        <f aca="false">IF(C39/Weeks_Per_Year&lt;=PRSI_Free_Week,0,MAX(0,C39/Weeks_Per_Year*PRSI_Rate_2026_Blend-IF(C39/Weeks_Per_Year&lt;=PRSI_Credit_Top,MAX(0,PRSI_Credit_Max-(C39/Weeks_Per_Year-(PRSI_Free_Week+0.01))/PRSI_Credit_Taper),0))*Weeks_Per_Year)</f>
        <v>3390</v>
      </c>
      <c r="J39" s="77" t="n">
        <f aca="false">C39-F39-G39-H39</f>
        <v>58689.38</v>
      </c>
      <c r="K39" s="77" t="n">
        <f aca="false">C39-F39-G39-I39</f>
        <v>58779.38</v>
      </c>
      <c r="L39" s="77" t="n">
        <v>15400</v>
      </c>
      <c r="M39" s="77" t="n">
        <v>2430.62</v>
      </c>
      <c r="N39" s="77" t="n">
        <v>58689.38</v>
      </c>
      <c r="O39" s="77" t="n">
        <v>58779.38</v>
      </c>
      <c r="P39" s="77" t="n">
        <f aca="false">MAX(ABS(ROUND(F39,2)-L39),ABS(ROUND(G39,2)-M39),ABS(ROUND(J39,2)-N39),ABS(ROUND(K39,2)-O39))</f>
        <v>0</v>
      </c>
      <c r="Q39" s="14" t="str">
        <f aca="false">IF(P39&lt;0.005,"PASS","FAIL")</f>
        <v>PASS</v>
      </c>
    </row>
    <row r="40" customFormat="false" ht="15" hidden="false" customHeight="false" outlineLevel="0" collapsed="false">
      <c r="B40" s="8" t="s">
        <v>1295</v>
      </c>
      <c r="C40" s="64" t="n">
        <v>150000</v>
      </c>
      <c r="D40" s="8" t="s">
        <v>1230</v>
      </c>
      <c r="E40" s="8" t="s">
        <v>1288</v>
      </c>
      <c r="F40" s="77" t="n">
        <f aca="false">MAX(0,Rate_Standard*MIN(C40,IF(D40="Single",Band_Single,IF(D40="Single parent",Band_Single_Parent,IF(D40="Married one earner",Band_Married,Band_Married+MIN(MIN(C40,0),Band_Second_Earner_Max)))))+Rate_Higher*MAX(0,C40-IF(D40="Single",Band_Single,IF(D40="Single parent",Band_Single_Parent,IF(D40="Married one earner",Band_Married,Band_Married+MIN(MIN(C40,0),Band_Second_Earner_Max)))))-(IF(OR(D40="Single",D40="Single parent"),Credit_Personal_Single,Credit_Personal_Married)+IF(D40="Single parent",Credit_SPCCC,0)+MIN(Credit_PAYE,Credit_PAYE_Cap_Pct*C40)+IF(0&gt;0,MIN(Credit_PAYE,Credit_PAYE_Cap_Pct*0),0)+IF("No"="Yes",IF(LEFT(D40,7)="Married",Credit_Rent_Joint,Credit_Rent_Single),0)+IF(AND("No"="Yes",D40="Married one earner"),Credit_Home_Carer,0)))</f>
        <v>47200</v>
      </c>
      <c r="G40" s="77" t="n">
        <f aca="false">IF(C40&lt;=USC_Exempt,0,USC_Rate_1*MIN(C40,USC_Band_1)+USC_Rate_2*MAX(0,MIN(C40,USC_Band_2)-USC_Band_1)+USC_Rate_3*MAX(0,MIN(C40,USC_Band_3)-USC_Band_2)+USC_Rate_4*MAX(0,C40-USC_Band_3))</f>
        <v>8030.62</v>
      </c>
      <c r="H40" s="77" t="n">
        <f aca="false">IF(C40/Weeks_Per_Year&lt;=PRSI_Free_Week,0,MAX(0,C40/Weeks_Per_Year*PRSI_Rate-IF(C40/Weeks_Per_Year&lt;=PRSI_Credit_Top,MAX(0,PRSI_Credit_Max-(C40/Weeks_Per_Year-(PRSI_Free_Week+0.01))/PRSI_Credit_Taper),0))*Weeks_Per_Year)</f>
        <v>6525</v>
      </c>
      <c r="I40" s="77" t="n">
        <f aca="false">IF(C40/Weeks_Per_Year&lt;=PRSI_Free_Week,0,MAX(0,C40/Weeks_Per_Year*PRSI_Rate_2026_Blend-IF(C40/Weeks_Per_Year&lt;=PRSI_Credit_Top,MAX(0,PRSI_Credit_Max-(C40/Weeks_Per_Year-(PRSI_Free_Week+0.01))/PRSI_Credit_Taper),0))*Weeks_Per_Year)</f>
        <v>6356.25</v>
      </c>
      <c r="J40" s="77" t="n">
        <f aca="false">C40-F40-G40-H40</f>
        <v>88244.38</v>
      </c>
      <c r="K40" s="77" t="n">
        <f aca="false">C40-F40-G40-I40</f>
        <v>88413.13</v>
      </c>
      <c r="L40" s="77" t="n">
        <v>47200</v>
      </c>
      <c r="M40" s="77" t="n">
        <v>8030.62</v>
      </c>
      <c r="N40" s="77" t="n">
        <v>88244.38</v>
      </c>
      <c r="O40" s="77" t="n">
        <v>88413.13</v>
      </c>
      <c r="P40" s="77" t="n">
        <f aca="false">MAX(ABS(ROUND(F40,2)-L40),ABS(ROUND(G40,2)-M40),ABS(ROUND(J40,2)-N40),ABS(ROUND(K40,2)-O40))</f>
        <v>0</v>
      </c>
      <c r="Q40" s="14" t="str">
        <f aca="false">IF(P40&lt;0.005,"PASS","FAIL")</f>
        <v>PASS</v>
      </c>
    </row>
    <row r="41" customFormat="false" ht="15" hidden="false" customHeight="false" outlineLevel="0" collapsed="false">
      <c r="B41" s="8" t="s">
        <v>1296</v>
      </c>
      <c r="C41" s="64" t="n">
        <v>150000</v>
      </c>
      <c r="D41" s="8" t="s">
        <v>1290</v>
      </c>
      <c r="E41" s="8" t="s">
        <v>1288</v>
      </c>
      <c r="F41" s="77" t="n">
        <f aca="false">MAX(0,Rate_Standard*MIN(C41,IF(D41="Single",Band_Single,IF(D41="Single parent",Band_Single_Parent,IF(D41="Married one earner",Band_Married,Band_Married+MIN(MIN(C41,0),Band_Second_Earner_Max)))))+Rate_Higher*MAX(0,C41-IF(D41="Single",Band_Single,IF(D41="Single parent",Band_Single_Parent,IF(D41="Married one earner",Band_Married,Band_Married+MIN(MIN(C41,0),Band_Second_Earner_Max)))))-(IF(OR(D41="Single",D41="Single parent"),Credit_Personal_Single,Credit_Personal_Married)+IF(D41="Single parent",Credit_SPCCC,0)+MIN(Credit_PAYE,Credit_PAYE_Cap_Pct*C41)+IF(0&gt;0,MIN(Credit_PAYE,Credit_PAYE_Cap_Pct*0),0)+IF("No"="Yes",IF(LEFT(D41,7)="Married",Credit_Rent_Joint,Credit_Rent_Single),0)+IF(AND("No"="Yes",D41="Married one earner"),Credit_Home_Carer,0)))</f>
        <v>43400</v>
      </c>
      <c r="G41" s="77" t="n">
        <f aca="false">IF(C41&lt;=USC_Exempt,0,USC_Rate_1*MIN(C41,USC_Band_1)+USC_Rate_2*MAX(0,MIN(C41,USC_Band_2)-USC_Band_1)+USC_Rate_3*MAX(0,MIN(C41,USC_Band_3)-USC_Band_2)+USC_Rate_4*MAX(0,C41-USC_Band_3))</f>
        <v>8030.62</v>
      </c>
      <c r="H41" s="77" t="n">
        <f aca="false">IF(C41/Weeks_Per_Year&lt;=PRSI_Free_Week,0,MAX(0,C41/Weeks_Per_Year*PRSI_Rate-IF(C41/Weeks_Per_Year&lt;=PRSI_Credit_Top,MAX(0,PRSI_Credit_Max-(C41/Weeks_Per_Year-(PRSI_Free_Week+0.01))/PRSI_Credit_Taper),0))*Weeks_Per_Year)</f>
        <v>6525</v>
      </c>
      <c r="I41" s="77" t="n">
        <f aca="false">IF(C41/Weeks_Per_Year&lt;=PRSI_Free_Week,0,MAX(0,C41/Weeks_Per_Year*PRSI_Rate_2026_Blend-IF(C41/Weeks_Per_Year&lt;=PRSI_Credit_Top,MAX(0,PRSI_Credit_Max-(C41/Weeks_Per_Year-(PRSI_Free_Week+0.01))/PRSI_Credit_Taper),0))*Weeks_Per_Year)</f>
        <v>6356.25</v>
      </c>
      <c r="J41" s="77" t="n">
        <f aca="false">C41-F41-G41-H41</f>
        <v>92044.38</v>
      </c>
      <c r="K41" s="77" t="n">
        <f aca="false">C41-F41-G41-I41</f>
        <v>92213.13</v>
      </c>
      <c r="L41" s="77" t="n">
        <v>43400</v>
      </c>
      <c r="M41" s="77" t="n">
        <v>8030.62</v>
      </c>
      <c r="N41" s="77" t="n">
        <v>92044.38</v>
      </c>
      <c r="O41" s="77" t="n">
        <v>92213.13</v>
      </c>
      <c r="P41" s="77" t="n">
        <f aca="false">MAX(ABS(ROUND(F41,2)-L41),ABS(ROUND(G41,2)-M41),ABS(ROUND(J41,2)-N41),ABS(ROUND(K41,2)-O41))</f>
        <v>0</v>
      </c>
      <c r="Q41" s="14" t="str">
        <f aca="false">IF(P41&lt;0.005,"PASS","FAIL")</f>
        <v>PASS</v>
      </c>
    </row>
    <row r="42" customFormat="false" ht="15" hidden="false" customHeight="false" outlineLevel="0" collapsed="false">
      <c r="B42" s="8" t="s">
        <v>1297</v>
      </c>
      <c r="C42" s="64" t="n">
        <v>60000</v>
      </c>
      <c r="D42" s="8" t="s">
        <v>1298</v>
      </c>
      <c r="E42" s="8" t="s">
        <v>1299</v>
      </c>
      <c r="F42" s="77" t="n">
        <f aca="false">MAX(0,Rate_Standard*MIN(C42+R42,IF(D42="Single",Band_Single,IF(D42="Single parent",Band_Single_Parent,IF(D42="Married one earner",Band_Married,Band_Married+MIN(MIN(C42,R42),Band_Second_Earner_Max)))))+Rate_Higher*MAX(0,C42+R42-IF(D42="Single",Band_Single,IF(D42="Single parent",Band_Single_Parent,IF(D42="Married one earner",Band_Married,Band_Married+MIN(MIN(C42,R42),Band_Second_Earner_Max)))))-(IF(OR(D42="Single",D42="Single parent"),Credit_Personal_Single,Credit_Personal_Married)+IF(D42="Single parent",Credit_SPCCC,0)+MIN(Credit_PAYE,Credit_PAYE_Cap_Pct*C42)+IF(R42&gt;0,MIN(Credit_PAYE,Credit_PAYE_Cap_Pct*R42),0)+IF("No"="Yes",IF(LEFT(D42,7)="Married",Credit_Rent_Joint,Credit_Rent_Single),0)+IF(AND("No"="Yes",D42="Married one earner"),Credit_Home_Carer,0)))</f>
        <v>11400</v>
      </c>
      <c r="G42" s="8"/>
      <c r="H42" s="8"/>
      <c r="I42" s="8"/>
      <c r="J42" s="8"/>
      <c r="K42" s="8"/>
      <c r="L42" s="77" t="n">
        <v>11400</v>
      </c>
      <c r="M42" s="8"/>
      <c r="N42" s="8"/>
      <c r="O42" s="8"/>
      <c r="P42" s="77" t="n">
        <f aca="false">ABS(ROUND(F42,2)-L42)</f>
        <v>0</v>
      </c>
      <c r="Q42" s="14" t="str">
        <f aca="false">IF(P42&lt;0.005,"PASS","FAIL")</f>
        <v>PASS</v>
      </c>
      <c r="R42" s="64" t="n">
        <v>30000</v>
      </c>
    </row>
    <row r="43" customFormat="false" ht="15" hidden="false" customHeight="false" outlineLevel="0" collapsed="false">
      <c r="B43" s="8" t="s">
        <v>1300</v>
      </c>
      <c r="C43" s="64" t="n">
        <v>80000</v>
      </c>
      <c r="D43" s="8" t="s">
        <v>1298</v>
      </c>
      <c r="E43" s="8" t="s">
        <v>1301</v>
      </c>
      <c r="F43" s="77" t="n">
        <f aca="false">MAX(0,Rate_Standard*MIN(C43+R43,IF(D43="Single",Band_Single,IF(D43="Single parent",Band_Single_Parent,IF(D43="Married one earner",Band_Married,Band_Married+MIN(MIN(C43,R43),Band_Second_Earner_Max)))))+Rate_Higher*MAX(0,C43+R43-IF(D43="Single",Band_Single,IF(D43="Single parent",Band_Single_Parent,IF(D43="Married one earner",Band_Married,Band_Married+MIN(MIN(C43,R43),Band_Second_Earner_Max)))))-(IF(OR(D43="Single",D43="Single parent"),Credit_Personal_Single,Credit_Personal_Married)+IF(D43="Single parent",Credit_SPCCC,0)+MIN(Credit_PAYE,Credit_PAYE_Cap_Pct*C43)+IF(R43&gt;0,MIN(Credit_PAYE,Credit_PAYE_Cap_Pct*R43),0)+IF("No"="Yes",IF(LEFT(D43,7)="Married",Credit_Rent_Joint,Credit_Rent_Single),0)+IF(AND("No"="Yes",D43="Married one earner"),Credit_Home_Carer,0)))</f>
        <v>26400</v>
      </c>
      <c r="G43" s="8"/>
      <c r="H43" s="8"/>
      <c r="I43" s="8"/>
      <c r="J43" s="8"/>
      <c r="K43" s="8"/>
      <c r="L43" s="77" t="n">
        <v>26400</v>
      </c>
      <c r="M43" s="8"/>
      <c r="N43" s="8"/>
      <c r="O43" s="8"/>
      <c r="P43" s="77" t="n">
        <f aca="false">ABS(ROUND(F43,2)-L43)</f>
        <v>0</v>
      </c>
      <c r="Q43" s="14" t="str">
        <f aca="false">IF(P43&lt;0.005,"PASS","FAIL")</f>
        <v>PASS</v>
      </c>
      <c r="R43" s="64" t="n">
        <v>50000</v>
      </c>
    </row>
    <row r="44" customFormat="false" ht="15" hidden="false" customHeight="false" outlineLevel="0" collapsed="false">
      <c r="B44" s="8" t="s">
        <v>1302</v>
      </c>
      <c r="C44" s="64" t="n">
        <v>45000</v>
      </c>
      <c r="D44" s="8" t="s">
        <v>1298</v>
      </c>
      <c r="E44" s="8" t="s">
        <v>1303</v>
      </c>
      <c r="F44" s="77" t="n">
        <f aca="false">MAX(0,Rate_Standard*MIN(C44+R44,IF(D44="Single",Band_Single,IF(D44="Single parent",Band_Single_Parent,IF(D44="Married one earner",Band_Married,Band_Married+MIN(MIN(C44,R44),Band_Second_Earner_Max)))))+Rate_Higher*MAX(0,C44+R44-IF(D44="Single",Band_Single,IF(D44="Single parent",Band_Single_Parent,IF(D44="Married one earner",Band_Married,Band_Married+MIN(MIN(C44,R44),Band_Second_Earner_Max)))))-(IF(OR(D44="Single",D44="Single parent"),Credit_Personal_Single,Credit_Personal_Married)+IF(D44="Single parent",Credit_SPCCC,0)+MIN(Credit_PAYE,Credit_PAYE_Cap_Pct*C44)+IF(R44&gt;0,MIN(Credit_PAYE,Credit_PAYE_Cap_Pct*R44),0)+IF("No"="Yes",IF(LEFT(D44,7)="Married",Credit_Rent_Joint,Credit_Rent_Single),0)+IF(AND("No"="Yes",D44="Married one earner"),Credit_Home_Carer,0)))</f>
        <v>10400</v>
      </c>
      <c r="G44" s="8"/>
      <c r="H44" s="8"/>
      <c r="I44" s="8"/>
      <c r="J44" s="8"/>
      <c r="K44" s="8"/>
      <c r="L44" s="77" t="n">
        <v>10400</v>
      </c>
      <c r="M44" s="8"/>
      <c r="N44" s="8"/>
      <c r="O44" s="8"/>
      <c r="P44" s="77" t="n">
        <f aca="false">ABS(ROUND(F44,2)-L44)</f>
        <v>0</v>
      </c>
      <c r="Q44" s="14" t="str">
        <f aca="false">IF(P44&lt;0.005,"PASS","FAIL")</f>
        <v>PASS</v>
      </c>
      <c r="R44" s="64" t="n">
        <v>45000</v>
      </c>
    </row>
    <row r="45" customFormat="false" ht="15" hidden="false" customHeight="false" outlineLevel="0" collapsed="false">
      <c r="B45" s="6" t="s">
        <v>1304</v>
      </c>
      <c r="Q45" s="78" t="str">
        <f aca="false">IF(COUNTIF(Q34:Q44,"PASS")=11,"ALL PASS","CHECK")</f>
        <v>ALL PASS</v>
      </c>
    </row>
  </sheetData>
  <mergeCells count="4">
    <mergeCell ref="B27:E27"/>
    <mergeCell ref="B28:E28"/>
    <mergeCell ref="B29:E29"/>
    <mergeCell ref="B30:E30"/>
  </mergeCells>
  <dataValidations count="6">
    <dataValidation allowBlank="false" errorStyle="stop" operator="between" prompt="Single, Single parent (main carer of a child, no partner), Married one earner, Married two earners (also civil partners)." promptTitle="Tax status" showDropDown="false" showErrorMessage="true" showInputMessage="true" sqref="C5" type="list">
      <formula1>"Single,Single parent,Married one earner,Married two earners"</formula1>
      <formula2>0</formula2>
    </dataValidation>
    <dataValidation allowBlank="false" errorStyle="stop" operator="between" prompt="Gross pay before tax, € a year." promptTitle="Your gross yearly pay" showDropDown="false" showErrorMessage="true" showInputMessage="true" sqref="C6" type="decimal">
      <formula1>0</formula1>
      <formula2>5000000</formula2>
    </dataValidation>
    <dataValidation allowBlank="false" errorStyle="stop" operator="between" prompt="Used only when the status is Married two earners." promptTitle="Partner's gross yearly pay (marr" showDropDown="false" showErrorMessage="true" showInputMessage="true" sqref="C7" type="decimal">
      <formula1>0</formula1>
      <formula2>5000000</formula2>
    </dataValidation>
    <dataValidation allowBlank="false" errorStyle="stop" operator="between" prompt="Rent Tax Credit €1,000 single / €2,000 jointly assessed, to end-2028." promptTitle="Do you pay rent on your home, no" showDropDown="false" showErrorMessage="true" showInputMessage="true" sqref="C8" type="list">
      <formula1>"Yes,No"</formula1>
      <formula2>0</formula2>
    </dataValidation>
    <dataValidation allowBlank="false" errorStyle="stop" operator="between" prompt="€1,950 (verify the 2026 rate and carer-income limit)." promptTitle="Home Carer Tax Credit applies? (" showDropDown="false" showErrorMessage="true" showInputMessage="true" sqref="C9" type="list">
      <formula1>"Yes,No"</formula1>
      <formula2>0</formula2>
    </dataValidation>
    <dataValidation allowBlank="false" errorStyle="stop" operator="between" prompt="From 1 Oct 2026 = 4.35%. Calendar 2026 blend = 4.2375% (9 months at 4.2%, 3 at 4.35%)." promptTitle="PRSI rate basis" showDropDown="false" showErrorMessage="true" showInputMessage="true" sqref="C10" type="list">
      <formula1>"From 1 Oct 2026,Calendar 2026 blend"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G6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9" topLeftCell="B10" activePane="bottomRight" state="frozen"/>
      <selection pane="topLeft" activeCell="A1" activeCellId="0" sqref="A1"/>
      <selection pane="topRight" activeCell="B1" activeCellId="0" sqref="B1"/>
      <selection pane="bottomLeft" activeCell="A10" activeCellId="0" sqref="A10"/>
      <selection pane="bottomRigh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34"/>
    <col collapsed="false" customWidth="true" hidden="false" outlineLevel="0" max="3" min="3" style="0" width="30"/>
    <col collapsed="false" customWidth="true" hidden="false" outlineLevel="0" max="4" min="4" style="0" width="60"/>
    <col collapsed="false" customWidth="true" hidden="false" outlineLevel="0" max="5" min="5" style="0" width="34"/>
    <col collapsed="false" customWidth="true" hidden="false" outlineLevel="0" max="6" min="6" style="0" width="54"/>
    <col collapsed="false" customWidth="true" hidden="false" outlineLevel="0" max="7" min="7" style="0" width="12"/>
  </cols>
  <sheetData>
    <row r="1" customFormat="false" ht="19.7" hidden="false" customHeight="false" outlineLevel="0" collapsed="false">
      <c r="B1" s="16" t="s">
        <v>1305</v>
      </c>
    </row>
    <row r="3" customFormat="false" ht="15" hidden="false" customHeight="false" outlineLevel="0" collapsed="false">
      <c r="B3" s="4" t="s">
        <v>1306</v>
      </c>
      <c r="C3" s="4"/>
      <c r="D3" s="4"/>
      <c r="E3" s="4"/>
      <c r="F3" s="4"/>
    </row>
    <row r="4" customFormat="false" ht="15" hidden="false" customHeight="false" outlineLevel="0" collapsed="false">
      <c r="B4" s="4" t="s">
        <v>1307</v>
      </c>
      <c r="C4" s="4"/>
      <c r="D4" s="4"/>
      <c r="E4" s="4"/>
      <c r="F4" s="4"/>
    </row>
    <row r="5" customFormat="false" ht="15" hidden="false" customHeight="false" outlineLevel="0" collapsed="false">
      <c r="B5" s="4" t="s">
        <v>1308</v>
      </c>
      <c r="C5" s="4"/>
      <c r="D5" s="4"/>
      <c r="E5" s="4"/>
      <c r="F5" s="4"/>
    </row>
    <row r="6" customFormat="false" ht="15" hidden="false" customHeight="false" outlineLevel="0" collapsed="false">
      <c r="B6" s="4" t="s">
        <v>1309</v>
      </c>
      <c r="C6" s="4"/>
      <c r="D6" s="4"/>
      <c r="E6" s="4"/>
      <c r="F6" s="4"/>
    </row>
    <row r="7" customFormat="false" ht="15" hidden="false" customHeight="false" outlineLevel="0" collapsed="false">
      <c r="B7" s="4" t="s">
        <v>1310</v>
      </c>
      <c r="C7" s="4"/>
      <c r="D7" s="4"/>
      <c r="E7" s="4"/>
      <c r="F7" s="4"/>
    </row>
    <row r="8" customFormat="false" ht="15" hidden="false" customHeight="false" outlineLevel="0" collapsed="false">
      <c r="B8" s="4" t="s">
        <v>1311</v>
      </c>
      <c r="C8" s="4"/>
      <c r="D8" s="4"/>
      <c r="E8" s="4"/>
      <c r="F8" s="4"/>
    </row>
    <row r="10" customFormat="false" ht="23.85" hidden="false" customHeight="false" outlineLevel="0" collapsed="false">
      <c r="B10" s="79" t="s">
        <v>1312</v>
      </c>
      <c r="C10" s="79" t="s">
        <v>1313</v>
      </c>
      <c r="D10" s="79" t="s">
        <v>1314</v>
      </c>
      <c r="E10" s="79" t="s">
        <v>1315</v>
      </c>
      <c r="F10" s="79" t="s">
        <v>1316</v>
      </c>
      <c r="G10" s="79" t="s">
        <v>1317</v>
      </c>
    </row>
    <row r="11" customFormat="false" ht="36" hidden="false" customHeight="true" outlineLevel="0" collapsed="false">
      <c r="B11" s="80" t="s">
        <v>1318</v>
      </c>
      <c r="C11" s="81" t="s">
        <v>682</v>
      </c>
      <c r="D11" s="81" t="s">
        <v>1319</v>
      </c>
      <c r="E11" s="81" t="s">
        <v>1320</v>
      </c>
      <c r="F11" s="81" t="s">
        <v>1321</v>
      </c>
      <c r="G11" s="81" t="s">
        <v>1322</v>
      </c>
    </row>
    <row r="12" customFormat="false" ht="36" hidden="false" customHeight="true" outlineLevel="0" collapsed="false">
      <c r="B12" s="80"/>
      <c r="C12" s="81" t="s">
        <v>1323</v>
      </c>
      <c r="D12" s="81" t="s">
        <v>1324</v>
      </c>
      <c r="E12" s="81" t="s">
        <v>1325</v>
      </c>
      <c r="F12" s="81" t="s">
        <v>1326</v>
      </c>
      <c r="G12" s="81" t="s">
        <v>1322</v>
      </c>
    </row>
    <row r="13" customFormat="false" ht="24" hidden="false" customHeight="true" outlineLevel="0" collapsed="false">
      <c r="B13" s="80"/>
      <c r="C13" s="81" t="s">
        <v>1327</v>
      </c>
      <c r="D13" s="81" t="s">
        <v>1328</v>
      </c>
      <c r="E13" s="81" t="s">
        <v>1329</v>
      </c>
      <c r="F13" s="81" t="s">
        <v>1330</v>
      </c>
      <c r="G13" s="81" t="s">
        <v>1322</v>
      </c>
    </row>
    <row r="14" customFormat="false" ht="24" hidden="false" customHeight="true" outlineLevel="0" collapsed="false">
      <c r="B14" s="80"/>
      <c r="C14" s="81" t="s">
        <v>686</v>
      </c>
      <c r="D14" s="81" t="s">
        <v>1331</v>
      </c>
      <c r="E14" s="81" t="s">
        <v>1332</v>
      </c>
      <c r="F14" s="81" t="s">
        <v>1333</v>
      </c>
      <c r="G14" s="81" t="s">
        <v>1322</v>
      </c>
    </row>
    <row r="15" customFormat="false" ht="60" hidden="false" customHeight="true" outlineLevel="0" collapsed="false">
      <c r="B15" s="80"/>
      <c r="C15" s="81" t="s">
        <v>737</v>
      </c>
      <c r="D15" s="81" t="s">
        <v>1334</v>
      </c>
      <c r="E15" s="81" t="s">
        <v>1329</v>
      </c>
      <c r="F15" s="81" t="s">
        <v>1335</v>
      </c>
      <c r="G15" s="81" t="s">
        <v>1322</v>
      </c>
    </row>
    <row r="16" customFormat="false" ht="36" hidden="false" customHeight="true" outlineLevel="0" collapsed="false">
      <c r="B16" s="80"/>
      <c r="C16" s="81" t="s">
        <v>1336</v>
      </c>
      <c r="D16" s="81" t="s">
        <v>1337</v>
      </c>
      <c r="E16" s="81" t="s">
        <v>1338</v>
      </c>
      <c r="F16" s="81" t="s">
        <v>1339</v>
      </c>
      <c r="G16" s="81" t="s">
        <v>1322</v>
      </c>
    </row>
    <row r="17" customFormat="false" ht="24" hidden="false" customHeight="true" outlineLevel="0" collapsed="false">
      <c r="B17" s="80"/>
      <c r="C17" s="81" t="s">
        <v>1340</v>
      </c>
      <c r="D17" s="81" t="s">
        <v>1341</v>
      </c>
      <c r="E17" s="81" t="s">
        <v>1342</v>
      </c>
      <c r="F17" s="81" t="s">
        <v>1343</v>
      </c>
      <c r="G17" s="81" t="s">
        <v>1322</v>
      </c>
    </row>
    <row r="18" customFormat="false" ht="24" hidden="false" customHeight="true" outlineLevel="0" collapsed="false">
      <c r="B18" s="80"/>
      <c r="C18" s="81" t="s">
        <v>1344</v>
      </c>
      <c r="D18" s="81" t="s">
        <v>1345</v>
      </c>
      <c r="E18" s="81" t="s">
        <v>1346</v>
      </c>
      <c r="F18" s="81" t="s">
        <v>1347</v>
      </c>
      <c r="G18" s="81" t="s">
        <v>1322</v>
      </c>
    </row>
    <row r="19" customFormat="false" ht="24" hidden="false" customHeight="true" outlineLevel="0" collapsed="false">
      <c r="B19" s="80"/>
      <c r="C19" s="81" t="s">
        <v>304</v>
      </c>
      <c r="D19" s="81" t="s">
        <v>1348</v>
      </c>
      <c r="E19" s="81" t="s">
        <v>1349</v>
      </c>
      <c r="F19" s="81" t="s">
        <v>1350</v>
      </c>
      <c r="G19" s="81" t="s">
        <v>1322</v>
      </c>
    </row>
    <row r="20" customFormat="false" ht="36" hidden="false" customHeight="true" outlineLevel="0" collapsed="false">
      <c r="B20" s="80" t="s">
        <v>1351</v>
      </c>
      <c r="C20" s="81" t="s">
        <v>1352</v>
      </c>
      <c r="D20" s="81" t="s">
        <v>1353</v>
      </c>
      <c r="E20" s="81" t="s">
        <v>1354</v>
      </c>
      <c r="F20" s="81" t="s">
        <v>1354</v>
      </c>
      <c r="G20" s="81" t="s">
        <v>1322</v>
      </c>
    </row>
    <row r="21" customFormat="false" ht="24" hidden="false" customHeight="true" outlineLevel="0" collapsed="false">
      <c r="B21" s="80" t="s">
        <v>1355</v>
      </c>
      <c r="C21" s="81" t="s">
        <v>1356</v>
      </c>
      <c r="D21" s="81" t="s">
        <v>1357</v>
      </c>
      <c r="E21" s="81" t="s">
        <v>1358</v>
      </c>
      <c r="F21" s="81" t="s">
        <v>1359</v>
      </c>
      <c r="G21" s="81" t="s">
        <v>1322</v>
      </c>
    </row>
    <row r="22" customFormat="false" ht="24" hidden="false" customHeight="true" outlineLevel="0" collapsed="false">
      <c r="B22" s="80"/>
      <c r="C22" s="81" t="s">
        <v>686</v>
      </c>
      <c r="D22" s="81" t="s">
        <v>1354</v>
      </c>
      <c r="E22" s="81" t="s">
        <v>1360</v>
      </c>
      <c r="F22" s="81" t="s">
        <v>1361</v>
      </c>
      <c r="G22" s="81" t="s">
        <v>1322</v>
      </c>
    </row>
    <row r="23" customFormat="false" ht="36" hidden="false" customHeight="true" outlineLevel="0" collapsed="false">
      <c r="B23" s="80" t="s">
        <v>1362</v>
      </c>
      <c r="C23" s="81" t="s">
        <v>1363</v>
      </c>
      <c r="D23" s="81" t="s">
        <v>1364</v>
      </c>
      <c r="E23" s="81" t="s">
        <v>1365</v>
      </c>
      <c r="F23" s="81" t="s">
        <v>1366</v>
      </c>
      <c r="G23" s="81" t="s">
        <v>1322</v>
      </c>
    </row>
    <row r="24" customFormat="false" ht="24" hidden="false" customHeight="true" outlineLevel="0" collapsed="false">
      <c r="B24" s="80"/>
      <c r="C24" s="81" t="s">
        <v>304</v>
      </c>
      <c r="D24" s="81" t="s">
        <v>1367</v>
      </c>
      <c r="E24" s="81" t="s">
        <v>305</v>
      </c>
      <c r="F24" s="81" t="s">
        <v>1368</v>
      </c>
      <c r="G24" s="81" t="s">
        <v>1322</v>
      </c>
    </row>
    <row r="25" customFormat="false" ht="24" hidden="false" customHeight="true" outlineLevel="0" collapsed="false">
      <c r="B25" s="80" t="s">
        <v>1369</v>
      </c>
      <c r="C25" s="81" t="s">
        <v>295</v>
      </c>
      <c r="D25" s="81" t="s">
        <v>1370</v>
      </c>
      <c r="E25" s="81" t="s">
        <v>1371</v>
      </c>
      <c r="F25" s="81" t="s">
        <v>1372</v>
      </c>
      <c r="G25" s="81" t="s">
        <v>1322</v>
      </c>
    </row>
    <row r="26" customFormat="false" ht="24" hidden="false" customHeight="true" outlineLevel="0" collapsed="false">
      <c r="B26" s="80"/>
      <c r="C26" s="81" t="s">
        <v>298</v>
      </c>
      <c r="D26" s="81" t="s">
        <v>1373</v>
      </c>
      <c r="E26" s="81" t="s">
        <v>1374</v>
      </c>
      <c r="F26" s="81" t="s">
        <v>1375</v>
      </c>
      <c r="G26" s="81" t="s">
        <v>1322</v>
      </c>
    </row>
    <row r="27" customFormat="false" ht="24" hidden="false" customHeight="true" outlineLevel="0" collapsed="false">
      <c r="B27" s="80"/>
      <c r="C27" s="81" t="s">
        <v>1376</v>
      </c>
      <c r="D27" s="81" t="s">
        <v>1377</v>
      </c>
      <c r="E27" s="81" t="s">
        <v>1378</v>
      </c>
      <c r="F27" s="81" t="s">
        <v>1379</v>
      </c>
      <c r="G27" s="81" t="s">
        <v>1322</v>
      </c>
    </row>
    <row r="28" customFormat="false" ht="24" hidden="false" customHeight="true" outlineLevel="0" collapsed="false">
      <c r="B28" s="80"/>
      <c r="C28" s="81" t="s">
        <v>300</v>
      </c>
      <c r="D28" s="81" t="s">
        <v>1380</v>
      </c>
      <c r="E28" s="81" t="s">
        <v>1381</v>
      </c>
      <c r="F28" s="81" t="s">
        <v>1382</v>
      </c>
      <c r="G28" s="81" t="s">
        <v>1322</v>
      </c>
    </row>
    <row r="29" customFormat="false" ht="24" hidden="false" customHeight="true" outlineLevel="0" collapsed="false">
      <c r="B29" s="80"/>
      <c r="C29" s="81" t="s">
        <v>302</v>
      </c>
      <c r="D29" s="81" t="s">
        <v>1383</v>
      </c>
      <c r="E29" s="81" t="s">
        <v>1329</v>
      </c>
      <c r="F29" s="81" t="s">
        <v>1384</v>
      </c>
      <c r="G29" s="81" t="s">
        <v>1322</v>
      </c>
    </row>
    <row r="30" customFormat="false" ht="24" hidden="false" customHeight="true" outlineLevel="0" collapsed="false">
      <c r="B30" s="80"/>
      <c r="C30" s="81" t="s">
        <v>304</v>
      </c>
      <c r="D30" s="81" t="s">
        <v>1385</v>
      </c>
      <c r="E30" s="81" t="s">
        <v>1386</v>
      </c>
      <c r="F30" s="81" t="s">
        <v>1368</v>
      </c>
      <c r="G30" s="81" t="s">
        <v>1322</v>
      </c>
    </row>
    <row r="31" customFormat="false" ht="24" hidden="false" customHeight="true" outlineLevel="0" collapsed="false">
      <c r="B31" s="80" t="s">
        <v>1387</v>
      </c>
      <c r="C31" s="81" t="s">
        <v>1388</v>
      </c>
      <c r="D31" s="81" t="s">
        <v>1389</v>
      </c>
      <c r="E31" s="81" t="s">
        <v>1390</v>
      </c>
      <c r="F31" s="81" t="s">
        <v>1391</v>
      </c>
      <c r="G31" s="81" t="s">
        <v>1322</v>
      </c>
    </row>
    <row r="32" customFormat="false" ht="24" hidden="false" customHeight="true" outlineLevel="0" collapsed="false">
      <c r="B32" s="80" t="s">
        <v>1392</v>
      </c>
      <c r="C32" s="81" t="s">
        <v>606</v>
      </c>
      <c r="D32" s="81" t="s">
        <v>1393</v>
      </c>
      <c r="E32" s="81" t="s">
        <v>1329</v>
      </c>
      <c r="F32" s="81" t="s">
        <v>1394</v>
      </c>
      <c r="G32" s="81" t="s">
        <v>1322</v>
      </c>
    </row>
    <row r="33" customFormat="false" ht="24" hidden="false" customHeight="true" outlineLevel="0" collapsed="false">
      <c r="B33" s="80"/>
      <c r="C33" s="81" t="s">
        <v>928</v>
      </c>
      <c r="D33" s="81" t="s">
        <v>1395</v>
      </c>
      <c r="E33" s="81" t="s">
        <v>1329</v>
      </c>
      <c r="F33" s="81" t="s">
        <v>1396</v>
      </c>
      <c r="G33" s="81" t="s">
        <v>1322</v>
      </c>
    </row>
    <row r="34" customFormat="false" ht="24" hidden="false" customHeight="true" outlineLevel="0" collapsed="false">
      <c r="B34" s="80"/>
      <c r="C34" s="81" t="s">
        <v>1344</v>
      </c>
      <c r="D34" s="81" t="s">
        <v>1397</v>
      </c>
      <c r="E34" s="81" t="s">
        <v>1398</v>
      </c>
      <c r="F34" s="81" t="s">
        <v>1399</v>
      </c>
      <c r="G34" s="81" t="s">
        <v>1322</v>
      </c>
    </row>
    <row r="35" customFormat="false" ht="24" hidden="false" customHeight="true" outlineLevel="0" collapsed="false">
      <c r="B35" s="80"/>
      <c r="C35" s="81" t="s">
        <v>1400</v>
      </c>
      <c r="D35" s="81" t="s">
        <v>1401</v>
      </c>
      <c r="E35" s="81" t="s">
        <v>1402</v>
      </c>
      <c r="F35" s="81" t="s">
        <v>1403</v>
      </c>
      <c r="G35" s="81" t="s">
        <v>1322</v>
      </c>
    </row>
    <row r="36" customFormat="false" ht="24" hidden="false" customHeight="true" outlineLevel="0" collapsed="false">
      <c r="B36" s="80"/>
      <c r="C36" s="81" t="s">
        <v>304</v>
      </c>
      <c r="D36" s="81" t="s">
        <v>1404</v>
      </c>
      <c r="E36" s="81" t="s">
        <v>305</v>
      </c>
      <c r="F36" s="81" t="s">
        <v>1368</v>
      </c>
      <c r="G36" s="81" t="s">
        <v>1322</v>
      </c>
    </row>
    <row r="37" customFormat="false" ht="24" hidden="false" customHeight="true" outlineLevel="0" collapsed="false">
      <c r="B37" s="80" t="s">
        <v>1405</v>
      </c>
      <c r="C37" s="81" t="s">
        <v>1406</v>
      </c>
      <c r="D37" s="81" t="s">
        <v>1407</v>
      </c>
      <c r="E37" s="81" t="s">
        <v>1329</v>
      </c>
      <c r="F37" s="81" t="s">
        <v>1408</v>
      </c>
      <c r="G37" s="81" t="s">
        <v>1322</v>
      </c>
    </row>
    <row r="38" customFormat="false" ht="24" hidden="false" customHeight="true" outlineLevel="0" collapsed="false">
      <c r="B38" s="80"/>
      <c r="C38" s="81" t="s">
        <v>1409</v>
      </c>
      <c r="D38" s="81" t="s">
        <v>1410</v>
      </c>
      <c r="E38" s="81" t="s">
        <v>1411</v>
      </c>
      <c r="F38" s="81" t="s">
        <v>1412</v>
      </c>
      <c r="G38" s="81" t="s">
        <v>1322</v>
      </c>
    </row>
    <row r="39" customFormat="false" ht="24" hidden="false" customHeight="true" outlineLevel="0" collapsed="false">
      <c r="B39" s="80" t="s">
        <v>1413</v>
      </c>
      <c r="C39" s="81" t="s">
        <v>1414</v>
      </c>
      <c r="D39" s="81" t="s">
        <v>1415</v>
      </c>
      <c r="E39" s="81" t="s">
        <v>1416</v>
      </c>
      <c r="F39" s="81" t="s">
        <v>1417</v>
      </c>
      <c r="G39" s="81" t="s">
        <v>1322</v>
      </c>
    </row>
    <row r="40" customFormat="false" ht="24" hidden="false" customHeight="true" outlineLevel="0" collapsed="false">
      <c r="B40" s="80"/>
      <c r="C40" s="81" t="s">
        <v>1418</v>
      </c>
      <c r="D40" s="81" t="s">
        <v>1419</v>
      </c>
      <c r="E40" s="81" t="s">
        <v>207</v>
      </c>
      <c r="F40" s="81" t="s">
        <v>1420</v>
      </c>
      <c r="G40" s="81" t="s">
        <v>1322</v>
      </c>
    </row>
    <row r="41" customFormat="false" ht="24" hidden="false" customHeight="true" outlineLevel="0" collapsed="false">
      <c r="B41" s="80"/>
      <c r="C41" s="81" t="s">
        <v>1421</v>
      </c>
      <c r="D41" s="81" t="s">
        <v>1422</v>
      </c>
      <c r="E41" s="81" t="s">
        <v>207</v>
      </c>
      <c r="F41" s="81" t="s">
        <v>1423</v>
      </c>
      <c r="G41" s="81" t="s">
        <v>1322</v>
      </c>
    </row>
    <row r="42" customFormat="false" ht="24" hidden="false" customHeight="true" outlineLevel="0" collapsed="false">
      <c r="B42" s="80"/>
      <c r="C42" s="81" t="s">
        <v>1424</v>
      </c>
      <c r="D42" s="81" t="s">
        <v>1425</v>
      </c>
      <c r="E42" s="81" t="s">
        <v>1426</v>
      </c>
      <c r="F42" s="81" t="s">
        <v>1368</v>
      </c>
      <c r="G42" s="81" t="s">
        <v>1322</v>
      </c>
    </row>
    <row r="43" customFormat="false" ht="24" hidden="false" customHeight="true" outlineLevel="0" collapsed="false">
      <c r="B43" s="80" t="s">
        <v>1427</v>
      </c>
      <c r="C43" s="81" t="s">
        <v>1428</v>
      </c>
      <c r="D43" s="81" t="s">
        <v>1429</v>
      </c>
      <c r="E43" s="81" t="s">
        <v>1329</v>
      </c>
      <c r="F43" s="81" t="s">
        <v>1417</v>
      </c>
      <c r="G43" s="81" t="s">
        <v>1322</v>
      </c>
    </row>
    <row r="44" customFormat="false" ht="24" hidden="false" customHeight="true" outlineLevel="0" collapsed="false">
      <c r="B44" s="80"/>
      <c r="C44" s="81" t="s">
        <v>1430</v>
      </c>
      <c r="D44" s="81" t="s">
        <v>1431</v>
      </c>
      <c r="E44" s="81" t="s">
        <v>1329</v>
      </c>
      <c r="F44" s="81" t="s">
        <v>1432</v>
      </c>
      <c r="G44" s="81" t="s">
        <v>1322</v>
      </c>
    </row>
    <row r="45" customFormat="false" ht="24" hidden="false" customHeight="true" outlineLevel="0" collapsed="false">
      <c r="B45" s="80"/>
      <c r="C45" s="81" t="s">
        <v>1433</v>
      </c>
      <c r="D45" s="81" t="s">
        <v>1434</v>
      </c>
      <c r="E45" s="81" t="s">
        <v>207</v>
      </c>
      <c r="F45" s="81" t="s">
        <v>1435</v>
      </c>
      <c r="G45" s="81" t="s">
        <v>1322</v>
      </c>
    </row>
    <row r="46" customFormat="false" ht="24" hidden="false" customHeight="true" outlineLevel="0" collapsed="false">
      <c r="B46" s="80"/>
      <c r="C46" s="81" t="s">
        <v>1436</v>
      </c>
      <c r="D46" s="81" t="s">
        <v>1437</v>
      </c>
      <c r="E46" s="81" t="s">
        <v>1438</v>
      </c>
      <c r="F46" s="81" t="s">
        <v>1368</v>
      </c>
      <c r="G46" s="81" t="s">
        <v>1322</v>
      </c>
    </row>
    <row r="47" customFormat="false" ht="24" hidden="false" customHeight="true" outlineLevel="0" collapsed="false">
      <c r="B47" s="80" t="s">
        <v>1439</v>
      </c>
      <c r="C47" s="81" t="s">
        <v>1189</v>
      </c>
      <c r="D47" s="81" t="s">
        <v>1440</v>
      </c>
      <c r="E47" s="81" t="s">
        <v>1329</v>
      </c>
      <c r="F47" s="81" t="s">
        <v>1441</v>
      </c>
      <c r="G47" s="81" t="s">
        <v>1322</v>
      </c>
    </row>
    <row r="48" customFormat="false" ht="24" hidden="false" customHeight="true" outlineLevel="0" collapsed="false">
      <c r="B48" s="80"/>
      <c r="C48" s="81" t="s">
        <v>1442</v>
      </c>
      <c r="D48" s="81" t="s">
        <v>1443</v>
      </c>
      <c r="E48" s="81" t="s">
        <v>1444</v>
      </c>
      <c r="F48" s="81" t="s">
        <v>1445</v>
      </c>
      <c r="G48" s="81" t="s">
        <v>1322</v>
      </c>
    </row>
    <row r="49" customFormat="false" ht="24" hidden="false" customHeight="true" outlineLevel="0" collapsed="false">
      <c r="B49" s="80"/>
      <c r="C49" s="81" t="s">
        <v>1446</v>
      </c>
      <c r="D49" s="81" t="s">
        <v>1447</v>
      </c>
      <c r="E49" s="81" t="s">
        <v>1329</v>
      </c>
      <c r="F49" s="81" t="s">
        <v>1448</v>
      </c>
      <c r="G49" s="81" t="s">
        <v>1322</v>
      </c>
    </row>
    <row r="50" customFormat="false" ht="24" hidden="false" customHeight="true" outlineLevel="0" collapsed="false">
      <c r="B50" s="80" t="s">
        <v>1449</v>
      </c>
      <c r="C50" s="81" t="s">
        <v>1189</v>
      </c>
      <c r="D50" s="81" t="s">
        <v>1450</v>
      </c>
      <c r="E50" s="81" t="s">
        <v>1329</v>
      </c>
      <c r="F50" s="81" t="s">
        <v>1451</v>
      </c>
      <c r="G50" s="81" t="s">
        <v>1322</v>
      </c>
    </row>
    <row r="51" customFormat="false" ht="24" hidden="false" customHeight="true" outlineLevel="0" collapsed="false">
      <c r="B51" s="80"/>
      <c r="C51" s="81" t="s">
        <v>1452</v>
      </c>
      <c r="D51" s="81" t="s">
        <v>1453</v>
      </c>
      <c r="E51" s="81" t="s">
        <v>1454</v>
      </c>
      <c r="F51" s="81" t="s">
        <v>1455</v>
      </c>
      <c r="G51" s="81" t="s">
        <v>1322</v>
      </c>
    </row>
    <row r="52" customFormat="false" ht="24" hidden="false" customHeight="true" outlineLevel="0" collapsed="false">
      <c r="B52" s="80"/>
      <c r="C52" s="81" t="s">
        <v>1456</v>
      </c>
      <c r="D52" s="81" t="s">
        <v>1457</v>
      </c>
      <c r="E52" s="81" t="s">
        <v>1458</v>
      </c>
      <c r="F52" s="81" t="s">
        <v>1459</v>
      </c>
      <c r="G52" s="81" t="s">
        <v>1322</v>
      </c>
    </row>
    <row r="54" customFormat="false" ht="15" hidden="false" customHeight="false" outlineLevel="0" collapsed="false">
      <c r="B54" s="82" t="s">
        <v>1460</v>
      </c>
    </row>
    <row r="55" customFormat="false" ht="15" hidden="false" customHeight="false" outlineLevel="0" collapsed="false">
      <c r="B55" s="8" t="s">
        <v>1461</v>
      </c>
      <c r="D55" s="83" t="s">
        <v>1462</v>
      </c>
    </row>
    <row r="56" customFormat="false" ht="15" hidden="false" customHeight="false" outlineLevel="0" collapsed="false">
      <c r="B56" s="8" t="s">
        <v>1463</v>
      </c>
      <c r="D56" s="83" t="s">
        <v>1464</v>
      </c>
    </row>
    <row r="57" customFormat="false" ht="15" hidden="false" customHeight="false" outlineLevel="0" collapsed="false">
      <c r="B57" s="8" t="s">
        <v>1465</v>
      </c>
      <c r="D57" s="83" t="s">
        <v>1466</v>
      </c>
    </row>
    <row r="58" customFormat="false" ht="15" hidden="false" customHeight="false" outlineLevel="0" collapsed="false">
      <c r="B58" s="8" t="s">
        <v>1467</v>
      </c>
      <c r="D58" s="83" t="s">
        <v>1468</v>
      </c>
    </row>
    <row r="59" customFormat="false" ht="15" hidden="false" customHeight="false" outlineLevel="0" collapsed="false">
      <c r="B59" s="8" t="s">
        <v>1469</v>
      </c>
      <c r="D59" s="83" t="s">
        <v>1470</v>
      </c>
    </row>
    <row r="60" customFormat="false" ht="15" hidden="false" customHeight="false" outlineLevel="0" collapsed="false">
      <c r="B60" s="8" t="s">
        <v>1471</v>
      </c>
      <c r="D60" s="84" t="s">
        <v>1472</v>
      </c>
    </row>
  </sheetData>
  <mergeCells count="6">
    <mergeCell ref="B3:F3"/>
    <mergeCell ref="B4:F4"/>
    <mergeCell ref="B5:F5"/>
    <mergeCell ref="B6:F6"/>
    <mergeCell ref="B7:F7"/>
    <mergeCell ref="B8:F8"/>
  </mergeCells>
  <hyperlinks>
    <hyperlink ref="D55" r:id="rId1" display="https://pensionsauthority.ie/scheme-members-and-prsa-contributors/understanding-pensions/your_right_to_information/statement_of_reasonable_projection/"/>
    <hyperlink ref="D56" r:id="rId2" display="https://pensionsauthority.ie/news_press/news_archive/updated-pension-benefit-statement-projection-assumptions/"/>
    <hyperlink ref="D57" r:id="rId3" display="https://www.centralbank.ie/code"/>
    <hyperlink ref="D58" r:id="rId4" display="https://www.revenue.ie/en/corporate/press-office/press-releases/2019/pr-200619-employees-new-facility-view-current-pay-and-tax-details-through-revenue-myaccount.aspx"/>
    <hyperlink ref="D59" r:id="rId5" display="https://www.gov.ie/en/publication/0fbf7-request-a-contribution-statement"/>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H1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66"/>
    <col collapsed="false" customWidth="true" hidden="false" outlineLevel="0" max="3" min="3" style="0" width="14"/>
    <col collapsed="false" customWidth="true" hidden="false" outlineLevel="0" max="4" min="4" style="0" width="26"/>
    <col collapsed="false" customWidth="true" hidden="false" outlineLevel="0" max="5" min="5" style="0" width="64"/>
    <col collapsed="false" customWidth="true" hidden="false" outlineLevel="0" max="6" min="6" style="0" width="16"/>
    <col collapsed="false" customWidth="true" hidden="false" outlineLevel="0" max="7" min="7" style="0" width="26"/>
    <col collapsed="false" customWidth="true" hidden="false" outlineLevel="0" max="8" min="8" style="0" width="8"/>
  </cols>
  <sheetData>
    <row r="1" customFormat="false" ht="19.7" hidden="false" customHeight="false" outlineLevel="0" collapsed="false">
      <c r="B1" s="16" t="s">
        <v>1473</v>
      </c>
    </row>
    <row r="2" customFormat="false" ht="15" hidden="false" customHeight="false" outlineLevel="0" collapsed="false">
      <c r="B2" s="85" t="s">
        <v>1474</v>
      </c>
    </row>
    <row r="3" customFormat="false" ht="39.75" hidden="false" customHeight="true" outlineLevel="0" collapsed="false">
      <c r="B3" s="86" t="s">
        <v>1475</v>
      </c>
      <c r="C3" s="86"/>
      <c r="D3" s="86"/>
      <c r="E3" s="86"/>
      <c r="F3" s="86"/>
      <c r="G3" s="86"/>
    </row>
    <row r="5" customFormat="false" ht="15" hidden="false" customHeight="false" outlineLevel="0" collapsed="false">
      <c r="B5" s="9" t="s">
        <v>1476</v>
      </c>
      <c r="C5" s="10"/>
      <c r="D5" s="10"/>
      <c r="E5" s="10"/>
      <c r="F5" s="10"/>
      <c r="G5" s="10"/>
      <c r="H5" s="10"/>
    </row>
    <row r="6" customFormat="false" ht="15" hidden="false" customHeight="false" outlineLevel="0" collapsed="false">
      <c r="B6" s="12" t="s">
        <v>1477</v>
      </c>
      <c r="C6" s="12" t="s">
        <v>1478</v>
      </c>
      <c r="D6" s="12" t="s">
        <v>1479</v>
      </c>
      <c r="E6" s="12" t="s">
        <v>1480</v>
      </c>
      <c r="F6" s="12" t="s">
        <v>1481</v>
      </c>
      <c r="G6" s="12" t="s">
        <v>1482</v>
      </c>
      <c r="H6" s="12" t="s">
        <v>1483</v>
      </c>
    </row>
    <row r="7" customFormat="false" ht="39.75" hidden="false" customHeight="true" outlineLevel="0" collapsed="false">
      <c r="B7" s="11" t="s">
        <v>1484</v>
      </c>
      <c r="C7" s="11"/>
      <c r="D7" s="11"/>
      <c r="E7" s="87" t="s">
        <v>1485</v>
      </c>
    </row>
    <row r="8" customFormat="false" ht="15" hidden="false" customHeight="false" outlineLevel="0" collapsed="false">
      <c r="B8" s="9" t="s">
        <v>1486</v>
      </c>
      <c r="C8" s="10"/>
      <c r="D8" s="10"/>
      <c r="E8" s="10"/>
      <c r="F8" s="10"/>
      <c r="G8" s="10"/>
      <c r="H8" s="10"/>
    </row>
    <row r="9" customFormat="false" ht="15" hidden="false" customHeight="false" outlineLevel="0" collapsed="false">
      <c r="B9" s="12" t="s">
        <v>1477</v>
      </c>
      <c r="C9" s="12" t="s">
        <v>1478</v>
      </c>
      <c r="D9" s="12" t="s">
        <v>1479</v>
      </c>
      <c r="E9" s="12" t="s">
        <v>1480</v>
      </c>
      <c r="F9" s="12" t="s">
        <v>1481</v>
      </c>
      <c r="G9" s="12" t="s">
        <v>1482</v>
      </c>
      <c r="H9" s="12" t="s">
        <v>1483</v>
      </c>
    </row>
    <row r="10" customFormat="false" ht="24" hidden="false" customHeight="true" outlineLevel="0" collapsed="false">
      <c r="B10" s="20" t="s">
        <v>1487</v>
      </c>
      <c r="C10" s="88" t="n">
        <v>44000</v>
      </c>
      <c r="D10" s="13" t="s">
        <v>1488</v>
      </c>
      <c r="E10" s="87" t="s">
        <v>1489</v>
      </c>
      <c r="F10" s="13" t="s">
        <v>1490</v>
      </c>
      <c r="G10" s="89" t="s">
        <v>1491</v>
      </c>
      <c r="H10" s="87" t="s">
        <v>1492</v>
      </c>
    </row>
    <row r="11" customFormat="false" ht="24" hidden="false" customHeight="true" outlineLevel="0" collapsed="false">
      <c r="B11" s="20" t="s">
        <v>1493</v>
      </c>
      <c r="C11" s="88" t="n">
        <v>48000</v>
      </c>
      <c r="D11" s="13" t="s">
        <v>1494</v>
      </c>
      <c r="E11" s="87" t="s">
        <v>1495</v>
      </c>
      <c r="F11" s="13" t="s">
        <v>1490</v>
      </c>
      <c r="G11" s="89" t="s">
        <v>1496</v>
      </c>
      <c r="H11" s="87" t="s">
        <v>1497</v>
      </c>
    </row>
    <row r="12" customFormat="false" ht="24" hidden="false" customHeight="true" outlineLevel="0" collapsed="false">
      <c r="B12" s="20" t="s">
        <v>1498</v>
      </c>
      <c r="C12" s="88" t="n">
        <v>53000</v>
      </c>
      <c r="D12" s="13" t="s">
        <v>1494</v>
      </c>
      <c r="E12" s="87" t="s">
        <v>1489</v>
      </c>
      <c r="F12" s="13" t="s">
        <v>1490</v>
      </c>
      <c r="G12" s="89" t="s">
        <v>1491</v>
      </c>
      <c r="H12" s="87" t="s">
        <v>1499</v>
      </c>
    </row>
    <row r="13" customFormat="false" ht="24" hidden="false" customHeight="true" outlineLevel="0" collapsed="false">
      <c r="B13" s="20" t="s">
        <v>1500</v>
      </c>
      <c r="C13" s="88" t="n">
        <v>35000</v>
      </c>
      <c r="D13" s="13" t="s">
        <v>1494</v>
      </c>
      <c r="E13" s="87" t="s">
        <v>1489</v>
      </c>
      <c r="F13" s="13" t="s">
        <v>1490</v>
      </c>
      <c r="G13" s="89" t="s">
        <v>1491</v>
      </c>
      <c r="H13" s="87" t="s">
        <v>1501</v>
      </c>
    </row>
    <row r="14" customFormat="false" ht="24" hidden="false" customHeight="true" outlineLevel="0" collapsed="false">
      <c r="B14" s="20" t="s">
        <v>1502</v>
      </c>
      <c r="C14" s="90" t="n">
        <v>0.2</v>
      </c>
      <c r="D14" s="13" t="s">
        <v>1494</v>
      </c>
      <c r="E14" s="87" t="s">
        <v>1489</v>
      </c>
      <c r="F14" s="13" t="s">
        <v>1503</v>
      </c>
      <c r="G14" s="89" t="s">
        <v>1491</v>
      </c>
      <c r="H14" s="87" t="s">
        <v>1504</v>
      </c>
    </row>
    <row r="15" customFormat="false" ht="24" hidden="false" customHeight="true" outlineLevel="0" collapsed="false">
      <c r="B15" s="20" t="s">
        <v>1505</v>
      </c>
      <c r="C15" s="90" t="n">
        <v>0.4</v>
      </c>
      <c r="D15" s="13" t="s">
        <v>1506</v>
      </c>
      <c r="E15" s="87" t="s">
        <v>1489</v>
      </c>
      <c r="F15" s="13" t="s">
        <v>1503</v>
      </c>
      <c r="G15" s="89" t="s">
        <v>1491</v>
      </c>
      <c r="H15" s="87" t="s">
        <v>1504</v>
      </c>
    </row>
    <row r="16" customFormat="false" ht="24" hidden="false" customHeight="true" outlineLevel="0" collapsed="false">
      <c r="B16" s="20" t="s">
        <v>1507</v>
      </c>
      <c r="C16" s="88" t="n">
        <v>2000</v>
      </c>
      <c r="D16" s="13" t="s">
        <v>1494</v>
      </c>
      <c r="E16" s="87" t="s">
        <v>1489</v>
      </c>
      <c r="F16" s="13" t="s">
        <v>1503</v>
      </c>
      <c r="G16" s="89" t="s">
        <v>1491</v>
      </c>
      <c r="H16" s="87" t="s">
        <v>1508</v>
      </c>
    </row>
    <row r="17" customFormat="false" ht="24" hidden="false" customHeight="true" outlineLevel="0" collapsed="false">
      <c r="B17" s="20" t="s">
        <v>1509</v>
      </c>
      <c r="C17" s="88" t="n">
        <v>4000</v>
      </c>
      <c r="D17" s="13" t="s">
        <v>1494</v>
      </c>
      <c r="E17" s="87" t="s">
        <v>1489</v>
      </c>
      <c r="F17" s="13" t="s">
        <v>1503</v>
      </c>
      <c r="G17" s="89" t="s">
        <v>1491</v>
      </c>
      <c r="H17" s="87" t="s">
        <v>1508</v>
      </c>
    </row>
    <row r="18" customFormat="false" ht="24" hidden="false" customHeight="true" outlineLevel="0" collapsed="false">
      <c r="B18" s="20" t="s">
        <v>1510</v>
      </c>
      <c r="C18" s="88" t="n">
        <v>2000</v>
      </c>
      <c r="D18" s="13" t="s">
        <v>1494</v>
      </c>
      <c r="E18" s="87" t="s">
        <v>1511</v>
      </c>
      <c r="F18" s="13" t="s">
        <v>1503</v>
      </c>
      <c r="G18" s="89" t="s">
        <v>1491</v>
      </c>
      <c r="H18" s="87" t="s">
        <v>1512</v>
      </c>
    </row>
    <row r="19" customFormat="false" ht="24" hidden="false" customHeight="true" outlineLevel="0" collapsed="false">
      <c r="B19" s="20" t="s">
        <v>1513</v>
      </c>
      <c r="C19" s="90" t="n">
        <v>0.2</v>
      </c>
      <c r="D19" s="13" t="s">
        <v>1494</v>
      </c>
      <c r="E19" s="87" t="s">
        <v>1514</v>
      </c>
      <c r="F19" s="13" t="s">
        <v>1503</v>
      </c>
      <c r="G19" s="89" t="s">
        <v>1491</v>
      </c>
      <c r="H19" s="87" t="s">
        <v>1512</v>
      </c>
    </row>
    <row r="20" customFormat="false" ht="24" hidden="false" customHeight="true" outlineLevel="0" collapsed="false">
      <c r="B20" s="20" t="s">
        <v>1515</v>
      </c>
      <c r="C20" s="88" t="n">
        <v>1900</v>
      </c>
      <c r="D20" s="13" t="s">
        <v>1494</v>
      </c>
      <c r="E20" s="87" t="s">
        <v>1495</v>
      </c>
      <c r="F20" s="13" t="s">
        <v>1490</v>
      </c>
      <c r="G20" s="89" t="s">
        <v>1496</v>
      </c>
      <c r="H20" s="87" t="s">
        <v>1497</v>
      </c>
    </row>
    <row r="21" customFormat="false" ht="24" hidden="false" customHeight="true" outlineLevel="0" collapsed="false">
      <c r="B21" s="20" t="s">
        <v>1516</v>
      </c>
      <c r="C21" s="88" t="n">
        <v>1000</v>
      </c>
      <c r="D21" s="13" t="s">
        <v>1494</v>
      </c>
      <c r="E21" s="87" t="s">
        <v>1495</v>
      </c>
      <c r="F21" s="13" t="s">
        <v>1517</v>
      </c>
      <c r="G21" s="89" t="s">
        <v>1496</v>
      </c>
      <c r="H21" s="87" t="s">
        <v>1518</v>
      </c>
    </row>
    <row r="22" customFormat="false" ht="24" hidden="false" customHeight="true" outlineLevel="0" collapsed="false">
      <c r="B22" s="20" t="s">
        <v>1519</v>
      </c>
      <c r="C22" s="88" t="n">
        <v>2000</v>
      </c>
      <c r="D22" s="13" t="s">
        <v>1494</v>
      </c>
      <c r="E22" s="87" t="s">
        <v>1495</v>
      </c>
      <c r="F22" s="13" t="s">
        <v>1517</v>
      </c>
      <c r="G22" s="89" t="s">
        <v>1496</v>
      </c>
      <c r="H22" s="87" t="s">
        <v>1518</v>
      </c>
    </row>
    <row r="23" customFormat="false" ht="24" hidden="false" customHeight="true" outlineLevel="0" collapsed="false">
      <c r="B23" s="20" t="s">
        <v>1520</v>
      </c>
      <c r="C23" s="88" t="n">
        <v>1950</v>
      </c>
      <c r="D23" s="13" t="s">
        <v>1494</v>
      </c>
      <c r="E23" s="87" t="s">
        <v>1495</v>
      </c>
      <c r="F23" s="13" t="s">
        <v>1503</v>
      </c>
      <c r="G23" s="89" t="s">
        <v>1521</v>
      </c>
      <c r="H23" s="87" t="s">
        <v>1522</v>
      </c>
    </row>
    <row r="24" customFormat="false" ht="15" hidden="false" customHeight="false" outlineLevel="0" collapsed="false">
      <c r="B24" s="9" t="s">
        <v>1523</v>
      </c>
      <c r="C24" s="10"/>
      <c r="D24" s="10"/>
      <c r="E24" s="10"/>
      <c r="F24" s="10"/>
      <c r="G24" s="10"/>
      <c r="H24" s="10"/>
    </row>
    <row r="25" customFormat="false" ht="15" hidden="false" customHeight="false" outlineLevel="0" collapsed="false">
      <c r="B25" s="12" t="s">
        <v>1477</v>
      </c>
      <c r="C25" s="12" t="s">
        <v>1478</v>
      </c>
      <c r="D25" s="12" t="s">
        <v>1479</v>
      </c>
      <c r="E25" s="12" t="s">
        <v>1480</v>
      </c>
      <c r="F25" s="12" t="s">
        <v>1481</v>
      </c>
      <c r="G25" s="12" t="s">
        <v>1482</v>
      </c>
      <c r="H25" s="12" t="s">
        <v>1483</v>
      </c>
    </row>
    <row r="26" customFormat="false" ht="24" hidden="false" customHeight="true" outlineLevel="0" collapsed="false">
      <c r="B26" s="20" t="s">
        <v>1524</v>
      </c>
      <c r="C26" s="88" t="n">
        <v>13000</v>
      </c>
      <c r="D26" s="13" t="s">
        <v>1494</v>
      </c>
      <c r="E26" s="87" t="s">
        <v>1489</v>
      </c>
      <c r="F26" s="13" t="s">
        <v>1503</v>
      </c>
      <c r="G26" s="89" t="s">
        <v>1491</v>
      </c>
      <c r="H26" s="87" t="s">
        <v>1525</v>
      </c>
    </row>
    <row r="27" customFormat="false" ht="24" hidden="false" customHeight="true" outlineLevel="0" collapsed="false">
      <c r="B27" s="20" t="s">
        <v>1526</v>
      </c>
      <c r="C27" s="88" t="n">
        <v>12012</v>
      </c>
      <c r="D27" s="13" t="s">
        <v>1494</v>
      </c>
      <c r="E27" s="87" t="s">
        <v>1489</v>
      </c>
      <c r="F27" s="13" t="s">
        <v>1490</v>
      </c>
      <c r="G27" s="89" t="s">
        <v>1491</v>
      </c>
      <c r="H27" s="87" t="s">
        <v>1527</v>
      </c>
    </row>
    <row r="28" customFormat="false" ht="24" hidden="false" customHeight="true" outlineLevel="0" collapsed="false">
      <c r="B28" s="20" t="s">
        <v>1528</v>
      </c>
      <c r="C28" s="88" t="n">
        <v>28700</v>
      </c>
      <c r="D28" s="13" t="s">
        <v>1494</v>
      </c>
      <c r="E28" s="87" t="s">
        <v>1489</v>
      </c>
      <c r="F28" s="13" t="s">
        <v>1490</v>
      </c>
      <c r="G28" s="89" t="s">
        <v>1491</v>
      </c>
      <c r="H28" s="87" t="s">
        <v>1527</v>
      </c>
    </row>
    <row r="29" customFormat="false" ht="24" hidden="false" customHeight="true" outlineLevel="0" collapsed="false">
      <c r="B29" s="20" t="s">
        <v>1529</v>
      </c>
      <c r="C29" s="88" t="n">
        <v>70044</v>
      </c>
      <c r="D29" s="13" t="s">
        <v>1494</v>
      </c>
      <c r="E29" s="87" t="s">
        <v>1489</v>
      </c>
      <c r="F29" s="13" t="s">
        <v>1490</v>
      </c>
      <c r="G29" s="89" t="s">
        <v>1491</v>
      </c>
      <c r="H29" s="87" t="s">
        <v>1527</v>
      </c>
    </row>
    <row r="30" customFormat="false" ht="24" hidden="false" customHeight="true" outlineLevel="0" collapsed="false">
      <c r="B30" s="20" t="s">
        <v>1530</v>
      </c>
      <c r="C30" s="91" t="n">
        <v>0.005</v>
      </c>
      <c r="D30" s="13" t="s">
        <v>1494</v>
      </c>
      <c r="E30" s="87" t="s">
        <v>1489</v>
      </c>
      <c r="F30" s="13" t="s">
        <v>1503</v>
      </c>
      <c r="G30" s="89" t="s">
        <v>1491</v>
      </c>
      <c r="H30" s="87" t="s">
        <v>1527</v>
      </c>
    </row>
    <row r="31" customFormat="false" ht="24" hidden="false" customHeight="true" outlineLevel="0" collapsed="false">
      <c r="B31" s="20" t="s">
        <v>1531</v>
      </c>
      <c r="C31" s="91" t="n">
        <v>0.02</v>
      </c>
      <c r="D31" s="13" t="s">
        <v>1494</v>
      </c>
      <c r="E31" s="87" t="s">
        <v>1489</v>
      </c>
      <c r="F31" s="13" t="s">
        <v>1503</v>
      </c>
      <c r="G31" s="89" t="s">
        <v>1491</v>
      </c>
      <c r="H31" s="87" t="s">
        <v>1527</v>
      </c>
    </row>
    <row r="32" customFormat="false" ht="24" hidden="false" customHeight="true" outlineLevel="0" collapsed="false">
      <c r="B32" s="20" t="s">
        <v>1532</v>
      </c>
      <c r="C32" s="91" t="n">
        <v>0.03</v>
      </c>
      <c r="D32" s="13" t="s">
        <v>1494</v>
      </c>
      <c r="E32" s="87" t="s">
        <v>1489</v>
      </c>
      <c r="F32" s="13" t="s">
        <v>1503</v>
      </c>
      <c r="G32" s="89" t="s">
        <v>1491</v>
      </c>
      <c r="H32" s="87" t="s">
        <v>1527</v>
      </c>
    </row>
    <row r="33" customFormat="false" ht="24" hidden="false" customHeight="true" outlineLevel="0" collapsed="false">
      <c r="B33" s="20" t="s">
        <v>1533</v>
      </c>
      <c r="C33" s="91" t="n">
        <v>0.08</v>
      </c>
      <c r="D33" s="13" t="s">
        <v>1494</v>
      </c>
      <c r="E33" s="87" t="s">
        <v>1489</v>
      </c>
      <c r="F33" s="13" t="s">
        <v>1503</v>
      </c>
      <c r="G33" s="89" t="s">
        <v>1491</v>
      </c>
      <c r="H33" s="87" t="s">
        <v>1527</v>
      </c>
    </row>
    <row r="34" customFormat="false" ht="39.75" hidden="false" customHeight="true" outlineLevel="0" collapsed="false">
      <c r="B34" s="11" t="s">
        <v>1534</v>
      </c>
      <c r="C34" s="11"/>
      <c r="D34" s="11"/>
      <c r="E34" s="87" t="s">
        <v>1489</v>
      </c>
    </row>
    <row r="35" customFormat="false" ht="15" hidden="false" customHeight="false" outlineLevel="0" collapsed="false">
      <c r="B35" s="9" t="s">
        <v>1535</v>
      </c>
      <c r="C35" s="10"/>
      <c r="D35" s="10"/>
      <c r="E35" s="10"/>
      <c r="F35" s="10"/>
      <c r="G35" s="10"/>
      <c r="H35" s="10"/>
    </row>
    <row r="36" customFormat="false" ht="15" hidden="false" customHeight="false" outlineLevel="0" collapsed="false">
      <c r="B36" s="12" t="s">
        <v>1477</v>
      </c>
      <c r="C36" s="12" t="s">
        <v>1478</v>
      </c>
      <c r="D36" s="12" t="s">
        <v>1479</v>
      </c>
      <c r="E36" s="12" t="s">
        <v>1480</v>
      </c>
      <c r="F36" s="12" t="s">
        <v>1481</v>
      </c>
      <c r="G36" s="12" t="s">
        <v>1482</v>
      </c>
      <c r="H36" s="12" t="s">
        <v>1483</v>
      </c>
    </row>
    <row r="37" customFormat="false" ht="24" hidden="false" customHeight="true" outlineLevel="0" collapsed="false">
      <c r="B37" s="20" t="s">
        <v>1536</v>
      </c>
      <c r="C37" s="92" t="n">
        <v>0.0435</v>
      </c>
      <c r="D37" s="13" t="s">
        <v>1494</v>
      </c>
      <c r="E37" s="87" t="s">
        <v>1537</v>
      </c>
      <c r="F37" s="13" t="s">
        <v>1538</v>
      </c>
      <c r="G37" s="89" t="s">
        <v>1491</v>
      </c>
      <c r="H37" s="87" t="s">
        <v>1539</v>
      </c>
    </row>
    <row r="38" customFormat="false" ht="24" hidden="false" customHeight="true" outlineLevel="0" collapsed="false">
      <c r="B38" s="20" t="s">
        <v>1540</v>
      </c>
      <c r="C38" s="93" t="n">
        <v>0.042375</v>
      </c>
      <c r="D38" s="13" t="s">
        <v>1541</v>
      </c>
      <c r="E38" s="87" t="s">
        <v>1537</v>
      </c>
      <c r="F38" s="13" t="s">
        <v>1503</v>
      </c>
      <c r="G38" s="89" t="s">
        <v>1491</v>
      </c>
      <c r="H38" s="87" t="s">
        <v>1542</v>
      </c>
    </row>
    <row r="39" customFormat="false" ht="24" hidden="false" customHeight="true" outlineLevel="0" collapsed="false">
      <c r="B39" s="20" t="s">
        <v>1543</v>
      </c>
      <c r="C39" s="88" t="n">
        <v>352</v>
      </c>
      <c r="D39" s="13" t="s">
        <v>1494</v>
      </c>
      <c r="E39" s="87" t="s">
        <v>1544</v>
      </c>
      <c r="F39" s="13" t="s">
        <v>1503</v>
      </c>
      <c r="G39" s="89" t="s">
        <v>1491</v>
      </c>
      <c r="H39" s="87" t="s">
        <v>1545</v>
      </c>
    </row>
    <row r="40" customFormat="false" ht="24" hidden="false" customHeight="true" outlineLevel="0" collapsed="false">
      <c r="B40" s="20" t="s">
        <v>1546</v>
      </c>
      <c r="C40" s="88" t="n">
        <v>12</v>
      </c>
      <c r="D40" s="13" t="s">
        <v>1494</v>
      </c>
      <c r="E40" s="87" t="s">
        <v>1514</v>
      </c>
      <c r="F40" s="13" t="s">
        <v>1503</v>
      </c>
      <c r="G40" s="89" t="s">
        <v>1491</v>
      </c>
      <c r="H40" s="87" t="s">
        <v>1545</v>
      </c>
    </row>
    <row r="41" customFormat="false" ht="24" hidden="false" customHeight="true" outlineLevel="0" collapsed="false">
      <c r="B41" s="20" t="s">
        <v>1547</v>
      </c>
      <c r="C41" s="88" t="n">
        <v>424</v>
      </c>
      <c r="D41" s="13" t="s">
        <v>1494</v>
      </c>
      <c r="E41" s="87" t="s">
        <v>1514</v>
      </c>
      <c r="F41" s="13" t="s">
        <v>1503</v>
      </c>
      <c r="G41" s="89" t="s">
        <v>1491</v>
      </c>
      <c r="H41" s="87" t="s">
        <v>1545</v>
      </c>
    </row>
    <row r="42" customFormat="false" ht="24" hidden="false" customHeight="true" outlineLevel="0" collapsed="false">
      <c r="B42" s="20" t="s">
        <v>1548</v>
      </c>
      <c r="C42" s="94" t="n">
        <v>6</v>
      </c>
      <c r="D42" s="13" t="s">
        <v>1494</v>
      </c>
      <c r="E42" s="87" t="s">
        <v>1514</v>
      </c>
      <c r="F42" s="13" t="s">
        <v>1503</v>
      </c>
      <c r="G42" s="89" t="s">
        <v>1491</v>
      </c>
      <c r="H42" s="87" t="s">
        <v>1545</v>
      </c>
    </row>
    <row r="43" customFormat="false" ht="39.75" hidden="false" customHeight="true" outlineLevel="0" collapsed="false">
      <c r="B43" s="11" t="s">
        <v>1549</v>
      </c>
      <c r="C43" s="11"/>
      <c r="D43" s="11"/>
      <c r="E43" s="87" t="s">
        <v>1550</v>
      </c>
    </row>
    <row r="44" customFormat="false" ht="15" hidden="false" customHeight="false" outlineLevel="0" collapsed="false">
      <c r="B44" s="9" t="s">
        <v>1551</v>
      </c>
      <c r="C44" s="10"/>
      <c r="D44" s="10"/>
      <c r="E44" s="10"/>
      <c r="F44" s="10"/>
      <c r="G44" s="10"/>
      <c r="H44" s="10"/>
    </row>
    <row r="45" customFormat="false" ht="15" hidden="false" customHeight="false" outlineLevel="0" collapsed="false">
      <c r="B45" s="12" t="s">
        <v>1477</v>
      </c>
      <c r="C45" s="12" t="s">
        <v>1478</v>
      </c>
      <c r="D45" s="12" t="s">
        <v>1479</v>
      </c>
      <c r="E45" s="12" t="s">
        <v>1480</v>
      </c>
      <c r="F45" s="12" t="s">
        <v>1481</v>
      </c>
      <c r="G45" s="12" t="s">
        <v>1482</v>
      </c>
      <c r="H45" s="12" t="s">
        <v>1483</v>
      </c>
    </row>
    <row r="46" customFormat="false" ht="15" hidden="false" customHeight="false" outlineLevel="0" collapsed="false">
      <c r="B46" s="20" t="s">
        <v>1552</v>
      </c>
      <c r="C46" s="95" t="n">
        <v>0</v>
      </c>
      <c r="D46" s="90" t="n">
        <v>0.15</v>
      </c>
      <c r="E46" s="96" t="s">
        <v>1553</v>
      </c>
      <c r="F46" s="8" t="s">
        <v>1554</v>
      </c>
      <c r="G46" s="97" t="s">
        <v>1496</v>
      </c>
      <c r="H46" s="96" t="s">
        <v>1555</v>
      </c>
    </row>
    <row r="47" customFormat="false" ht="15" hidden="false" customHeight="false" outlineLevel="0" collapsed="false">
      <c r="B47" s="20" t="s">
        <v>1556</v>
      </c>
      <c r="C47" s="95" t="n">
        <v>30</v>
      </c>
      <c r="D47" s="90" t="n">
        <v>0.2</v>
      </c>
      <c r="E47" s="96" t="s">
        <v>1553</v>
      </c>
      <c r="F47" s="8" t="s">
        <v>1554</v>
      </c>
      <c r="G47" s="97" t="s">
        <v>1496</v>
      </c>
      <c r="H47" s="96" t="s">
        <v>1555</v>
      </c>
    </row>
    <row r="48" customFormat="false" ht="15" hidden="false" customHeight="false" outlineLevel="0" collapsed="false">
      <c r="B48" s="20" t="s">
        <v>1557</v>
      </c>
      <c r="C48" s="95" t="n">
        <v>40</v>
      </c>
      <c r="D48" s="90" t="n">
        <v>0.25</v>
      </c>
      <c r="E48" s="96" t="s">
        <v>1553</v>
      </c>
      <c r="F48" s="8" t="s">
        <v>1554</v>
      </c>
      <c r="G48" s="97" t="s">
        <v>1496</v>
      </c>
      <c r="H48" s="96" t="s">
        <v>1555</v>
      </c>
    </row>
    <row r="49" customFormat="false" ht="15" hidden="false" customHeight="false" outlineLevel="0" collapsed="false">
      <c r="B49" s="20" t="s">
        <v>1558</v>
      </c>
      <c r="C49" s="95" t="n">
        <v>50</v>
      </c>
      <c r="D49" s="90" t="n">
        <v>0.3</v>
      </c>
      <c r="E49" s="96" t="s">
        <v>1553</v>
      </c>
      <c r="F49" s="8" t="s">
        <v>1554</v>
      </c>
      <c r="G49" s="97" t="s">
        <v>1496</v>
      </c>
      <c r="H49" s="96" t="s">
        <v>1555</v>
      </c>
    </row>
    <row r="50" customFormat="false" ht="15" hidden="false" customHeight="false" outlineLevel="0" collapsed="false">
      <c r="B50" s="20" t="s">
        <v>1559</v>
      </c>
      <c r="C50" s="95" t="n">
        <v>55</v>
      </c>
      <c r="D50" s="90" t="n">
        <v>0.35</v>
      </c>
      <c r="E50" s="96" t="s">
        <v>1553</v>
      </c>
      <c r="F50" s="8" t="s">
        <v>1554</v>
      </c>
      <c r="G50" s="97" t="s">
        <v>1496</v>
      </c>
      <c r="H50" s="96" t="s">
        <v>1555</v>
      </c>
    </row>
    <row r="51" customFormat="false" ht="15" hidden="false" customHeight="false" outlineLevel="0" collapsed="false">
      <c r="B51" s="20" t="s">
        <v>1560</v>
      </c>
      <c r="C51" s="95" t="n">
        <v>60</v>
      </c>
      <c r="D51" s="90" t="n">
        <v>0.4</v>
      </c>
      <c r="E51" s="96" t="s">
        <v>1553</v>
      </c>
      <c r="F51" s="8" t="s">
        <v>1554</v>
      </c>
      <c r="G51" s="97" t="s">
        <v>1496</v>
      </c>
      <c r="H51" s="96" t="s">
        <v>1555</v>
      </c>
    </row>
    <row r="52" customFormat="false" ht="24" hidden="false" customHeight="true" outlineLevel="0" collapsed="false">
      <c r="B52" s="20" t="s">
        <v>1561</v>
      </c>
      <c r="C52" s="88" t="n">
        <v>115000</v>
      </c>
      <c r="D52" s="13" t="s">
        <v>138</v>
      </c>
      <c r="E52" s="87" t="s">
        <v>1553</v>
      </c>
      <c r="F52" s="13" t="s">
        <v>1554</v>
      </c>
      <c r="G52" s="89" t="s">
        <v>1496</v>
      </c>
      <c r="H52" s="87" t="s">
        <v>1562</v>
      </c>
    </row>
    <row r="53" customFormat="false" ht="24" hidden="false" customHeight="true" outlineLevel="0" collapsed="false">
      <c r="B53" s="20" t="s">
        <v>1563</v>
      </c>
      <c r="C53" s="90" t="n">
        <v>0.25</v>
      </c>
      <c r="D53" s="13" t="s">
        <v>52</v>
      </c>
      <c r="E53" s="87" t="s">
        <v>1564</v>
      </c>
      <c r="F53" s="13" t="s">
        <v>1565</v>
      </c>
      <c r="G53" s="89" t="s">
        <v>1496</v>
      </c>
      <c r="H53" s="87" t="s">
        <v>1566</v>
      </c>
    </row>
    <row r="54" customFormat="false" ht="24" hidden="false" customHeight="true" outlineLevel="0" collapsed="false">
      <c r="B54" s="20" t="s">
        <v>1567</v>
      </c>
      <c r="C54" s="88" t="n">
        <v>200000</v>
      </c>
      <c r="D54" s="13" t="s">
        <v>52</v>
      </c>
      <c r="E54" s="87" t="s">
        <v>1564</v>
      </c>
      <c r="F54" s="13" t="s">
        <v>1565</v>
      </c>
      <c r="G54" s="89" t="s">
        <v>1496</v>
      </c>
      <c r="H54" s="87" t="s">
        <v>1566</v>
      </c>
    </row>
    <row r="55" customFormat="false" ht="24" hidden="false" customHeight="true" outlineLevel="0" collapsed="false">
      <c r="B55" s="20" t="s">
        <v>1568</v>
      </c>
      <c r="C55" s="88" t="n">
        <v>500000</v>
      </c>
      <c r="D55" s="13" t="s">
        <v>52</v>
      </c>
      <c r="E55" s="87" t="s">
        <v>1564</v>
      </c>
      <c r="F55" s="13" t="s">
        <v>1565</v>
      </c>
      <c r="G55" s="89" t="s">
        <v>1496</v>
      </c>
      <c r="H55" s="87" t="s">
        <v>1566</v>
      </c>
    </row>
    <row r="56" customFormat="false" ht="24" hidden="false" customHeight="true" outlineLevel="0" collapsed="false">
      <c r="B56" s="20" t="s">
        <v>1569</v>
      </c>
      <c r="C56" s="90" t="n">
        <v>0.2</v>
      </c>
      <c r="D56" s="13" t="s">
        <v>52</v>
      </c>
      <c r="E56" s="87" t="s">
        <v>1564</v>
      </c>
      <c r="F56" s="13" t="s">
        <v>1565</v>
      </c>
      <c r="G56" s="89" t="s">
        <v>1496</v>
      </c>
      <c r="H56" s="87" t="s">
        <v>1566</v>
      </c>
    </row>
    <row r="57" customFormat="false" ht="24" hidden="false" customHeight="true" outlineLevel="0" collapsed="false">
      <c r="B57" s="20" t="s">
        <v>1570</v>
      </c>
      <c r="C57" s="88" t="n">
        <v>2200000</v>
      </c>
      <c r="D57" s="13" t="s">
        <v>1571</v>
      </c>
      <c r="E57" s="87" t="s">
        <v>1564</v>
      </c>
      <c r="F57" s="13" t="s">
        <v>1490</v>
      </c>
      <c r="G57" s="89" t="s">
        <v>1496</v>
      </c>
      <c r="H57" s="87" t="s">
        <v>1572</v>
      </c>
    </row>
    <row r="58" customFormat="false" ht="24" hidden="false" customHeight="true" outlineLevel="0" collapsed="false">
      <c r="B58" s="20" t="s">
        <v>1573</v>
      </c>
      <c r="C58" s="90" t="n">
        <v>0.4</v>
      </c>
      <c r="D58" s="13" t="s">
        <v>1571</v>
      </c>
      <c r="E58" s="87" t="s">
        <v>1564</v>
      </c>
      <c r="F58" s="13" t="s">
        <v>1574</v>
      </c>
      <c r="G58" s="89" t="s">
        <v>1496</v>
      </c>
      <c r="H58" s="87" t="s">
        <v>1572</v>
      </c>
    </row>
    <row r="59" customFormat="false" ht="24" hidden="false" customHeight="true" outlineLevel="0" collapsed="false">
      <c r="B59" s="20" t="s">
        <v>1575</v>
      </c>
      <c r="C59" s="94" t="n">
        <v>60</v>
      </c>
      <c r="D59" s="13" t="s">
        <v>1571</v>
      </c>
      <c r="E59" s="87" t="s">
        <v>1576</v>
      </c>
      <c r="F59" s="13" t="s">
        <v>1574</v>
      </c>
      <c r="G59" s="89" t="s">
        <v>1577</v>
      </c>
      <c r="H59" s="87" t="s">
        <v>1578</v>
      </c>
    </row>
    <row r="60" customFormat="false" ht="39.75" hidden="false" customHeight="true" outlineLevel="0" collapsed="false">
      <c r="B60" s="11" t="s">
        <v>1579</v>
      </c>
      <c r="C60" s="11"/>
      <c r="D60" s="11"/>
      <c r="E60" s="87" t="s">
        <v>1580</v>
      </c>
    </row>
    <row r="61" customFormat="false" ht="15" hidden="false" customHeight="false" outlineLevel="0" collapsed="false">
      <c r="B61" s="9" t="s">
        <v>1581</v>
      </c>
      <c r="C61" s="10"/>
      <c r="D61" s="10"/>
      <c r="E61" s="10"/>
      <c r="F61" s="10"/>
      <c r="G61" s="10"/>
      <c r="H61" s="10"/>
    </row>
    <row r="62" customFormat="false" ht="15" hidden="false" customHeight="false" outlineLevel="0" collapsed="false">
      <c r="B62" s="12" t="s">
        <v>1477</v>
      </c>
      <c r="C62" s="12" t="s">
        <v>1478</v>
      </c>
      <c r="D62" s="12" t="s">
        <v>1479</v>
      </c>
      <c r="E62" s="12" t="s">
        <v>1480</v>
      </c>
      <c r="F62" s="12" t="s">
        <v>1481</v>
      </c>
      <c r="G62" s="12" t="s">
        <v>1482</v>
      </c>
      <c r="H62" s="12" t="s">
        <v>1483</v>
      </c>
    </row>
    <row r="63" customFormat="false" ht="24" hidden="false" customHeight="true" outlineLevel="0" collapsed="false">
      <c r="B63" s="20" t="s">
        <v>1582</v>
      </c>
      <c r="C63" s="98" t="n">
        <v>299.3</v>
      </c>
      <c r="D63" s="13" t="s">
        <v>1583</v>
      </c>
      <c r="E63" s="87" t="s">
        <v>1584</v>
      </c>
      <c r="F63" s="13" t="s">
        <v>1490</v>
      </c>
      <c r="G63" s="89" t="s">
        <v>1491</v>
      </c>
      <c r="H63" s="87" t="s">
        <v>1585</v>
      </c>
    </row>
    <row r="64" customFormat="false" ht="24" hidden="false" customHeight="true" outlineLevel="0" collapsed="false">
      <c r="B64" s="20" t="s">
        <v>1586</v>
      </c>
      <c r="C64" s="99" t="n">
        <f aca="false">State_Pension_Week*Weeks_Per_Year</f>
        <v>15563.6</v>
      </c>
      <c r="D64" s="13" t="s">
        <v>1587</v>
      </c>
      <c r="E64" s="87" t="s">
        <v>1584</v>
      </c>
      <c r="F64" s="13" t="s">
        <v>1490</v>
      </c>
      <c r="G64" s="89" t="s">
        <v>1491</v>
      </c>
      <c r="H64" s="87" t="s">
        <v>1585</v>
      </c>
    </row>
    <row r="65" customFormat="false" ht="24" hidden="false" customHeight="true" outlineLevel="0" collapsed="false">
      <c r="B65" s="20" t="s">
        <v>1588</v>
      </c>
      <c r="C65" s="94" t="n">
        <v>66</v>
      </c>
      <c r="D65" s="13" t="s">
        <v>1589</v>
      </c>
      <c r="E65" s="87" t="s">
        <v>1590</v>
      </c>
      <c r="F65" s="13" t="s">
        <v>1574</v>
      </c>
      <c r="G65" s="89" t="s">
        <v>1491</v>
      </c>
      <c r="H65" s="87" t="s">
        <v>1591</v>
      </c>
    </row>
    <row r="66" customFormat="false" ht="24" hidden="false" customHeight="true" outlineLevel="0" collapsed="false">
      <c r="B66" s="20" t="s">
        <v>1592</v>
      </c>
      <c r="C66" s="98" t="n">
        <v>259.5</v>
      </c>
      <c r="D66" s="13" t="s">
        <v>71</v>
      </c>
      <c r="E66" s="87" t="s">
        <v>1593</v>
      </c>
      <c r="F66" s="13" t="s">
        <v>1490</v>
      </c>
      <c r="G66" s="89" t="s">
        <v>1496</v>
      </c>
      <c r="H66" s="87" t="s">
        <v>1594</v>
      </c>
    </row>
    <row r="67" customFormat="false" ht="24" hidden="false" customHeight="true" outlineLevel="0" collapsed="false">
      <c r="B67" s="20" t="s">
        <v>1595</v>
      </c>
      <c r="C67" s="98" t="n">
        <v>299.3</v>
      </c>
      <c r="D67" s="13" t="s">
        <v>1596</v>
      </c>
      <c r="E67" s="87" t="s">
        <v>1514</v>
      </c>
      <c r="F67" s="13" t="s">
        <v>1490</v>
      </c>
      <c r="G67" s="89" t="s">
        <v>1496</v>
      </c>
      <c r="H67" s="87" t="s">
        <v>1594</v>
      </c>
    </row>
    <row r="68" customFormat="false" ht="24" hidden="false" customHeight="true" outlineLevel="0" collapsed="false">
      <c r="B68" s="20" t="s">
        <v>1597</v>
      </c>
      <c r="C68" s="98" t="n">
        <v>254</v>
      </c>
      <c r="D68" s="13" t="s">
        <v>74</v>
      </c>
      <c r="E68" s="87" t="s">
        <v>1598</v>
      </c>
      <c r="F68" s="13" t="s">
        <v>1490</v>
      </c>
      <c r="G68" s="89" t="s">
        <v>1496</v>
      </c>
      <c r="H68" s="87" t="s">
        <v>1599</v>
      </c>
    </row>
    <row r="69" customFormat="false" ht="24" hidden="false" customHeight="true" outlineLevel="0" collapsed="false">
      <c r="B69" s="20" t="s">
        <v>1600</v>
      </c>
      <c r="C69" s="90" t="n">
        <v>0.75</v>
      </c>
      <c r="D69" s="13" t="s">
        <v>74</v>
      </c>
      <c r="E69" s="87" t="s">
        <v>1601</v>
      </c>
      <c r="F69" s="13" t="s">
        <v>1602</v>
      </c>
      <c r="G69" s="89" t="s">
        <v>1603</v>
      </c>
      <c r="H69" s="87" t="s">
        <v>1604</v>
      </c>
    </row>
    <row r="70" customFormat="false" ht="24" hidden="false" customHeight="true" outlineLevel="0" collapsed="false">
      <c r="B70" s="20" t="s">
        <v>1605</v>
      </c>
      <c r="C70" s="94" t="n">
        <v>52</v>
      </c>
      <c r="D70" s="13" t="s">
        <v>1606</v>
      </c>
      <c r="E70" s="87" t="s">
        <v>1607</v>
      </c>
      <c r="F70" s="13" t="s">
        <v>1608</v>
      </c>
      <c r="G70" s="87" t="s">
        <v>622</v>
      </c>
      <c r="H70" s="87" t="s">
        <v>1608</v>
      </c>
    </row>
    <row r="71" customFormat="false" ht="15" hidden="false" customHeight="false" outlineLevel="0" collapsed="false">
      <c r="B71" s="9" t="s">
        <v>1609</v>
      </c>
      <c r="C71" s="10"/>
      <c r="D71" s="10"/>
      <c r="E71" s="10"/>
      <c r="F71" s="10"/>
      <c r="G71" s="10"/>
      <c r="H71" s="10"/>
    </row>
    <row r="72" customFormat="false" ht="15" hidden="false" customHeight="false" outlineLevel="0" collapsed="false">
      <c r="B72" s="12" t="s">
        <v>1477</v>
      </c>
      <c r="C72" s="12" t="s">
        <v>1478</v>
      </c>
      <c r="D72" s="12" t="s">
        <v>1479</v>
      </c>
      <c r="E72" s="12" t="s">
        <v>1480</v>
      </c>
      <c r="F72" s="12" t="s">
        <v>1481</v>
      </c>
      <c r="G72" s="12" t="s">
        <v>1482</v>
      </c>
      <c r="H72" s="12" t="s">
        <v>1483</v>
      </c>
    </row>
    <row r="73" customFormat="false" ht="24" hidden="false" customHeight="true" outlineLevel="0" collapsed="false">
      <c r="B73" s="20" t="s">
        <v>1610</v>
      </c>
      <c r="C73" s="90" t="n">
        <v>0.33</v>
      </c>
      <c r="D73" s="13" t="s">
        <v>1611</v>
      </c>
      <c r="E73" s="87" t="s">
        <v>1612</v>
      </c>
      <c r="F73" s="13" t="s">
        <v>1503</v>
      </c>
      <c r="G73" s="89" t="s">
        <v>1496</v>
      </c>
      <c r="H73" s="87" t="s">
        <v>1613</v>
      </c>
    </row>
    <row r="74" customFormat="false" ht="24" hidden="false" customHeight="true" outlineLevel="0" collapsed="false">
      <c r="B74" s="20" t="s">
        <v>1614</v>
      </c>
      <c r="C74" s="90" t="n">
        <v>0.38</v>
      </c>
      <c r="D74" s="13" t="s">
        <v>1611</v>
      </c>
      <c r="E74" s="87" t="s">
        <v>1615</v>
      </c>
      <c r="F74" s="13" t="s">
        <v>1490</v>
      </c>
      <c r="G74" s="89" t="s">
        <v>1491</v>
      </c>
      <c r="H74" s="87" t="s">
        <v>1616</v>
      </c>
    </row>
    <row r="75" customFormat="false" ht="24" hidden="false" customHeight="true" outlineLevel="0" collapsed="false">
      <c r="B75" s="20" t="s">
        <v>1617</v>
      </c>
      <c r="C75" s="94" t="n">
        <v>8</v>
      </c>
      <c r="D75" s="13" t="s">
        <v>1618</v>
      </c>
      <c r="E75" s="87" t="s">
        <v>1619</v>
      </c>
      <c r="F75" s="13" t="s">
        <v>1503</v>
      </c>
      <c r="G75" s="89" t="s">
        <v>1496</v>
      </c>
      <c r="H75" s="87" t="s">
        <v>1620</v>
      </c>
    </row>
    <row r="76" customFormat="false" ht="24" hidden="false" customHeight="true" outlineLevel="0" collapsed="false">
      <c r="B76" s="20" t="s">
        <v>1621</v>
      </c>
      <c r="C76" s="90" t="n">
        <v>0.01</v>
      </c>
      <c r="D76" s="13" t="s">
        <v>1622</v>
      </c>
      <c r="E76" s="87" t="s">
        <v>1623</v>
      </c>
      <c r="F76" s="13" t="s">
        <v>1503</v>
      </c>
      <c r="G76" s="89" t="s">
        <v>1491</v>
      </c>
      <c r="H76" s="87" t="s">
        <v>1624</v>
      </c>
    </row>
    <row r="77" customFormat="false" ht="15" hidden="false" customHeight="false" outlineLevel="0" collapsed="false">
      <c r="B77" s="9" t="s">
        <v>1625</v>
      </c>
      <c r="C77" s="10"/>
      <c r="D77" s="10"/>
      <c r="E77" s="10"/>
      <c r="F77" s="10"/>
      <c r="G77" s="10"/>
      <c r="H77" s="10"/>
    </row>
    <row r="78" customFormat="false" ht="15" hidden="false" customHeight="false" outlineLevel="0" collapsed="false">
      <c r="B78" s="12" t="s">
        <v>1477</v>
      </c>
      <c r="C78" s="12" t="s">
        <v>1478</v>
      </c>
      <c r="D78" s="12" t="s">
        <v>1479</v>
      </c>
      <c r="E78" s="12" t="s">
        <v>1480</v>
      </c>
      <c r="F78" s="12" t="s">
        <v>1481</v>
      </c>
      <c r="G78" s="12" t="s">
        <v>1482</v>
      </c>
      <c r="H78" s="12" t="s">
        <v>1483</v>
      </c>
    </row>
    <row r="79" customFormat="false" ht="24" hidden="false" customHeight="true" outlineLevel="0" collapsed="false">
      <c r="B79" s="20" t="s">
        <v>1626</v>
      </c>
      <c r="C79" s="100" t="n">
        <v>4</v>
      </c>
      <c r="D79" s="13" t="s">
        <v>27</v>
      </c>
      <c r="E79" s="87" t="s">
        <v>1627</v>
      </c>
      <c r="F79" s="13" t="s">
        <v>1628</v>
      </c>
      <c r="G79" s="89" t="s">
        <v>1491</v>
      </c>
      <c r="H79" s="87" t="s">
        <v>1629</v>
      </c>
    </row>
    <row r="80" customFormat="false" ht="24" hidden="false" customHeight="true" outlineLevel="0" collapsed="false">
      <c r="B80" s="20" t="s">
        <v>1630</v>
      </c>
      <c r="C80" s="100" t="n">
        <v>3.5</v>
      </c>
      <c r="D80" s="13" t="s">
        <v>27</v>
      </c>
      <c r="E80" s="87" t="s">
        <v>1627</v>
      </c>
      <c r="F80" s="13" t="s">
        <v>1628</v>
      </c>
      <c r="G80" s="89" t="s">
        <v>1491</v>
      </c>
      <c r="H80" s="87" t="s">
        <v>1629</v>
      </c>
    </row>
    <row r="81" customFormat="false" ht="24" hidden="false" customHeight="true" outlineLevel="0" collapsed="false">
      <c r="B81" s="20" t="s">
        <v>1631</v>
      </c>
      <c r="C81" s="90" t="n">
        <v>0.9</v>
      </c>
      <c r="D81" s="13" t="s">
        <v>1632</v>
      </c>
      <c r="E81" s="87" t="s">
        <v>1627</v>
      </c>
      <c r="F81" s="13" t="s">
        <v>1628</v>
      </c>
      <c r="G81" s="89" t="s">
        <v>1491</v>
      </c>
      <c r="H81" s="87" t="s">
        <v>1633</v>
      </c>
    </row>
    <row r="82" customFormat="false" ht="24" hidden="false" customHeight="true" outlineLevel="0" collapsed="false">
      <c r="B82" s="20" t="s">
        <v>1634</v>
      </c>
      <c r="C82" s="101" t="n">
        <f aca="false">1-LTV_Max</f>
        <v>0.1</v>
      </c>
      <c r="D82" s="13" t="s">
        <v>1635</v>
      </c>
      <c r="E82" s="87" t="s">
        <v>1636</v>
      </c>
      <c r="F82" s="13" t="s">
        <v>1628</v>
      </c>
      <c r="G82" s="89" t="s">
        <v>1491</v>
      </c>
      <c r="H82" s="87" t="s">
        <v>1637</v>
      </c>
    </row>
    <row r="83" customFormat="false" ht="39.75" hidden="false" customHeight="true" outlineLevel="0" collapsed="false">
      <c r="B83" s="11" t="s">
        <v>1638</v>
      </c>
      <c r="C83" s="11"/>
      <c r="D83" s="11"/>
      <c r="E83" s="87" t="s">
        <v>1639</v>
      </c>
    </row>
    <row r="84" customFormat="false" ht="24" hidden="false" customHeight="true" outlineLevel="0" collapsed="false">
      <c r="B84" s="20" t="s">
        <v>1640</v>
      </c>
      <c r="C84" s="90" t="n">
        <v>0.01</v>
      </c>
      <c r="D84" s="13" t="s">
        <v>1641</v>
      </c>
      <c r="E84" s="87" t="s">
        <v>1642</v>
      </c>
      <c r="F84" s="13" t="s">
        <v>1643</v>
      </c>
      <c r="G84" s="89" t="s">
        <v>1496</v>
      </c>
      <c r="H84" s="87" t="s">
        <v>1644</v>
      </c>
    </row>
    <row r="85" customFormat="false" ht="24" hidden="false" customHeight="true" outlineLevel="0" collapsed="false">
      <c r="B85" s="20" t="s">
        <v>1645</v>
      </c>
      <c r="C85" s="88" t="n">
        <v>1000000</v>
      </c>
      <c r="D85" s="13" t="s">
        <v>1641</v>
      </c>
      <c r="E85" s="87" t="s">
        <v>1642</v>
      </c>
      <c r="F85" s="13" t="s">
        <v>1643</v>
      </c>
      <c r="G85" s="89" t="s">
        <v>1496</v>
      </c>
      <c r="H85" s="87" t="s">
        <v>1644</v>
      </c>
    </row>
    <row r="86" customFormat="false" ht="24" hidden="false" customHeight="true" outlineLevel="0" collapsed="false">
      <c r="B86" s="20" t="s">
        <v>1646</v>
      </c>
      <c r="C86" s="90" t="n">
        <v>0.02</v>
      </c>
      <c r="D86" s="13" t="s">
        <v>1641</v>
      </c>
      <c r="E86" s="87" t="s">
        <v>1642</v>
      </c>
      <c r="F86" s="13" t="s">
        <v>1643</v>
      </c>
      <c r="G86" s="89" t="s">
        <v>1496</v>
      </c>
      <c r="H86" s="87" t="s">
        <v>1644</v>
      </c>
    </row>
    <row r="87" customFormat="false" ht="24" hidden="false" customHeight="true" outlineLevel="0" collapsed="false">
      <c r="B87" s="20" t="s">
        <v>1647</v>
      </c>
      <c r="C87" s="88" t="n">
        <v>1500000</v>
      </c>
      <c r="D87" s="13" t="s">
        <v>1641</v>
      </c>
      <c r="E87" s="87" t="s">
        <v>1642</v>
      </c>
      <c r="F87" s="13" t="s">
        <v>1643</v>
      </c>
      <c r="G87" s="89" t="s">
        <v>1496</v>
      </c>
      <c r="H87" s="87" t="s">
        <v>1644</v>
      </c>
    </row>
    <row r="88" customFormat="false" ht="24" hidden="false" customHeight="true" outlineLevel="0" collapsed="false">
      <c r="B88" s="20" t="s">
        <v>1648</v>
      </c>
      <c r="C88" s="90" t="n">
        <v>0.06</v>
      </c>
      <c r="D88" s="13" t="s">
        <v>1641</v>
      </c>
      <c r="E88" s="87" t="s">
        <v>1642</v>
      </c>
      <c r="F88" s="13" t="s">
        <v>1643</v>
      </c>
      <c r="G88" s="89" t="s">
        <v>1496</v>
      </c>
      <c r="H88" s="87" t="s">
        <v>1644</v>
      </c>
    </row>
    <row r="89" customFormat="false" ht="39.75" hidden="false" customHeight="true" outlineLevel="0" collapsed="false">
      <c r="B89" s="11" t="s">
        <v>1649</v>
      </c>
      <c r="C89" s="11"/>
      <c r="D89" s="11"/>
      <c r="E89" s="87" t="s">
        <v>1650</v>
      </c>
    </row>
    <row r="90" customFormat="false" ht="15" hidden="false" customHeight="false" outlineLevel="0" collapsed="false">
      <c r="B90" s="9" t="s">
        <v>1651</v>
      </c>
      <c r="C90" s="10"/>
      <c r="D90" s="10"/>
      <c r="E90" s="10"/>
      <c r="F90" s="10"/>
      <c r="G90" s="10"/>
      <c r="H90" s="10"/>
    </row>
    <row r="91" customFormat="false" ht="15" hidden="false" customHeight="false" outlineLevel="0" collapsed="false">
      <c r="B91" s="12" t="s">
        <v>1477</v>
      </c>
      <c r="C91" s="12" t="s">
        <v>1478</v>
      </c>
      <c r="D91" s="12" t="s">
        <v>1479</v>
      </c>
      <c r="E91" s="12" t="s">
        <v>1480</v>
      </c>
      <c r="F91" s="12" t="s">
        <v>1481</v>
      </c>
      <c r="G91" s="12" t="s">
        <v>1482</v>
      </c>
      <c r="H91" s="12" t="s">
        <v>1483</v>
      </c>
    </row>
    <row r="92" customFormat="false" ht="24" hidden="false" customHeight="true" outlineLevel="0" collapsed="false">
      <c r="B92" s="20" t="s">
        <v>1652</v>
      </c>
      <c r="C92" s="90" t="n">
        <v>0.7</v>
      </c>
      <c r="D92" s="13" t="s">
        <v>69</v>
      </c>
      <c r="E92" s="87" t="s">
        <v>1653</v>
      </c>
      <c r="F92" s="13" t="s">
        <v>1608</v>
      </c>
      <c r="G92" s="87" t="s">
        <v>622</v>
      </c>
      <c r="H92" s="87" t="s">
        <v>1608</v>
      </c>
    </row>
    <row r="93" customFormat="false" ht="24" hidden="false" customHeight="true" outlineLevel="0" collapsed="false">
      <c r="B93" s="20" t="s">
        <v>1654</v>
      </c>
      <c r="C93" s="90" t="n">
        <v>0.4</v>
      </c>
      <c r="D93" s="13" t="s">
        <v>69</v>
      </c>
      <c r="E93" s="87" t="s">
        <v>1655</v>
      </c>
      <c r="F93" s="13" t="s">
        <v>1608</v>
      </c>
      <c r="G93" s="87" t="s">
        <v>622</v>
      </c>
      <c r="H93" s="87" t="s">
        <v>1608</v>
      </c>
    </row>
    <row r="94" customFormat="false" ht="24" hidden="false" customHeight="true" outlineLevel="0" collapsed="false">
      <c r="B94" s="20" t="s">
        <v>1656</v>
      </c>
      <c r="C94" s="94" t="n">
        <v>365</v>
      </c>
      <c r="D94" s="13" t="s">
        <v>1657</v>
      </c>
      <c r="E94" s="87" t="s">
        <v>1658</v>
      </c>
      <c r="F94" s="13" t="s">
        <v>1608</v>
      </c>
      <c r="G94" s="87" t="s">
        <v>622</v>
      </c>
      <c r="H94" s="87" t="s">
        <v>1608</v>
      </c>
    </row>
    <row r="95" customFormat="false" ht="24" hidden="false" customHeight="true" outlineLevel="0" collapsed="false">
      <c r="B95" s="20" t="s">
        <v>1659</v>
      </c>
      <c r="C95" s="90" t="n">
        <v>0.8</v>
      </c>
      <c r="D95" s="13" t="s">
        <v>1660</v>
      </c>
      <c r="E95" s="87" t="s">
        <v>1658</v>
      </c>
      <c r="F95" s="13" t="s">
        <v>1608</v>
      </c>
      <c r="G95" s="87" t="s">
        <v>622</v>
      </c>
      <c r="H95" s="87" t="s">
        <v>1608</v>
      </c>
    </row>
    <row r="96" customFormat="false" ht="15" hidden="false" customHeight="false" outlineLevel="0" collapsed="false">
      <c r="B96" s="9" t="s">
        <v>1661</v>
      </c>
      <c r="C96" s="10"/>
      <c r="D96" s="10"/>
      <c r="E96" s="10"/>
      <c r="F96" s="10"/>
      <c r="G96" s="10"/>
      <c r="H96" s="10"/>
    </row>
    <row r="97" customFormat="false" ht="15" hidden="false" customHeight="false" outlineLevel="0" collapsed="false">
      <c r="B97" s="12" t="s">
        <v>1477</v>
      </c>
      <c r="C97" s="12" t="s">
        <v>1478</v>
      </c>
      <c r="D97" s="12" t="s">
        <v>1479</v>
      </c>
      <c r="E97" s="12" t="s">
        <v>1480</v>
      </c>
      <c r="F97" s="12" t="s">
        <v>1481</v>
      </c>
      <c r="G97" s="12" t="s">
        <v>1482</v>
      </c>
      <c r="H97" s="12" t="s">
        <v>1483</v>
      </c>
    </row>
    <row r="98" customFormat="false" ht="24" hidden="false" customHeight="true" outlineLevel="0" collapsed="false">
      <c r="B98" s="20" t="s">
        <v>1662</v>
      </c>
      <c r="C98" s="94" t="n">
        <v>1200</v>
      </c>
      <c r="D98" s="13" t="s">
        <v>1663</v>
      </c>
      <c r="E98" s="87" t="s">
        <v>1664</v>
      </c>
      <c r="F98" s="13" t="s">
        <v>1608</v>
      </c>
      <c r="G98" s="87" t="s">
        <v>622</v>
      </c>
      <c r="H98" s="87" t="s">
        <v>1608</v>
      </c>
    </row>
    <row r="99" customFormat="false" ht="24" hidden="false" customHeight="true" outlineLevel="0" collapsed="false">
      <c r="B99" s="20" t="s">
        <v>1665</v>
      </c>
      <c r="C99" s="94" t="n">
        <v>60</v>
      </c>
      <c r="D99" s="13" t="s">
        <v>150</v>
      </c>
      <c r="E99" s="87" t="s">
        <v>1664</v>
      </c>
      <c r="F99" s="13" t="s">
        <v>1608</v>
      </c>
      <c r="G99" s="87" t="s">
        <v>622</v>
      </c>
      <c r="H99" s="87" t="s">
        <v>1608</v>
      </c>
    </row>
    <row r="100" customFormat="false" ht="24" hidden="false" customHeight="true" outlineLevel="0" collapsed="false">
      <c r="B100" s="20" t="s">
        <v>1666</v>
      </c>
      <c r="C100" s="94" t="n">
        <v>5</v>
      </c>
      <c r="D100" s="13" t="s">
        <v>76</v>
      </c>
      <c r="E100" s="87" t="s">
        <v>1664</v>
      </c>
      <c r="F100" s="13" t="s">
        <v>1608</v>
      </c>
      <c r="G100" s="87" t="s">
        <v>622</v>
      </c>
      <c r="H100" s="87" t="s">
        <v>1608</v>
      </c>
    </row>
    <row r="101" customFormat="false" ht="24" hidden="false" customHeight="true" outlineLevel="0" collapsed="false">
      <c r="B101" s="20" t="s">
        <v>1667</v>
      </c>
      <c r="C101" s="94" t="n">
        <v>10</v>
      </c>
      <c r="D101" s="13" t="s">
        <v>76</v>
      </c>
      <c r="E101" s="87" t="s">
        <v>1664</v>
      </c>
      <c r="F101" s="13" t="s">
        <v>1608</v>
      </c>
      <c r="G101" s="87" t="s">
        <v>622</v>
      </c>
      <c r="H101" s="87" t="s">
        <v>1608</v>
      </c>
    </row>
    <row r="102" customFormat="false" ht="24" hidden="false" customHeight="true" outlineLevel="0" collapsed="false">
      <c r="B102" s="20" t="s">
        <v>1668</v>
      </c>
      <c r="C102" s="94" t="n">
        <v>15</v>
      </c>
      <c r="D102" s="13" t="s">
        <v>76</v>
      </c>
      <c r="E102" s="87" t="s">
        <v>1664</v>
      </c>
      <c r="F102" s="13" t="s">
        <v>1608</v>
      </c>
      <c r="G102" s="87" t="s">
        <v>622</v>
      </c>
      <c r="H102" s="87" t="s">
        <v>1608</v>
      </c>
    </row>
    <row r="103" customFormat="false" ht="24" hidden="false" customHeight="true" outlineLevel="0" collapsed="false">
      <c r="B103" s="20" t="s">
        <v>1669</v>
      </c>
      <c r="C103" s="102" t="n">
        <v>1.645</v>
      </c>
      <c r="D103" s="13" t="s">
        <v>69</v>
      </c>
      <c r="E103" s="87" t="s">
        <v>1670</v>
      </c>
      <c r="F103" s="13" t="s">
        <v>1608</v>
      </c>
      <c r="G103" s="87" t="s">
        <v>622</v>
      </c>
      <c r="H103" s="87" t="s">
        <v>1671</v>
      </c>
    </row>
    <row r="104" customFormat="false" ht="15" hidden="false" customHeight="false" outlineLevel="0" collapsed="false">
      <c r="B104" s="20" t="s">
        <v>1672</v>
      </c>
      <c r="C104" s="95" t="s">
        <v>1673</v>
      </c>
      <c r="D104" s="8" t="s">
        <v>69</v>
      </c>
      <c r="E104" s="96" t="s">
        <v>1674</v>
      </c>
      <c r="G104" s="103" t="s">
        <v>622</v>
      </c>
    </row>
    <row r="105" customFormat="false" ht="15" hidden="false" customHeight="false" outlineLevel="0" collapsed="false">
      <c r="B105" s="20" t="s">
        <v>1675</v>
      </c>
      <c r="C105" s="95" t="s">
        <v>1676</v>
      </c>
      <c r="D105" s="8" t="s">
        <v>69</v>
      </c>
      <c r="E105" s="96" t="s">
        <v>1674</v>
      </c>
      <c r="G105" s="103" t="s">
        <v>622</v>
      </c>
    </row>
    <row r="106" customFormat="false" ht="15" hidden="false" customHeight="false" outlineLevel="0" collapsed="false">
      <c r="B106" s="20" t="s">
        <v>1677</v>
      </c>
      <c r="C106" s="95" t="s">
        <v>1678</v>
      </c>
      <c r="D106" s="8" t="s">
        <v>69</v>
      </c>
      <c r="E106" s="96" t="s">
        <v>1674</v>
      </c>
      <c r="G106" s="103" t="s">
        <v>622</v>
      </c>
    </row>
    <row r="108" customFormat="false" ht="15" hidden="false" customHeight="false" outlineLevel="0" collapsed="false">
      <c r="B108" s="9" t="s">
        <v>89</v>
      </c>
      <c r="C108" s="10"/>
      <c r="D108" s="10"/>
      <c r="E108" s="10"/>
      <c r="F108" s="10"/>
      <c r="G108" s="10"/>
      <c r="H108" s="10"/>
    </row>
    <row r="109" customFormat="false" ht="42" hidden="false" customHeight="true" outlineLevel="0" collapsed="false">
      <c r="B109" s="11" t="s">
        <v>90</v>
      </c>
      <c r="C109" s="11"/>
      <c r="D109" s="11"/>
      <c r="E109" s="11"/>
      <c r="F109" s="11"/>
      <c r="G109" s="11"/>
    </row>
    <row r="110" customFormat="false" ht="15" hidden="false" customHeight="false" outlineLevel="0" collapsed="false">
      <c r="B110" s="12" t="s">
        <v>91</v>
      </c>
      <c r="D110" s="12" t="s">
        <v>92</v>
      </c>
      <c r="E110" s="12" t="s">
        <v>93</v>
      </c>
    </row>
    <row r="111" customFormat="false" ht="25.5" hidden="false" customHeight="true" outlineLevel="0" collapsed="false">
      <c r="B111" s="13" t="s">
        <v>94</v>
      </c>
      <c r="D111" s="13" t="s">
        <v>95</v>
      </c>
      <c r="E111" s="13" t="s">
        <v>96</v>
      </c>
    </row>
    <row r="112" customFormat="false" ht="25.5" hidden="false" customHeight="true" outlineLevel="0" collapsed="false">
      <c r="B112" s="13" t="s">
        <v>97</v>
      </c>
      <c r="D112" s="13" t="s">
        <v>98</v>
      </c>
      <c r="E112" s="13" t="s">
        <v>99</v>
      </c>
    </row>
    <row r="113" customFormat="false" ht="25.5" hidden="false" customHeight="true" outlineLevel="0" collapsed="false">
      <c r="B113" s="13" t="s">
        <v>100</v>
      </c>
      <c r="D113" s="13" t="s">
        <v>101</v>
      </c>
      <c r="E113" s="13" t="s">
        <v>99</v>
      </c>
    </row>
    <row r="114" customFormat="false" ht="25.5" hidden="false" customHeight="true" outlineLevel="0" collapsed="false">
      <c r="B114" s="13" t="s">
        <v>102</v>
      </c>
      <c r="D114" s="13" t="s">
        <v>103</v>
      </c>
      <c r="E114" s="13" t="s">
        <v>104</v>
      </c>
    </row>
    <row r="115" customFormat="false" ht="25.5" hidden="false" customHeight="true" outlineLevel="0" collapsed="false">
      <c r="B115" s="13" t="s">
        <v>105</v>
      </c>
      <c r="D115" s="13" t="s">
        <v>106</v>
      </c>
      <c r="E115" s="13" t="s">
        <v>107</v>
      </c>
    </row>
    <row r="116" customFormat="false" ht="25.5" hidden="false" customHeight="true" outlineLevel="0" collapsed="false">
      <c r="B116" s="13" t="s">
        <v>108</v>
      </c>
      <c r="D116" s="13" t="s">
        <v>109</v>
      </c>
      <c r="E116" s="13" t="s">
        <v>110</v>
      </c>
    </row>
    <row r="117" customFormat="false" ht="25.5" hidden="false" customHeight="true" outlineLevel="0" collapsed="false">
      <c r="B117" s="13" t="s">
        <v>111</v>
      </c>
      <c r="D117" s="13" t="s">
        <v>112</v>
      </c>
      <c r="E117" s="13" t="s">
        <v>113</v>
      </c>
    </row>
    <row r="118" customFormat="false" ht="25.5" hidden="false" customHeight="true" outlineLevel="0" collapsed="false">
      <c r="B118" s="13" t="s">
        <v>114</v>
      </c>
      <c r="D118" s="13" t="s">
        <v>115</v>
      </c>
      <c r="E118" s="13" t="s">
        <v>116</v>
      </c>
    </row>
    <row r="119" customFormat="false" ht="25.5" hidden="false" customHeight="true" outlineLevel="0" collapsed="false">
      <c r="B119" s="13" t="s">
        <v>117</v>
      </c>
      <c r="D119" s="13" t="s">
        <v>118</v>
      </c>
      <c r="E119" s="13" t="s">
        <v>99</v>
      </c>
    </row>
    <row r="120" customFormat="false" ht="25.5" hidden="false" customHeight="true" outlineLevel="0" collapsed="false">
      <c r="B120" s="13" t="s">
        <v>119</v>
      </c>
      <c r="D120" s="13" t="s">
        <v>120</v>
      </c>
      <c r="E120" s="13" t="s">
        <v>99</v>
      </c>
    </row>
    <row r="121" customFormat="false" ht="25.5" hidden="false" customHeight="true" outlineLevel="0" collapsed="false">
      <c r="B121" s="13" t="s">
        <v>121</v>
      </c>
      <c r="D121" s="13" t="s">
        <v>122</v>
      </c>
      <c r="E121" s="13" t="s">
        <v>123</v>
      </c>
    </row>
  </sheetData>
  <mergeCells count="8">
    <mergeCell ref="B3:G3"/>
    <mergeCell ref="B7:D7"/>
    <mergeCell ref="B34:D34"/>
    <mergeCell ref="B43:D43"/>
    <mergeCell ref="B60:D60"/>
    <mergeCell ref="B83:D83"/>
    <mergeCell ref="B89:D89"/>
    <mergeCell ref="B109:G10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2026-10-02T10:19:48Z</dcterms:created>
  <dc:creator>openpyxl</dc:creator>
  <dc:description/>
  <dc:language>en-US</dc:language>
  <cp:lastModifiedBy/>
  <dcterms:modified xsi:type="dcterms:W3CDTF">2026-10-02T10:19:48Z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